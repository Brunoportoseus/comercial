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pesas Mensais" sheetId="1" state="visible" r:id="rId1"/>
    <sheet name="D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;[Red]&quot;R$ &quot;-#,##0.00"/>
    <numFmt numFmtId="165" formatCode="0.0%"/>
  </numFmts>
  <fonts count="8">
    <font>
      <name val="Calibri"/>
      <family val="2"/>
      <color theme="1"/>
      <sz val="11"/>
      <scheme val="minor"/>
    </font>
    <font>
      <i val="1"/>
      <color rgb="00AA0000"/>
      <sz val="9"/>
    </font>
    <font>
      <b val="1"/>
      <color rgb="00FFFFFF"/>
      <sz val="10"/>
    </font>
    <font>
      <b val="1"/>
      <sz val="10"/>
    </font>
    <font>
      <i val="1"/>
      <sz val="10"/>
    </font>
    <font>
      <b val="1"/>
      <i val="1"/>
      <sz val="10"/>
    </font>
    <font>
      <b val="1"/>
      <sz val="11"/>
    </font>
    <font>
      <sz val="10"/>
    </font>
  </fonts>
  <fills count="8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1F3864"/>
      </patternFill>
    </fill>
    <fill>
      <patternFill patternType="solid">
        <fgColor rgb="002E4B80"/>
      </patternFill>
    </fill>
    <fill>
      <patternFill patternType="solid">
        <fgColor rgb="00FFF9E6"/>
      </patternFill>
    </fill>
    <fill>
      <patternFill patternType="solid">
        <fgColor rgb="00EAF2FF"/>
      </patternFill>
    </fill>
    <fill>
      <patternFill patternType="solid">
        <fgColor rgb="00D6E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164" fontId="3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164" fontId="5" fillId="6" borderId="0" pivotButton="0" quotePrefix="0" xfId="0"/>
    <xf numFmtId="0" fontId="6" fillId="0" borderId="0" pivotButton="0" quotePrefix="0" xfId="0"/>
    <xf numFmtId="0" fontId="6" fillId="7" borderId="0" pivotButton="0" quotePrefix="0" xfId="0"/>
    <xf numFmtId="164" fontId="3" fillId="7" borderId="0" pivotButton="0" quotePrefix="0" xfId="0"/>
    <xf numFmtId="0" fontId="3" fillId="7" borderId="0" pivotButton="0" quotePrefix="0" xfId="0"/>
    <xf numFmtId="0" fontId="7" fillId="0" borderId="0" pivotButton="0" quotePrefix="0" xfId="0"/>
    <xf numFmtId="165" fontId="3" fillId="7" borderId="0" pivotButton="0" quotePrefix="0" xfId="0"/>
    <xf numFmtId="0" fontId="5" fillId="6" borderId="0" pivotButton="0" quotePrefix="0" xfId="0"/>
    <xf numFmtId="165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4" customWidth="1" min="17" max="17"/>
  </cols>
  <sheetData>
    <row r="1" ht="22" customHeight="1">
      <c r="A1" s="1" t="inlineStr">
        <is>
          <t>IMPORTANTE: Para que as fórmulas externas funcionem, este arquivo e 'Controle_Financeiro_2026.xlsx' devem estar na MESMA PASTA. Se mover, atualize os vínculos em Dados &gt; Editar Vínculos.</t>
        </is>
      </c>
    </row>
    <row r="2" ht="30" customHeight="1">
      <c r="A2" s="2" t="inlineStr">
        <is>
          <t>Categoria</t>
        </is>
      </c>
      <c r="B2" s="2" t="inlineStr">
        <is>
          <t>Conta / Despesa</t>
        </is>
      </c>
      <c r="C2" s="2" t="inlineStr">
        <is>
          <t>Esfera</t>
        </is>
      </c>
      <c r="D2" s="2" t="inlineStr">
        <is>
          <t>Jan</t>
        </is>
      </c>
      <c r="E2" s="2" t="inlineStr">
        <is>
          <t>Fev</t>
        </is>
      </c>
      <c r="F2" s="2" t="inlineStr">
        <is>
          <t>Mar</t>
        </is>
      </c>
      <c r="G2" s="2" t="inlineStr">
        <is>
          <t>Abr</t>
        </is>
      </c>
      <c r="H2" s="2" t="inlineStr">
        <is>
          <t>Mai</t>
        </is>
      </c>
      <c r="I2" s="2" t="inlineStr">
        <is>
          <t>Jun</t>
        </is>
      </c>
      <c r="J2" s="3" t="inlineStr">
        <is>
          <t>Jul (proj)</t>
        </is>
      </c>
      <c r="K2" s="3" t="inlineStr">
        <is>
          <t>Ago (proj)</t>
        </is>
      </c>
      <c r="L2" s="3" t="inlineStr">
        <is>
          <t>Set (proj)</t>
        </is>
      </c>
      <c r="M2" s="3" t="inlineStr">
        <is>
          <t>Out (proj)</t>
        </is>
      </c>
      <c r="N2" s="3" t="inlineStr">
        <is>
          <t>Nov (proj)</t>
        </is>
      </c>
      <c r="O2" s="3" t="inlineStr">
        <is>
          <t>Dez (proj)</t>
        </is>
      </c>
      <c r="P2" s="3" t="inlineStr">
        <is>
          <t>Total Ano</t>
        </is>
      </c>
      <c r="Q2" s="3" t="inlineStr">
        <is>
          <t>Média Mensal</t>
        </is>
      </c>
    </row>
    <row r="3">
      <c r="A3" t="inlineStr">
        <is>
          <t>Contas Fixas</t>
        </is>
      </c>
      <c r="B3" t="inlineStr">
        <is>
          <t>Assinatura Canva</t>
        </is>
      </c>
      <c r="C3" t="inlineStr">
        <is>
          <t>Geral</t>
        </is>
      </c>
      <c r="D3" s="4">
        <f>SUMIFS('[Controle_Financeiro_2026.xlsx]Lançamentos'!$H:$H,'[Controle_Financeiro_2026.xlsx]Lançamentos'!$F:$F,"Assinatura Canva",'[Controle_Financeiro_2026.xlsx]Lançamentos'!$B:$B,1,'[Controle_Financeiro_2026.xlsx]Lançamentos'!$C:$C,2026,'[Controle_Financeiro_2026.xlsx]Lançamentos'!$D:$D,"Geral",'[Controle_Financeiro_2026.xlsx]Lançamentos'!$G:$G,"Despesa")</f>
        <v/>
      </c>
      <c r="E3" s="4">
        <f>SUMIFS('[Controle_Financeiro_2026.xlsx]Lançamentos'!$H:$H,'[Controle_Financeiro_2026.xlsx]Lançamentos'!$F:$F,"Assinatura Canva",'[Controle_Financeiro_2026.xlsx]Lançamentos'!$B:$B,2,'[Controle_Financeiro_2026.xlsx]Lançamentos'!$C:$C,2026,'[Controle_Financeiro_2026.xlsx]Lançamentos'!$D:$D,"Geral",'[Controle_Financeiro_2026.xlsx]Lançamentos'!$G:$G,"Despesa")</f>
        <v/>
      </c>
      <c r="F3" s="4">
        <f>SUMIFS('[Controle_Financeiro_2026.xlsx]Lançamentos'!$H:$H,'[Controle_Financeiro_2026.xlsx]Lançamentos'!$F:$F,"Assinatura Canva",'[Controle_Financeiro_2026.xlsx]Lançamentos'!$B:$B,3,'[Controle_Financeiro_2026.xlsx]Lançamentos'!$C:$C,2026,'[Controle_Financeiro_2026.xlsx]Lançamentos'!$D:$D,"Geral",'[Controle_Financeiro_2026.xlsx]Lançamentos'!$G:$G,"Despesa")</f>
        <v/>
      </c>
      <c r="G3" s="4">
        <f>SUMIFS('[Controle_Financeiro_2026.xlsx]Lançamentos'!$H:$H,'[Controle_Financeiro_2026.xlsx]Lançamentos'!$F:$F,"Assinatura Canva",'[Controle_Financeiro_2026.xlsx]Lançamentos'!$B:$B,4,'[Controle_Financeiro_2026.xlsx]Lançamentos'!$C:$C,2026,'[Controle_Financeiro_2026.xlsx]Lançamentos'!$D:$D,"Geral",'[Controle_Financeiro_2026.xlsx]Lançamentos'!$G:$G,"Despesa")</f>
        <v/>
      </c>
      <c r="H3" s="4">
        <f>SUMIFS('[Controle_Financeiro_2026.xlsx]Lançamentos'!$H:$H,'[Controle_Financeiro_2026.xlsx]Lançamentos'!$F:$F,"Assinatura Canva",'[Controle_Financeiro_2026.xlsx]Lançamentos'!$B:$B,5,'[Controle_Financeiro_2026.xlsx]Lançamentos'!$C:$C,2026,'[Controle_Financeiro_2026.xlsx]Lançamentos'!$D:$D,"Geral",'[Controle_Financeiro_2026.xlsx]Lançamentos'!$G:$G,"Despesa")</f>
        <v/>
      </c>
      <c r="I3" s="4">
        <f>SUMIFS('[Controle_Financeiro_2026.xlsx]Lançamentos'!$H:$H,'[Controle_Financeiro_2026.xlsx]Lançamentos'!$F:$F,"Assinatura Canva",'[Controle_Financeiro_2026.xlsx]Lançamentos'!$B:$B,6,'[Controle_Financeiro_2026.xlsx]Lançamentos'!$C:$C,2026,'[Controle_Financeiro_2026.xlsx]Lançamentos'!$D:$D,"Geral",'[Controle_Financeiro_2026.xlsx]Lançamentos'!$G:$G,"Despesa")</f>
        <v/>
      </c>
      <c r="J3" s="5">
        <f>IFERROR(AVERAGEIF(D3:I3,"&lt;&gt;0"),0)</f>
        <v/>
      </c>
      <c r="K3" s="5">
        <f>IFERROR(AVERAGEIF(D3:I3,"&lt;&gt;0"),0)</f>
        <v/>
      </c>
      <c r="L3" s="5">
        <f>IFERROR(AVERAGEIF(D3:I3,"&lt;&gt;0"),0)</f>
        <v/>
      </c>
      <c r="M3" s="5">
        <f>IFERROR(AVERAGEIF(D3:I3,"&lt;&gt;0"),0)</f>
        <v/>
      </c>
      <c r="N3" s="5">
        <f>IFERROR(AVERAGEIF(D3:I3,"&lt;&gt;0"),0)</f>
        <v/>
      </c>
      <c r="O3" s="5">
        <f>IFERROR(AVERAGEIF(D3:I3,"&lt;&gt;0"),0)</f>
        <v/>
      </c>
      <c r="P3" s="6">
        <f>SUM(D3:O3)</f>
        <v/>
      </c>
      <c r="Q3" s="7">
        <f>AVERAGE(D3:O3)</f>
        <v/>
      </c>
    </row>
    <row r="4">
      <c r="A4" t="inlineStr">
        <is>
          <t>Contas Fixas</t>
        </is>
      </c>
      <c r="B4" t="inlineStr">
        <is>
          <t>Assinatura Meli+</t>
        </is>
      </c>
      <c r="C4" t="inlineStr">
        <is>
          <t>Geral</t>
        </is>
      </c>
      <c r="D4" s="4">
        <f>SUMIFS('[Controle_Financeiro_2026.xlsx]Lançamentos'!$H:$H,'[Controle_Financeiro_2026.xlsx]Lançamentos'!$F:$F,"Assinatura Meli+",'[Controle_Financeiro_2026.xlsx]Lançamentos'!$B:$B,1,'[Controle_Financeiro_2026.xlsx]Lançamentos'!$C:$C,2026,'[Controle_Financeiro_2026.xlsx]Lançamentos'!$D:$D,"Geral",'[Controle_Financeiro_2026.xlsx]Lançamentos'!$G:$G,"Despesa")</f>
        <v/>
      </c>
      <c r="E4" s="4">
        <f>SUMIFS('[Controle_Financeiro_2026.xlsx]Lançamentos'!$H:$H,'[Controle_Financeiro_2026.xlsx]Lançamentos'!$F:$F,"Assinatura Meli+",'[Controle_Financeiro_2026.xlsx]Lançamentos'!$B:$B,2,'[Controle_Financeiro_2026.xlsx]Lançamentos'!$C:$C,2026,'[Controle_Financeiro_2026.xlsx]Lançamentos'!$D:$D,"Geral",'[Controle_Financeiro_2026.xlsx]Lançamentos'!$G:$G,"Despesa")</f>
        <v/>
      </c>
      <c r="F4" s="4">
        <f>SUMIFS('[Controle_Financeiro_2026.xlsx]Lançamentos'!$H:$H,'[Controle_Financeiro_2026.xlsx]Lançamentos'!$F:$F,"Assinatura Meli+",'[Controle_Financeiro_2026.xlsx]Lançamentos'!$B:$B,3,'[Controle_Financeiro_2026.xlsx]Lançamentos'!$C:$C,2026,'[Controle_Financeiro_2026.xlsx]Lançamentos'!$D:$D,"Geral",'[Controle_Financeiro_2026.xlsx]Lançamentos'!$G:$G,"Despesa")</f>
        <v/>
      </c>
      <c r="G4" s="4">
        <f>SUMIFS('[Controle_Financeiro_2026.xlsx]Lançamentos'!$H:$H,'[Controle_Financeiro_2026.xlsx]Lançamentos'!$F:$F,"Assinatura Meli+",'[Controle_Financeiro_2026.xlsx]Lançamentos'!$B:$B,4,'[Controle_Financeiro_2026.xlsx]Lançamentos'!$C:$C,2026,'[Controle_Financeiro_2026.xlsx]Lançamentos'!$D:$D,"Geral",'[Controle_Financeiro_2026.xlsx]Lançamentos'!$G:$G,"Despesa")</f>
        <v/>
      </c>
      <c r="H4" s="4">
        <f>SUMIFS('[Controle_Financeiro_2026.xlsx]Lançamentos'!$H:$H,'[Controle_Financeiro_2026.xlsx]Lançamentos'!$F:$F,"Assinatura Meli+",'[Controle_Financeiro_2026.xlsx]Lançamentos'!$B:$B,5,'[Controle_Financeiro_2026.xlsx]Lançamentos'!$C:$C,2026,'[Controle_Financeiro_2026.xlsx]Lançamentos'!$D:$D,"Geral",'[Controle_Financeiro_2026.xlsx]Lançamentos'!$G:$G,"Despesa")</f>
        <v/>
      </c>
      <c r="I4" s="4">
        <f>SUMIFS('[Controle_Financeiro_2026.xlsx]Lançamentos'!$H:$H,'[Controle_Financeiro_2026.xlsx]Lançamentos'!$F:$F,"Assinatura Meli+",'[Controle_Financeiro_2026.xlsx]Lançamentos'!$B:$B,6,'[Controle_Financeiro_2026.xlsx]Lançamentos'!$C:$C,2026,'[Controle_Financeiro_2026.xlsx]Lançamentos'!$D:$D,"Geral",'[Controle_Financeiro_2026.xlsx]Lançamentos'!$G:$G,"Despesa")</f>
        <v/>
      </c>
      <c r="J4" s="5">
        <f>IFERROR(AVERAGEIF(D4:I4,"&lt;&gt;0"),0)</f>
        <v/>
      </c>
      <c r="K4" s="5">
        <f>IFERROR(AVERAGEIF(D4:I4,"&lt;&gt;0"),0)</f>
        <v/>
      </c>
      <c r="L4" s="5">
        <f>IFERROR(AVERAGEIF(D4:I4,"&lt;&gt;0"),0)</f>
        <v/>
      </c>
      <c r="M4" s="5">
        <f>IFERROR(AVERAGEIF(D4:I4,"&lt;&gt;0"),0)</f>
        <v/>
      </c>
      <c r="N4" s="5">
        <f>IFERROR(AVERAGEIF(D4:I4,"&lt;&gt;0"),0)</f>
        <v/>
      </c>
      <c r="O4" s="5">
        <f>IFERROR(AVERAGEIF(D4:I4,"&lt;&gt;0"),0)</f>
        <v/>
      </c>
      <c r="P4" s="6">
        <f>SUM(D4:O4)</f>
        <v/>
      </c>
      <c r="Q4" s="7">
        <f>AVERAGE(D4:O4)</f>
        <v/>
      </c>
    </row>
    <row r="5">
      <c r="A5" t="inlineStr">
        <is>
          <t>Contas Fixas</t>
        </is>
      </c>
      <c r="B5" t="inlineStr">
        <is>
          <t>Assinatura Spotify</t>
        </is>
      </c>
      <c r="C5" t="inlineStr">
        <is>
          <t>Geral</t>
        </is>
      </c>
      <c r="D5" s="4">
        <f>SUMIFS('[Controle_Financeiro_2026.xlsx]Lançamentos'!$H:$H,'[Controle_Financeiro_2026.xlsx]Lançamentos'!$F:$F,"Assinatura Spotify",'[Controle_Financeiro_2026.xlsx]Lançamentos'!$B:$B,1,'[Controle_Financeiro_2026.xlsx]Lançamentos'!$C:$C,2026,'[Controle_Financeiro_2026.xlsx]Lançamentos'!$D:$D,"Geral",'[Controle_Financeiro_2026.xlsx]Lançamentos'!$G:$G,"Despesa")</f>
        <v/>
      </c>
      <c r="E5" s="4">
        <f>SUMIFS('[Controle_Financeiro_2026.xlsx]Lançamentos'!$H:$H,'[Controle_Financeiro_2026.xlsx]Lançamentos'!$F:$F,"Assinatura Spotify",'[Controle_Financeiro_2026.xlsx]Lançamentos'!$B:$B,2,'[Controle_Financeiro_2026.xlsx]Lançamentos'!$C:$C,2026,'[Controle_Financeiro_2026.xlsx]Lançamentos'!$D:$D,"Geral",'[Controle_Financeiro_2026.xlsx]Lançamentos'!$G:$G,"Despesa")</f>
        <v/>
      </c>
      <c r="F5" s="4">
        <f>SUMIFS('[Controle_Financeiro_2026.xlsx]Lançamentos'!$H:$H,'[Controle_Financeiro_2026.xlsx]Lançamentos'!$F:$F,"Assinatura Spotify",'[Controle_Financeiro_2026.xlsx]Lançamentos'!$B:$B,3,'[Controle_Financeiro_2026.xlsx]Lançamentos'!$C:$C,2026,'[Controle_Financeiro_2026.xlsx]Lançamentos'!$D:$D,"Geral",'[Controle_Financeiro_2026.xlsx]Lançamentos'!$G:$G,"Despesa")</f>
        <v/>
      </c>
      <c r="G5" s="4">
        <f>SUMIFS('[Controle_Financeiro_2026.xlsx]Lançamentos'!$H:$H,'[Controle_Financeiro_2026.xlsx]Lançamentos'!$F:$F,"Assinatura Spotify",'[Controle_Financeiro_2026.xlsx]Lançamentos'!$B:$B,4,'[Controle_Financeiro_2026.xlsx]Lançamentos'!$C:$C,2026,'[Controle_Financeiro_2026.xlsx]Lançamentos'!$D:$D,"Geral",'[Controle_Financeiro_2026.xlsx]Lançamentos'!$G:$G,"Despesa")</f>
        <v/>
      </c>
      <c r="H5" s="4">
        <f>SUMIFS('[Controle_Financeiro_2026.xlsx]Lançamentos'!$H:$H,'[Controle_Financeiro_2026.xlsx]Lançamentos'!$F:$F,"Assinatura Spotify",'[Controle_Financeiro_2026.xlsx]Lançamentos'!$B:$B,5,'[Controle_Financeiro_2026.xlsx]Lançamentos'!$C:$C,2026,'[Controle_Financeiro_2026.xlsx]Lançamentos'!$D:$D,"Geral",'[Controle_Financeiro_2026.xlsx]Lançamentos'!$G:$G,"Despesa")</f>
        <v/>
      </c>
      <c r="I5" s="4">
        <f>SUMIFS('[Controle_Financeiro_2026.xlsx]Lançamentos'!$H:$H,'[Controle_Financeiro_2026.xlsx]Lançamentos'!$F:$F,"Assinatura Spotify",'[Controle_Financeiro_2026.xlsx]Lançamentos'!$B:$B,6,'[Controle_Financeiro_2026.xlsx]Lançamentos'!$C:$C,2026,'[Controle_Financeiro_2026.xlsx]Lançamentos'!$D:$D,"Geral",'[Controle_Financeiro_2026.xlsx]Lançamentos'!$G:$G,"Despesa")</f>
        <v/>
      </c>
      <c r="J5" s="5">
        <f>IFERROR(AVERAGEIF(D5:I5,"&lt;&gt;0"),0)</f>
        <v/>
      </c>
      <c r="K5" s="5">
        <f>IFERROR(AVERAGEIF(D5:I5,"&lt;&gt;0"),0)</f>
        <v/>
      </c>
      <c r="L5" s="5">
        <f>IFERROR(AVERAGEIF(D5:I5,"&lt;&gt;0"),0)</f>
        <v/>
      </c>
      <c r="M5" s="5">
        <f>IFERROR(AVERAGEIF(D5:I5,"&lt;&gt;0"),0)</f>
        <v/>
      </c>
      <c r="N5" s="5">
        <f>IFERROR(AVERAGEIF(D5:I5,"&lt;&gt;0"),0)</f>
        <v/>
      </c>
      <c r="O5" s="5">
        <f>IFERROR(AVERAGEIF(D5:I5,"&lt;&gt;0"),0)</f>
        <v/>
      </c>
      <c r="P5" s="6">
        <f>SUM(D5:O5)</f>
        <v/>
      </c>
      <c r="Q5" s="7">
        <f>AVERAGE(D5:O5)</f>
        <v/>
      </c>
    </row>
    <row r="6">
      <c r="A6" t="inlineStr">
        <is>
          <t>Outros</t>
        </is>
      </c>
      <c r="B6" t="inlineStr">
        <is>
          <t>Consórcio</t>
        </is>
      </c>
      <c r="C6" t="inlineStr">
        <is>
          <t>Geral</t>
        </is>
      </c>
      <c r="D6" s="4">
        <f>SUMIFS('[Controle_Financeiro_2026.xlsx]Lançamentos'!$H:$H,'[Controle_Financeiro_2026.xlsx]Lançamentos'!$F:$F,"Consórcio",'[Controle_Financeiro_2026.xlsx]Lançamentos'!$B:$B,1,'[Controle_Financeiro_2026.xlsx]Lançamentos'!$C:$C,2026,'[Controle_Financeiro_2026.xlsx]Lançamentos'!$D:$D,"Geral",'[Controle_Financeiro_2026.xlsx]Lançamentos'!$G:$G,"Despesa")</f>
        <v/>
      </c>
      <c r="E6" s="4">
        <f>SUMIFS('[Controle_Financeiro_2026.xlsx]Lançamentos'!$H:$H,'[Controle_Financeiro_2026.xlsx]Lançamentos'!$F:$F,"Consórcio",'[Controle_Financeiro_2026.xlsx]Lançamentos'!$B:$B,2,'[Controle_Financeiro_2026.xlsx]Lançamentos'!$C:$C,2026,'[Controle_Financeiro_2026.xlsx]Lançamentos'!$D:$D,"Geral",'[Controle_Financeiro_2026.xlsx]Lançamentos'!$G:$G,"Despesa")</f>
        <v/>
      </c>
      <c r="F6" s="4">
        <f>SUMIFS('[Controle_Financeiro_2026.xlsx]Lançamentos'!$H:$H,'[Controle_Financeiro_2026.xlsx]Lançamentos'!$F:$F,"Consórcio",'[Controle_Financeiro_2026.xlsx]Lançamentos'!$B:$B,3,'[Controle_Financeiro_2026.xlsx]Lançamentos'!$C:$C,2026,'[Controle_Financeiro_2026.xlsx]Lançamentos'!$D:$D,"Geral",'[Controle_Financeiro_2026.xlsx]Lançamentos'!$G:$G,"Despesa")</f>
        <v/>
      </c>
      <c r="G6" s="4">
        <f>SUMIFS('[Controle_Financeiro_2026.xlsx]Lançamentos'!$H:$H,'[Controle_Financeiro_2026.xlsx]Lançamentos'!$F:$F,"Consórcio",'[Controle_Financeiro_2026.xlsx]Lançamentos'!$B:$B,4,'[Controle_Financeiro_2026.xlsx]Lançamentos'!$C:$C,2026,'[Controle_Financeiro_2026.xlsx]Lançamentos'!$D:$D,"Geral",'[Controle_Financeiro_2026.xlsx]Lançamentos'!$G:$G,"Despesa")</f>
        <v/>
      </c>
      <c r="H6" s="4">
        <f>SUMIFS('[Controle_Financeiro_2026.xlsx]Lançamentos'!$H:$H,'[Controle_Financeiro_2026.xlsx]Lançamentos'!$F:$F,"Consórcio",'[Controle_Financeiro_2026.xlsx]Lançamentos'!$B:$B,5,'[Controle_Financeiro_2026.xlsx]Lançamentos'!$C:$C,2026,'[Controle_Financeiro_2026.xlsx]Lançamentos'!$D:$D,"Geral",'[Controle_Financeiro_2026.xlsx]Lançamentos'!$G:$G,"Despesa")</f>
        <v/>
      </c>
      <c r="I6" s="4">
        <f>SUMIFS('[Controle_Financeiro_2026.xlsx]Lançamentos'!$H:$H,'[Controle_Financeiro_2026.xlsx]Lançamentos'!$F:$F,"Consórcio",'[Controle_Financeiro_2026.xlsx]Lançamentos'!$B:$B,6,'[Controle_Financeiro_2026.xlsx]Lançamentos'!$C:$C,2026,'[Controle_Financeiro_2026.xlsx]Lançamentos'!$D:$D,"Geral",'[Controle_Financeiro_2026.xlsx]Lançamentos'!$G:$G,"Despesa")</f>
        <v/>
      </c>
      <c r="J6" s="5">
        <f>IFERROR(AVERAGEIF(D6:I6,"&lt;&gt;0"),0)</f>
        <v/>
      </c>
      <c r="K6" s="5">
        <f>IFERROR(AVERAGEIF(D6:I6,"&lt;&gt;0"),0)</f>
        <v/>
      </c>
      <c r="L6" s="5">
        <f>IFERROR(AVERAGEIF(D6:I6,"&lt;&gt;0"),0)</f>
        <v/>
      </c>
      <c r="M6" s="5">
        <f>IFERROR(AVERAGEIF(D6:I6,"&lt;&gt;0"),0)</f>
        <v/>
      </c>
      <c r="N6" s="5">
        <f>IFERROR(AVERAGEIF(D6:I6,"&lt;&gt;0"),0)</f>
        <v/>
      </c>
      <c r="O6" s="5">
        <f>IFERROR(AVERAGEIF(D6:I6,"&lt;&gt;0"),0)</f>
        <v/>
      </c>
      <c r="P6" s="6">
        <f>SUM(D6:O6)</f>
        <v/>
      </c>
      <c r="Q6" s="7">
        <f>AVERAGE(D6:O6)</f>
        <v/>
      </c>
    </row>
    <row r="7">
      <c r="A7" t="inlineStr">
        <is>
          <t>Outros</t>
        </is>
      </c>
      <c r="B7" t="inlineStr">
        <is>
          <t>Câmbio / Ebury</t>
        </is>
      </c>
      <c r="C7" t="inlineStr">
        <is>
          <t>Geral</t>
        </is>
      </c>
      <c r="D7" s="4">
        <f>SUMIFS('[Controle_Financeiro_2026.xlsx]Lançamentos'!$H:$H,'[Controle_Financeiro_2026.xlsx]Lançamentos'!$F:$F,"Câmbio / Ebury",'[Controle_Financeiro_2026.xlsx]Lançamentos'!$B:$B,1,'[Controle_Financeiro_2026.xlsx]Lançamentos'!$C:$C,2026,'[Controle_Financeiro_2026.xlsx]Lançamentos'!$D:$D,"Geral",'[Controle_Financeiro_2026.xlsx]Lançamentos'!$G:$G,"Despesa")</f>
        <v/>
      </c>
      <c r="E7" s="4">
        <f>SUMIFS('[Controle_Financeiro_2026.xlsx]Lançamentos'!$H:$H,'[Controle_Financeiro_2026.xlsx]Lançamentos'!$F:$F,"Câmbio / Ebury",'[Controle_Financeiro_2026.xlsx]Lançamentos'!$B:$B,2,'[Controle_Financeiro_2026.xlsx]Lançamentos'!$C:$C,2026,'[Controle_Financeiro_2026.xlsx]Lançamentos'!$D:$D,"Geral",'[Controle_Financeiro_2026.xlsx]Lançamentos'!$G:$G,"Despesa")</f>
        <v/>
      </c>
      <c r="F7" s="4">
        <f>SUMIFS('[Controle_Financeiro_2026.xlsx]Lançamentos'!$H:$H,'[Controle_Financeiro_2026.xlsx]Lançamentos'!$F:$F,"Câmbio / Ebury",'[Controle_Financeiro_2026.xlsx]Lançamentos'!$B:$B,3,'[Controle_Financeiro_2026.xlsx]Lançamentos'!$C:$C,2026,'[Controle_Financeiro_2026.xlsx]Lançamentos'!$D:$D,"Geral",'[Controle_Financeiro_2026.xlsx]Lançamentos'!$G:$G,"Despesa")</f>
        <v/>
      </c>
      <c r="G7" s="4">
        <f>SUMIFS('[Controle_Financeiro_2026.xlsx]Lançamentos'!$H:$H,'[Controle_Financeiro_2026.xlsx]Lançamentos'!$F:$F,"Câmbio / Ebury",'[Controle_Financeiro_2026.xlsx]Lançamentos'!$B:$B,4,'[Controle_Financeiro_2026.xlsx]Lançamentos'!$C:$C,2026,'[Controle_Financeiro_2026.xlsx]Lançamentos'!$D:$D,"Geral",'[Controle_Financeiro_2026.xlsx]Lançamentos'!$G:$G,"Despesa")</f>
        <v/>
      </c>
      <c r="H7" s="4">
        <f>SUMIFS('[Controle_Financeiro_2026.xlsx]Lançamentos'!$H:$H,'[Controle_Financeiro_2026.xlsx]Lançamentos'!$F:$F,"Câmbio / Ebury",'[Controle_Financeiro_2026.xlsx]Lançamentos'!$B:$B,5,'[Controle_Financeiro_2026.xlsx]Lançamentos'!$C:$C,2026,'[Controle_Financeiro_2026.xlsx]Lançamentos'!$D:$D,"Geral",'[Controle_Financeiro_2026.xlsx]Lançamentos'!$G:$G,"Despesa")</f>
        <v/>
      </c>
      <c r="I7" s="4">
        <f>SUMIFS('[Controle_Financeiro_2026.xlsx]Lançamentos'!$H:$H,'[Controle_Financeiro_2026.xlsx]Lançamentos'!$F:$F,"Câmbio / Ebury",'[Controle_Financeiro_2026.xlsx]Lançamentos'!$B:$B,6,'[Controle_Financeiro_2026.xlsx]Lançamentos'!$C:$C,2026,'[Controle_Financeiro_2026.xlsx]Lançamentos'!$D:$D,"Geral",'[Controle_Financeiro_2026.xlsx]Lançamentos'!$G:$G,"Despesa")</f>
        <v/>
      </c>
      <c r="J7" s="5">
        <f>IFERROR(AVERAGEIF(D7:I7,"&lt;&gt;0"),0)</f>
        <v/>
      </c>
      <c r="K7" s="5">
        <f>IFERROR(AVERAGEIF(D7:I7,"&lt;&gt;0"),0)</f>
        <v/>
      </c>
      <c r="L7" s="5">
        <f>IFERROR(AVERAGEIF(D7:I7,"&lt;&gt;0"),0)</f>
        <v/>
      </c>
      <c r="M7" s="5">
        <f>IFERROR(AVERAGEIF(D7:I7,"&lt;&gt;0"),0)</f>
        <v/>
      </c>
      <c r="N7" s="5">
        <f>IFERROR(AVERAGEIF(D7:I7,"&lt;&gt;0"),0)</f>
        <v/>
      </c>
      <c r="O7" s="5">
        <f>IFERROR(AVERAGEIF(D7:I7,"&lt;&gt;0"),0)</f>
        <v/>
      </c>
      <c r="P7" s="6">
        <f>SUM(D7:O7)</f>
        <v/>
      </c>
      <c r="Q7" s="7">
        <f>AVERAGE(D7:O7)</f>
        <v/>
      </c>
    </row>
    <row r="8">
      <c r="A8" t="inlineStr">
        <is>
          <t>Outros</t>
        </is>
      </c>
      <c r="B8" t="inlineStr">
        <is>
          <t>Hotel</t>
        </is>
      </c>
      <c r="C8" t="inlineStr">
        <is>
          <t>Geral</t>
        </is>
      </c>
      <c r="D8" s="4">
        <f>SUMIFS('[Controle_Financeiro_2026.xlsx]Lançamentos'!$H:$H,'[Controle_Financeiro_2026.xlsx]Lançamentos'!$F:$F,"Hotel",'[Controle_Financeiro_2026.xlsx]Lançamentos'!$B:$B,1,'[Controle_Financeiro_2026.xlsx]Lançamentos'!$C:$C,2026,'[Controle_Financeiro_2026.xlsx]Lançamentos'!$D:$D,"Geral",'[Controle_Financeiro_2026.xlsx]Lançamentos'!$G:$G,"Despesa")</f>
        <v/>
      </c>
      <c r="E8" s="4">
        <f>SUMIFS('[Controle_Financeiro_2026.xlsx]Lançamentos'!$H:$H,'[Controle_Financeiro_2026.xlsx]Lançamentos'!$F:$F,"Hotel",'[Controle_Financeiro_2026.xlsx]Lançamentos'!$B:$B,2,'[Controle_Financeiro_2026.xlsx]Lançamentos'!$C:$C,2026,'[Controle_Financeiro_2026.xlsx]Lançamentos'!$D:$D,"Geral",'[Controle_Financeiro_2026.xlsx]Lançamentos'!$G:$G,"Despesa")</f>
        <v/>
      </c>
      <c r="F8" s="4">
        <f>SUMIFS('[Controle_Financeiro_2026.xlsx]Lançamentos'!$H:$H,'[Controle_Financeiro_2026.xlsx]Lançamentos'!$F:$F,"Hotel",'[Controle_Financeiro_2026.xlsx]Lançamentos'!$B:$B,3,'[Controle_Financeiro_2026.xlsx]Lançamentos'!$C:$C,2026,'[Controle_Financeiro_2026.xlsx]Lançamentos'!$D:$D,"Geral",'[Controle_Financeiro_2026.xlsx]Lançamentos'!$G:$G,"Despesa")</f>
        <v/>
      </c>
      <c r="G8" s="4">
        <f>SUMIFS('[Controle_Financeiro_2026.xlsx]Lançamentos'!$H:$H,'[Controle_Financeiro_2026.xlsx]Lançamentos'!$F:$F,"Hotel",'[Controle_Financeiro_2026.xlsx]Lançamentos'!$B:$B,4,'[Controle_Financeiro_2026.xlsx]Lançamentos'!$C:$C,2026,'[Controle_Financeiro_2026.xlsx]Lançamentos'!$D:$D,"Geral",'[Controle_Financeiro_2026.xlsx]Lançamentos'!$G:$G,"Despesa")</f>
        <v/>
      </c>
      <c r="H8" s="4">
        <f>SUMIFS('[Controle_Financeiro_2026.xlsx]Lançamentos'!$H:$H,'[Controle_Financeiro_2026.xlsx]Lançamentos'!$F:$F,"Hotel",'[Controle_Financeiro_2026.xlsx]Lançamentos'!$B:$B,5,'[Controle_Financeiro_2026.xlsx]Lançamentos'!$C:$C,2026,'[Controle_Financeiro_2026.xlsx]Lançamentos'!$D:$D,"Geral",'[Controle_Financeiro_2026.xlsx]Lançamentos'!$G:$G,"Despesa")</f>
        <v/>
      </c>
      <c r="I8" s="4">
        <f>SUMIFS('[Controle_Financeiro_2026.xlsx]Lançamentos'!$H:$H,'[Controle_Financeiro_2026.xlsx]Lançamentos'!$F:$F,"Hotel",'[Controle_Financeiro_2026.xlsx]Lançamentos'!$B:$B,6,'[Controle_Financeiro_2026.xlsx]Lançamentos'!$C:$C,2026,'[Controle_Financeiro_2026.xlsx]Lançamentos'!$D:$D,"Geral",'[Controle_Financeiro_2026.xlsx]Lançamentos'!$G:$G,"Despesa")</f>
        <v/>
      </c>
      <c r="J8" s="5">
        <f>IFERROR(AVERAGEIF(D8:I8,"&lt;&gt;0"),0)</f>
        <v/>
      </c>
      <c r="K8" s="5">
        <f>IFERROR(AVERAGEIF(D8:I8,"&lt;&gt;0"),0)</f>
        <v/>
      </c>
      <c r="L8" s="5">
        <f>IFERROR(AVERAGEIF(D8:I8,"&lt;&gt;0"),0)</f>
        <v/>
      </c>
      <c r="M8" s="5">
        <f>IFERROR(AVERAGEIF(D8:I8,"&lt;&gt;0"),0)</f>
        <v/>
      </c>
      <c r="N8" s="5">
        <f>IFERROR(AVERAGEIF(D8:I8,"&lt;&gt;0"),0)</f>
        <v/>
      </c>
      <c r="O8" s="5">
        <f>IFERROR(AVERAGEIF(D8:I8,"&lt;&gt;0"),0)</f>
        <v/>
      </c>
      <c r="P8" s="6">
        <f>SUM(D8:O8)</f>
        <v/>
      </c>
      <c r="Q8" s="7">
        <f>AVERAGE(D8:O8)</f>
        <v/>
      </c>
    </row>
    <row r="9">
      <c r="A9" t="inlineStr">
        <is>
          <t>Outros</t>
        </is>
      </c>
      <c r="B9" t="inlineStr">
        <is>
          <t>Maçonaria / Loja Simbólica</t>
        </is>
      </c>
      <c r="C9" t="inlineStr">
        <is>
          <t>Geral</t>
        </is>
      </c>
      <c r="D9" s="4">
        <f>SUMIFS('[Controle_Financeiro_2026.xlsx]Lançamentos'!$H:$H,'[Controle_Financeiro_2026.xlsx]Lançamentos'!$F:$F,"Maçonaria / Loja Simbólica",'[Controle_Financeiro_2026.xlsx]Lançamentos'!$B:$B,1,'[Controle_Financeiro_2026.xlsx]Lançamentos'!$C:$C,2026,'[Controle_Financeiro_2026.xlsx]Lançamentos'!$D:$D,"Geral",'[Controle_Financeiro_2026.xlsx]Lançamentos'!$G:$G,"Despesa")</f>
        <v/>
      </c>
      <c r="E9" s="4">
        <f>SUMIFS('[Controle_Financeiro_2026.xlsx]Lançamentos'!$H:$H,'[Controle_Financeiro_2026.xlsx]Lançamentos'!$F:$F,"Maçonaria / Loja Simbólica",'[Controle_Financeiro_2026.xlsx]Lançamentos'!$B:$B,2,'[Controle_Financeiro_2026.xlsx]Lançamentos'!$C:$C,2026,'[Controle_Financeiro_2026.xlsx]Lançamentos'!$D:$D,"Geral",'[Controle_Financeiro_2026.xlsx]Lançamentos'!$G:$G,"Despesa")</f>
        <v/>
      </c>
      <c r="F9" s="4">
        <f>SUMIFS('[Controle_Financeiro_2026.xlsx]Lançamentos'!$H:$H,'[Controle_Financeiro_2026.xlsx]Lançamentos'!$F:$F,"Maçonaria / Loja Simbólica",'[Controle_Financeiro_2026.xlsx]Lançamentos'!$B:$B,3,'[Controle_Financeiro_2026.xlsx]Lançamentos'!$C:$C,2026,'[Controle_Financeiro_2026.xlsx]Lançamentos'!$D:$D,"Geral",'[Controle_Financeiro_2026.xlsx]Lançamentos'!$G:$G,"Despesa")</f>
        <v/>
      </c>
      <c r="G9" s="4">
        <f>SUMIFS('[Controle_Financeiro_2026.xlsx]Lançamentos'!$H:$H,'[Controle_Financeiro_2026.xlsx]Lançamentos'!$F:$F,"Maçonaria / Loja Simbólica",'[Controle_Financeiro_2026.xlsx]Lançamentos'!$B:$B,4,'[Controle_Financeiro_2026.xlsx]Lançamentos'!$C:$C,2026,'[Controle_Financeiro_2026.xlsx]Lançamentos'!$D:$D,"Geral",'[Controle_Financeiro_2026.xlsx]Lançamentos'!$G:$G,"Despesa")</f>
        <v/>
      </c>
      <c r="H9" s="4">
        <f>SUMIFS('[Controle_Financeiro_2026.xlsx]Lançamentos'!$H:$H,'[Controle_Financeiro_2026.xlsx]Lançamentos'!$F:$F,"Maçonaria / Loja Simbólica",'[Controle_Financeiro_2026.xlsx]Lançamentos'!$B:$B,5,'[Controle_Financeiro_2026.xlsx]Lançamentos'!$C:$C,2026,'[Controle_Financeiro_2026.xlsx]Lançamentos'!$D:$D,"Geral",'[Controle_Financeiro_2026.xlsx]Lançamentos'!$G:$G,"Despesa")</f>
        <v/>
      </c>
      <c r="I9" s="4">
        <f>SUMIFS('[Controle_Financeiro_2026.xlsx]Lançamentos'!$H:$H,'[Controle_Financeiro_2026.xlsx]Lançamentos'!$F:$F,"Maçonaria / Loja Simbólica",'[Controle_Financeiro_2026.xlsx]Lançamentos'!$B:$B,6,'[Controle_Financeiro_2026.xlsx]Lançamentos'!$C:$C,2026,'[Controle_Financeiro_2026.xlsx]Lançamentos'!$D:$D,"Geral",'[Controle_Financeiro_2026.xlsx]Lançamentos'!$G:$G,"Despesa")</f>
        <v/>
      </c>
      <c r="J9" s="5">
        <f>IFERROR(AVERAGEIF(D9:I9,"&lt;&gt;0"),0)</f>
        <v/>
      </c>
      <c r="K9" s="5">
        <f>IFERROR(AVERAGEIF(D9:I9,"&lt;&gt;0"),0)</f>
        <v/>
      </c>
      <c r="L9" s="5">
        <f>IFERROR(AVERAGEIF(D9:I9,"&lt;&gt;0"),0)</f>
        <v/>
      </c>
      <c r="M9" s="5">
        <f>IFERROR(AVERAGEIF(D9:I9,"&lt;&gt;0"),0)</f>
        <v/>
      </c>
      <c r="N9" s="5">
        <f>IFERROR(AVERAGEIF(D9:I9,"&lt;&gt;0"),0)</f>
        <v/>
      </c>
      <c r="O9" s="5">
        <f>IFERROR(AVERAGEIF(D9:I9,"&lt;&gt;0"),0)</f>
        <v/>
      </c>
      <c r="P9" s="6">
        <f>SUM(D9:O9)</f>
        <v/>
      </c>
      <c r="Q9" s="7">
        <f>AVERAGE(D9:O9)</f>
        <v/>
      </c>
    </row>
    <row r="10">
      <c r="A10" t="inlineStr">
        <is>
          <t>Outros</t>
        </is>
      </c>
      <c r="B10" t="inlineStr">
        <is>
          <t>Pagamento Caixa</t>
        </is>
      </c>
      <c r="C10" t="inlineStr">
        <is>
          <t>Geral</t>
        </is>
      </c>
      <c r="D10" s="4">
        <f>SUMIFS('[Controle_Financeiro_2026.xlsx]Lançamentos'!$H:$H,'[Controle_Financeiro_2026.xlsx]Lançamentos'!$F:$F,"Pagamento Caixa",'[Controle_Financeiro_2026.xlsx]Lançamentos'!$B:$B,1,'[Controle_Financeiro_2026.xlsx]Lançamentos'!$C:$C,2026,'[Controle_Financeiro_2026.xlsx]Lançamentos'!$D:$D,"Geral",'[Controle_Financeiro_2026.xlsx]Lançamentos'!$G:$G,"Despesa")</f>
        <v/>
      </c>
      <c r="E10" s="4">
        <f>SUMIFS('[Controle_Financeiro_2026.xlsx]Lançamentos'!$H:$H,'[Controle_Financeiro_2026.xlsx]Lançamentos'!$F:$F,"Pagamento Caixa",'[Controle_Financeiro_2026.xlsx]Lançamentos'!$B:$B,2,'[Controle_Financeiro_2026.xlsx]Lançamentos'!$C:$C,2026,'[Controle_Financeiro_2026.xlsx]Lançamentos'!$D:$D,"Geral",'[Controle_Financeiro_2026.xlsx]Lançamentos'!$G:$G,"Despesa")</f>
        <v/>
      </c>
      <c r="F10" s="4">
        <f>SUMIFS('[Controle_Financeiro_2026.xlsx]Lançamentos'!$H:$H,'[Controle_Financeiro_2026.xlsx]Lançamentos'!$F:$F,"Pagamento Caixa",'[Controle_Financeiro_2026.xlsx]Lançamentos'!$B:$B,3,'[Controle_Financeiro_2026.xlsx]Lançamentos'!$C:$C,2026,'[Controle_Financeiro_2026.xlsx]Lançamentos'!$D:$D,"Geral",'[Controle_Financeiro_2026.xlsx]Lançamentos'!$G:$G,"Despesa")</f>
        <v/>
      </c>
      <c r="G10" s="4">
        <f>SUMIFS('[Controle_Financeiro_2026.xlsx]Lançamentos'!$H:$H,'[Controle_Financeiro_2026.xlsx]Lançamentos'!$F:$F,"Pagamento Caixa",'[Controle_Financeiro_2026.xlsx]Lançamentos'!$B:$B,4,'[Controle_Financeiro_2026.xlsx]Lançamentos'!$C:$C,2026,'[Controle_Financeiro_2026.xlsx]Lançamentos'!$D:$D,"Geral",'[Controle_Financeiro_2026.xlsx]Lançamentos'!$G:$G,"Despesa")</f>
        <v/>
      </c>
      <c r="H10" s="4">
        <f>SUMIFS('[Controle_Financeiro_2026.xlsx]Lançamentos'!$H:$H,'[Controle_Financeiro_2026.xlsx]Lançamentos'!$F:$F,"Pagamento Caixa",'[Controle_Financeiro_2026.xlsx]Lançamentos'!$B:$B,5,'[Controle_Financeiro_2026.xlsx]Lançamentos'!$C:$C,2026,'[Controle_Financeiro_2026.xlsx]Lançamentos'!$D:$D,"Geral",'[Controle_Financeiro_2026.xlsx]Lançamentos'!$G:$G,"Despesa")</f>
        <v/>
      </c>
      <c r="I10" s="4">
        <f>SUMIFS('[Controle_Financeiro_2026.xlsx]Lançamentos'!$H:$H,'[Controle_Financeiro_2026.xlsx]Lançamentos'!$F:$F,"Pagamento Caixa",'[Controle_Financeiro_2026.xlsx]Lançamentos'!$B:$B,6,'[Controle_Financeiro_2026.xlsx]Lançamentos'!$C:$C,2026,'[Controle_Financeiro_2026.xlsx]Lançamentos'!$D:$D,"Geral",'[Controle_Financeiro_2026.xlsx]Lançamentos'!$G:$G,"Despesa")</f>
        <v/>
      </c>
      <c r="J10" s="5">
        <f>IFERROR(AVERAGEIF(D10:I10,"&lt;&gt;0"),0)</f>
        <v/>
      </c>
      <c r="K10" s="5">
        <f>IFERROR(AVERAGEIF(D10:I10,"&lt;&gt;0"),0)</f>
        <v/>
      </c>
      <c r="L10" s="5">
        <f>IFERROR(AVERAGEIF(D10:I10,"&lt;&gt;0"),0)</f>
        <v/>
      </c>
      <c r="M10" s="5">
        <f>IFERROR(AVERAGEIF(D10:I10,"&lt;&gt;0"),0)</f>
        <v/>
      </c>
      <c r="N10" s="5">
        <f>IFERROR(AVERAGEIF(D10:I10,"&lt;&gt;0"),0)</f>
        <v/>
      </c>
      <c r="O10" s="5">
        <f>IFERROR(AVERAGEIF(D10:I10,"&lt;&gt;0"),0)</f>
        <v/>
      </c>
      <c r="P10" s="6">
        <f>SUM(D10:O10)</f>
        <v/>
      </c>
      <c r="Q10" s="7">
        <f>AVERAGE(D10:O10)</f>
        <v/>
      </c>
    </row>
    <row r="11">
      <c r="A11" t="inlineStr">
        <is>
          <t>Outros</t>
        </is>
      </c>
      <c r="B11" t="inlineStr">
        <is>
          <t>Pagamento de fatura cartão</t>
        </is>
      </c>
      <c r="C11" t="inlineStr">
        <is>
          <t>Geral</t>
        </is>
      </c>
      <c r="D11" s="4">
        <f>SUMIFS('[Controle_Financeiro_2026.xlsx]Lançamentos'!$H:$H,'[Controle_Financeiro_2026.xlsx]Lançamentos'!$F:$F,"Pagamento de fatura cartão",'[Controle_Financeiro_2026.xlsx]Lançamentos'!$B:$B,1,'[Controle_Financeiro_2026.xlsx]Lançamentos'!$C:$C,2026,'[Controle_Financeiro_2026.xlsx]Lançamentos'!$D:$D,"Geral",'[Controle_Financeiro_2026.xlsx]Lançamentos'!$G:$G,"Despesa")</f>
        <v/>
      </c>
      <c r="E11" s="4">
        <f>SUMIFS('[Controle_Financeiro_2026.xlsx]Lançamentos'!$H:$H,'[Controle_Financeiro_2026.xlsx]Lançamentos'!$F:$F,"Pagamento de fatura cartão",'[Controle_Financeiro_2026.xlsx]Lançamentos'!$B:$B,2,'[Controle_Financeiro_2026.xlsx]Lançamentos'!$C:$C,2026,'[Controle_Financeiro_2026.xlsx]Lançamentos'!$D:$D,"Geral",'[Controle_Financeiro_2026.xlsx]Lançamentos'!$G:$G,"Despesa")</f>
        <v/>
      </c>
      <c r="F11" s="4">
        <f>SUMIFS('[Controle_Financeiro_2026.xlsx]Lançamentos'!$H:$H,'[Controle_Financeiro_2026.xlsx]Lançamentos'!$F:$F,"Pagamento de fatura cartão",'[Controle_Financeiro_2026.xlsx]Lançamentos'!$B:$B,3,'[Controle_Financeiro_2026.xlsx]Lançamentos'!$C:$C,2026,'[Controle_Financeiro_2026.xlsx]Lançamentos'!$D:$D,"Geral",'[Controle_Financeiro_2026.xlsx]Lançamentos'!$G:$G,"Despesa")</f>
        <v/>
      </c>
      <c r="G11" s="4">
        <f>SUMIFS('[Controle_Financeiro_2026.xlsx]Lançamentos'!$H:$H,'[Controle_Financeiro_2026.xlsx]Lançamentos'!$F:$F,"Pagamento de fatura cartão",'[Controle_Financeiro_2026.xlsx]Lançamentos'!$B:$B,4,'[Controle_Financeiro_2026.xlsx]Lançamentos'!$C:$C,2026,'[Controle_Financeiro_2026.xlsx]Lançamentos'!$D:$D,"Geral",'[Controle_Financeiro_2026.xlsx]Lançamentos'!$G:$G,"Despesa")</f>
        <v/>
      </c>
      <c r="H11" s="4">
        <f>SUMIFS('[Controle_Financeiro_2026.xlsx]Lançamentos'!$H:$H,'[Controle_Financeiro_2026.xlsx]Lançamentos'!$F:$F,"Pagamento de fatura cartão",'[Controle_Financeiro_2026.xlsx]Lançamentos'!$B:$B,5,'[Controle_Financeiro_2026.xlsx]Lançamentos'!$C:$C,2026,'[Controle_Financeiro_2026.xlsx]Lançamentos'!$D:$D,"Geral",'[Controle_Financeiro_2026.xlsx]Lançamentos'!$G:$G,"Despesa")</f>
        <v/>
      </c>
      <c r="I11" s="4">
        <f>SUMIFS('[Controle_Financeiro_2026.xlsx]Lançamentos'!$H:$H,'[Controle_Financeiro_2026.xlsx]Lançamentos'!$F:$F,"Pagamento de fatura cartão",'[Controle_Financeiro_2026.xlsx]Lançamentos'!$B:$B,6,'[Controle_Financeiro_2026.xlsx]Lançamentos'!$C:$C,2026,'[Controle_Financeiro_2026.xlsx]Lançamentos'!$D:$D,"Geral",'[Controle_Financeiro_2026.xlsx]Lançamentos'!$G:$G,"Despesa")</f>
        <v/>
      </c>
      <c r="J11" s="5">
        <f>IFERROR(AVERAGEIF(D11:I11,"&lt;&gt;0"),0)</f>
        <v/>
      </c>
      <c r="K11" s="5">
        <f>IFERROR(AVERAGEIF(D11:I11,"&lt;&gt;0"),0)</f>
        <v/>
      </c>
      <c r="L11" s="5">
        <f>IFERROR(AVERAGEIF(D11:I11,"&lt;&gt;0"),0)</f>
        <v/>
      </c>
      <c r="M11" s="5">
        <f>IFERROR(AVERAGEIF(D11:I11,"&lt;&gt;0"),0)</f>
        <v/>
      </c>
      <c r="N11" s="5">
        <f>IFERROR(AVERAGEIF(D11:I11,"&lt;&gt;0"),0)</f>
        <v/>
      </c>
      <c r="O11" s="5">
        <f>IFERROR(AVERAGEIF(D11:I11,"&lt;&gt;0"),0)</f>
        <v/>
      </c>
      <c r="P11" s="6">
        <f>SUM(D11:O11)</f>
        <v/>
      </c>
      <c r="Q11" s="7">
        <f>AVERAGE(D11:O11)</f>
        <v/>
      </c>
    </row>
    <row r="12">
      <c r="A12" t="inlineStr">
        <is>
          <t>Outros</t>
        </is>
      </c>
      <c r="B12" t="inlineStr">
        <is>
          <t>Transferência Pix Enviada</t>
        </is>
      </c>
      <c r="C12" t="inlineStr">
        <is>
          <t>Geral</t>
        </is>
      </c>
      <c r="D12" s="4">
        <f>SUMIFS('[Controle_Financeiro_2026.xlsx]Lançamentos'!$H:$H,'[Controle_Financeiro_2026.xlsx]Lançamentos'!$F:$F,"Transferência Pix Enviada",'[Controle_Financeiro_2026.xlsx]Lançamentos'!$B:$B,1,'[Controle_Financeiro_2026.xlsx]Lançamentos'!$C:$C,2026,'[Controle_Financeiro_2026.xlsx]Lançamentos'!$D:$D,"Geral",'[Controle_Financeiro_2026.xlsx]Lançamentos'!$G:$G,"Despesa")</f>
        <v/>
      </c>
      <c r="E12" s="4">
        <f>SUMIFS('[Controle_Financeiro_2026.xlsx]Lançamentos'!$H:$H,'[Controle_Financeiro_2026.xlsx]Lançamentos'!$F:$F,"Transferência Pix Enviada",'[Controle_Financeiro_2026.xlsx]Lançamentos'!$B:$B,2,'[Controle_Financeiro_2026.xlsx]Lançamentos'!$C:$C,2026,'[Controle_Financeiro_2026.xlsx]Lançamentos'!$D:$D,"Geral",'[Controle_Financeiro_2026.xlsx]Lançamentos'!$G:$G,"Despesa")</f>
        <v/>
      </c>
      <c r="F12" s="4">
        <f>SUMIFS('[Controle_Financeiro_2026.xlsx]Lançamentos'!$H:$H,'[Controle_Financeiro_2026.xlsx]Lançamentos'!$F:$F,"Transferência Pix Enviada",'[Controle_Financeiro_2026.xlsx]Lançamentos'!$B:$B,3,'[Controle_Financeiro_2026.xlsx]Lançamentos'!$C:$C,2026,'[Controle_Financeiro_2026.xlsx]Lançamentos'!$D:$D,"Geral",'[Controle_Financeiro_2026.xlsx]Lançamentos'!$G:$G,"Despesa")</f>
        <v/>
      </c>
      <c r="G12" s="4">
        <f>SUMIFS('[Controle_Financeiro_2026.xlsx]Lançamentos'!$H:$H,'[Controle_Financeiro_2026.xlsx]Lançamentos'!$F:$F,"Transferência Pix Enviada",'[Controle_Financeiro_2026.xlsx]Lançamentos'!$B:$B,4,'[Controle_Financeiro_2026.xlsx]Lançamentos'!$C:$C,2026,'[Controle_Financeiro_2026.xlsx]Lançamentos'!$D:$D,"Geral",'[Controle_Financeiro_2026.xlsx]Lançamentos'!$G:$G,"Despesa")</f>
        <v/>
      </c>
      <c r="H12" s="4">
        <f>SUMIFS('[Controle_Financeiro_2026.xlsx]Lançamentos'!$H:$H,'[Controle_Financeiro_2026.xlsx]Lançamentos'!$F:$F,"Transferência Pix Enviada",'[Controle_Financeiro_2026.xlsx]Lançamentos'!$B:$B,5,'[Controle_Financeiro_2026.xlsx]Lançamentos'!$C:$C,2026,'[Controle_Financeiro_2026.xlsx]Lançamentos'!$D:$D,"Geral",'[Controle_Financeiro_2026.xlsx]Lançamentos'!$G:$G,"Despesa")</f>
        <v/>
      </c>
      <c r="I12" s="4">
        <f>SUMIFS('[Controle_Financeiro_2026.xlsx]Lançamentos'!$H:$H,'[Controle_Financeiro_2026.xlsx]Lançamentos'!$F:$F,"Transferência Pix Enviada",'[Controle_Financeiro_2026.xlsx]Lançamentos'!$B:$B,6,'[Controle_Financeiro_2026.xlsx]Lançamentos'!$C:$C,2026,'[Controle_Financeiro_2026.xlsx]Lançamentos'!$D:$D,"Geral",'[Controle_Financeiro_2026.xlsx]Lançamentos'!$G:$G,"Despesa")</f>
        <v/>
      </c>
      <c r="J12" s="5">
        <f>IFERROR(AVERAGEIF(D12:I12,"&lt;&gt;0"),0)</f>
        <v/>
      </c>
      <c r="K12" s="5">
        <f>IFERROR(AVERAGEIF(D12:I12,"&lt;&gt;0"),0)</f>
        <v/>
      </c>
      <c r="L12" s="5">
        <f>IFERROR(AVERAGEIF(D12:I12,"&lt;&gt;0"),0)</f>
        <v/>
      </c>
      <c r="M12" s="5">
        <f>IFERROR(AVERAGEIF(D12:I12,"&lt;&gt;0"),0)</f>
        <v/>
      </c>
      <c r="N12" s="5">
        <f>IFERROR(AVERAGEIF(D12:I12,"&lt;&gt;0"),0)</f>
        <v/>
      </c>
      <c r="O12" s="5">
        <f>IFERROR(AVERAGEIF(D12:I12,"&lt;&gt;0"),0)</f>
        <v/>
      </c>
      <c r="P12" s="6">
        <f>SUM(D12:O12)</f>
        <v/>
      </c>
      <c r="Q12" s="7">
        <f>AVERAGE(D12:O12)</f>
        <v/>
      </c>
    </row>
    <row r="13">
      <c r="A13" t="inlineStr">
        <is>
          <t>Pessoal</t>
        </is>
      </c>
      <c r="B13" t="inlineStr">
        <is>
          <t>Bruno Luiz (familiar)</t>
        </is>
      </c>
      <c r="C13" t="inlineStr">
        <is>
          <t>Geral</t>
        </is>
      </c>
      <c r="D13" s="4">
        <f>SUMIFS('[Controle_Financeiro_2026.xlsx]Lançamentos'!$H:$H,'[Controle_Financeiro_2026.xlsx]Lançamentos'!$F:$F,"Bruno Luiz (familiar)",'[Controle_Financeiro_2026.xlsx]Lançamentos'!$B:$B,1,'[Controle_Financeiro_2026.xlsx]Lançamentos'!$C:$C,2026,'[Controle_Financeiro_2026.xlsx]Lançamentos'!$D:$D,"Geral",'[Controle_Financeiro_2026.xlsx]Lançamentos'!$G:$G,"Despesa")</f>
        <v/>
      </c>
      <c r="E13" s="4">
        <f>SUMIFS('[Controle_Financeiro_2026.xlsx]Lançamentos'!$H:$H,'[Controle_Financeiro_2026.xlsx]Lançamentos'!$F:$F,"Bruno Luiz (familiar)",'[Controle_Financeiro_2026.xlsx]Lançamentos'!$B:$B,2,'[Controle_Financeiro_2026.xlsx]Lançamentos'!$C:$C,2026,'[Controle_Financeiro_2026.xlsx]Lançamentos'!$D:$D,"Geral",'[Controle_Financeiro_2026.xlsx]Lançamentos'!$G:$G,"Despesa")</f>
        <v/>
      </c>
      <c r="F13" s="4">
        <f>SUMIFS('[Controle_Financeiro_2026.xlsx]Lançamentos'!$H:$H,'[Controle_Financeiro_2026.xlsx]Lançamentos'!$F:$F,"Bruno Luiz (familiar)",'[Controle_Financeiro_2026.xlsx]Lançamentos'!$B:$B,3,'[Controle_Financeiro_2026.xlsx]Lançamentos'!$C:$C,2026,'[Controle_Financeiro_2026.xlsx]Lançamentos'!$D:$D,"Geral",'[Controle_Financeiro_2026.xlsx]Lançamentos'!$G:$G,"Despesa")</f>
        <v/>
      </c>
      <c r="G13" s="4">
        <f>SUMIFS('[Controle_Financeiro_2026.xlsx]Lançamentos'!$H:$H,'[Controle_Financeiro_2026.xlsx]Lançamentos'!$F:$F,"Bruno Luiz (familiar)",'[Controle_Financeiro_2026.xlsx]Lançamentos'!$B:$B,4,'[Controle_Financeiro_2026.xlsx]Lançamentos'!$C:$C,2026,'[Controle_Financeiro_2026.xlsx]Lançamentos'!$D:$D,"Geral",'[Controle_Financeiro_2026.xlsx]Lançamentos'!$G:$G,"Despesa")</f>
        <v/>
      </c>
      <c r="H13" s="4">
        <f>SUMIFS('[Controle_Financeiro_2026.xlsx]Lançamentos'!$H:$H,'[Controle_Financeiro_2026.xlsx]Lançamentos'!$F:$F,"Bruno Luiz (familiar)",'[Controle_Financeiro_2026.xlsx]Lançamentos'!$B:$B,5,'[Controle_Financeiro_2026.xlsx]Lançamentos'!$C:$C,2026,'[Controle_Financeiro_2026.xlsx]Lançamentos'!$D:$D,"Geral",'[Controle_Financeiro_2026.xlsx]Lançamentos'!$G:$G,"Despesa")</f>
        <v/>
      </c>
      <c r="I13" s="4">
        <f>SUMIFS('[Controle_Financeiro_2026.xlsx]Lançamentos'!$H:$H,'[Controle_Financeiro_2026.xlsx]Lançamentos'!$F:$F,"Bruno Luiz (familiar)",'[Controle_Financeiro_2026.xlsx]Lançamentos'!$B:$B,6,'[Controle_Financeiro_2026.xlsx]Lançamentos'!$C:$C,2026,'[Controle_Financeiro_2026.xlsx]Lançamentos'!$D:$D,"Geral",'[Controle_Financeiro_2026.xlsx]Lançamentos'!$G:$G,"Despesa")</f>
        <v/>
      </c>
      <c r="J13" s="5">
        <f>IFERROR(AVERAGEIF(D13:I13,"&lt;&gt;0"),0)</f>
        <v/>
      </c>
      <c r="K13" s="5">
        <f>IFERROR(AVERAGEIF(D13:I13,"&lt;&gt;0"),0)</f>
        <v/>
      </c>
      <c r="L13" s="5">
        <f>IFERROR(AVERAGEIF(D13:I13,"&lt;&gt;0"),0)</f>
        <v/>
      </c>
      <c r="M13" s="5">
        <f>IFERROR(AVERAGEIF(D13:I13,"&lt;&gt;0"),0)</f>
        <v/>
      </c>
      <c r="N13" s="5">
        <f>IFERROR(AVERAGEIF(D13:I13,"&lt;&gt;0"),0)</f>
        <v/>
      </c>
      <c r="O13" s="5">
        <f>IFERROR(AVERAGEIF(D13:I13,"&lt;&gt;0"),0)</f>
        <v/>
      </c>
      <c r="P13" s="6">
        <f>SUM(D13:O13)</f>
        <v/>
      </c>
      <c r="Q13" s="7">
        <f>AVERAGE(D13:O13)</f>
        <v/>
      </c>
    </row>
    <row r="14">
      <c r="A14" t="inlineStr">
        <is>
          <t>Pessoal</t>
        </is>
      </c>
      <c r="B14" t="inlineStr">
        <is>
          <t>Fernanda</t>
        </is>
      </c>
      <c r="C14" t="inlineStr">
        <is>
          <t>Geral</t>
        </is>
      </c>
      <c r="D14" s="4">
        <f>SUMIFS('[Controle_Financeiro_2026.xlsx]Lançamentos'!$H:$H,'[Controle_Financeiro_2026.xlsx]Lançamentos'!$F:$F,"Fernanda",'[Controle_Financeiro_2026.xlsx]Lançamentos'!$B:$B,1,'[Controle_Financeiro_2026.xlsx]Lançamentos'!$C:$C,2026,'[Controle_Financeiro_2026.xlsx]Lançamentos'!$D:$D,"Geral",'[Controle_Financeiro_2026.xlsx]Lançamentos'!$G:$G,"Despesa")</f>
        <v/>
      </c>
      <c r="E14" s="4">
        <f>SUMIFS('[Controle_Financeiro_2026.xlsx]Lançamentos'!$H:$H,'[Controle_Financeiro_2026.xlsx]Lançamentos'!$F:$F,"Fernanda",'[Controle_Financeiro_2026.xlsx]Lançamentos'!$B:$B,2,'[Controle_Financeiro_2026.xlsx]Lançamentos'!$C:$C,2026,'[Controle_Financeiro_2026.xlsx]Lançamentos'!$D:$D,"Geral",'[Controle_Financeiro_2026.xlsx]Lançamentos'!$G:$G,"Despesa")</f>
        <v/>
      </c>
      <c r="F14" s="4">
        <f>SUMIFS('[Controle_Financeiro_2026.xlsx]Lançamentos'!$H:$H,'[Controle_Financeiro_2026.xlsx]Lançamentos'!$F:$F,"Fernanda",'[Controle_Financeiro_2026.xlsx]Lançamentos'!$B:$B,3,'[Controle_Financeiro_2026.xlsx]Lançamentos'!$C:$C,2026,'[Controle_Financeiro_2026.xlsx]Lançamentos'!$D:$D,"Geral",'[Controle_Financeiro_2026.xlsx]Lançamentos'!$G:$G,"Despesa")</f>
        <v/>
      </c>
      <c r="G14" s="4">
        <f>SUMIFS('[Controle_Financeiro_2026.xlsx]Lançamentos'!$H:$H,'[Controle_Financeiro_2026.xlsx]Lançamentos'!$F:$F,"Fernanda",'[Controle_Financeiro_2026.xlsx]Lançamentos'!$B:$B,4,'[Controle_Financeiro_2026.xlsx]Lançamentos'!$C:$C,2026,'[Controle_Financeiro_2026.xlsx]Lançamentos'!$D:$D,"Geral",'[Controle_Financeiro_2026.xlsx]Lançamentos'!$G:$G,"Despesa")</f>
        <v/>
      </c>
      <c r="H14" s="4">
        <f>SUMIFS('[Controle_Financeiro_2026.xlsx]Lançamentos'!$H:$H,'[Controle_Financeiro_2026.xlsx]Lançamentos'!$F:$F,"Fernanda",'[Controle_Financeiro_2026.xlsx]Lançamentos'!$B:$B,5,'[Controle_Financeiro_2026.xlsx]Lançamentos'!$C:$C,2026,'[Controle_Financeiro_2026.xlsx]Lançamentos'!$D:$D,"Geral",'[Controle_Financeiro_2026.xlsx]Lançamentos'!$G:$G,"Despesa")</f>
        <v/>
      </c>
      <c r="I14" s="4">
        <f>SUMIFS('[Controle_Financeiro_2026.xlsx]Lançamentos'!$H:$H,'[Controle_Financeiro_2026.xlsx]Lançamentos'!$F:$F,"Fernanda",'[Controle_Financeiro_2026.xlsx]Lançamentos'!$B:$B,6,'[Controle_Financeiro_2026.xlsx]Lançamentos'!$C:$C,2026,'[Controle_Financeiro_2026.xlsx]Lançamentos'!$D:$D,"Geral",'[Controle_Financeiro_2026.xlsx]Lançamentos'!$G:$G,"Despesa")</f>
        <v/>
      </c>
      <c r="J14" s="5">
        <f>IFERROR(AVERAGEIF(D14:I14,"&lt;&gt;0"),0)</f>
        <v/>
      </c>
      <c r="K14" s="5">
        <f>IFERROR(AVERAGEIF(D14:I14,"&lt;&gt;0"),0)</f>
        <v/>
      </c>
      <c r="L14" s="5">
        <f>IFERROR(AVERAGEIF(D14:I14,"&lt;&gt;0"),0)</f>
        <v/>
      </c>
      <c r="M14" s="5">
        <f>IFERROR(AVERAGEIF(D14:I14,"&lt;&gt;0"),0)</f>
        <v/>
      </c>
      <c r="N14" s="5">
        <f>IFERROR(AVERAGEIF(D14:I14,"&lt;&gt;0"),0)</f>
        <v/>
      </c>
      <c r="O14" s="5">
        <f>IFERROR(AVERAGEIF(D14:I14,"&lt;&gt;0"),0)</f>
        <v/>
      </c>
      <c r="P14" s="6">
        <f>SUM(D14:O14)</f>
        <v/>
      </c>
      <c r="Q14" s="7">
        <f>AVERAGE(D14:O14)</f>
        <v/>
      </c>
    </row>
    <row r="15">
      <c r="A15" t="inlineStr">
        <is>
          <t>Pessoal</t>
        </is>
      </c>
      <c r="B15" t="inlineStr">
        <is>
          <t>Giovanni</t>
        </is>
      </c>
      <c r="C15" t="inlineStr">
        <is>
          <t>Geral</t>
        </is>
      </c>
      <c r="D15" s="4">
        <f>SUMIFS('[Controle_Financeiro_2026.xlsx]Lançamentos'!$H:$H,'[Controle_Financeiro_2026.xlsx]Lançamentos'!$F:$F,"Giovanni",'[Controle_Financeiro_2026.xlsx]Lançamentos'!$B:$B,1,'[Controle_Financeiro_2026.xlsx]Lançamentos'!$C:$C,2026,'[Controle_Financeiro_2026.xlsx]Lançamentos'!$D:$D,"Geral",'[Controle_Financeiro_2026.xlsx]Lançamentos'!$G:$G,"Despesa")</f>
        <v/>
      </c>
      <c r="E15" s="4">
        <f>SUMIFS('[Controle_Financeiro_2026.xlsx]Lançamentos'!$H:$H,'[Controle_Financeiro_2026.xlsx]Lançamentos'!$F:$F,"Giovanni",'[Controle_Financeiro_2026.xlsx]Lançamentos'!$B:$B,2,'[Controle_Financeiro_2026.xlsx]Lançamentos'!$C:$C,2026,'[Controle_Financeiro_2026.xlsx]Lançamentos'!$D:$D,"Geral",'[Controle_Financeiro_2026.xlsx]Lançamentos'!$G:$G,"Despesa")</f>
        <v/>
      </c>
      <c r="F15" s="4">
        <f>SUMIFS('[Controle_Financeiro_2026.xlsx]Lançamentos'!$H:$H,'[Controle_Financeiro_2026.xlsx]Lançamentos'!$F:$F,"Giovanni",'[Controle_Financeiro_2026.xlsx]Lançamentos'!$B:$B,3,'[Controle_Financeiro_2026.xlsx]Lançamentos'!$C:$C,2026,'[Controle_Financeiro_2026.xlsx]Lançamentos'!$D:$D,"Geral",'[Controle_Financeiro_2026.xlsx]Lançamentos'!$G:$G,"Despesa")</f>
        <v/>
      </c>
      <c r="G15" s="4">
        <f>SUMIFS('[Controle_Financeiro_2026.xlsx]Lançamentos'!$H:$H,'[Controle_Financeiro_2026.xlsx]Lançamentos'!$F:$F,"Giovanni",'[Controle_Financeiro_2026.xlsx]Lançamentos'!$B:$B,4,'[Controle_Financeiro_2026.xlsx]Lançamentos'!$C:$C,2026,'[Controle_Financeiro_2026.xlsx]Lançamentos'!$D:$D,"Geral",'[Controle_Financeiro_2026.xlsx]Lançamentos'!$G:$G,"Despesa")</f>
        <v/>
      </c>
      <c r="H15" s="4">
        <f>SUMIFS('[Controle_Financeiro_2026.xlsx]Lançamentos'!$H:$H,'[Controle_Financeiro_2026.xlsx]Lançamentos'!$F:$F,"Giovanni",'[Controle_Financeiro_2026.xlsx]Lançamentos'!$B:$B,5,'[Controle_Financeiro_2026.xlsx]Lançamentos'!$C:$C,2026,'[Controle_Financeiro_2026.xlsx]Lançamentos'!$D:$D,"Geral",'[Controle_Financeiro_2026.xlsx]Lançamentos'!$G:$G,"Despesa")</f>
        <v/>
      </c>
      <c r="I15" s="4">
        <f>SUMIFS('[Controle_Financeiro_2026.xlsx]Lançamentos'!$H:$H,'[Controle_Financeiro_2026.xlsx]Lançamentos'!$F:$F,"Giovanni",'[Controle_Financeiro_2026.xlsx]Lançamentos'!$B:$B,6,'[Controle_Financeiro_2026.xlsx]Lançamentos'!$C:$C,2026,'[Controle_Financeiro_2026.xlsx]Lançamentos'!$D:$D,"Geral",'[Controle_Financeiro_2026.xlsx]Lançamentos'!$G:$G,"Despesa")</f>
        <v/>
      </c>
      <c r="J15" s="5">
        <f>IFERROR(AVERAGEIF(D15:I15,"&lt;&gt;0"),0)</f>
        <v/>
      </c>
      <c r="K15" s="5">
        <f>IFERROR(AVERAGEIF(D15:I15,"&lt;&gt;0"),0)</f>
        <v/>
      </c>
      <c r="L15" s="5">
        <f>IFERROR(AVERAGEIF(D15:I15,"&lt;&gt;0"),0)</f>
        <v/>
      </c>
      <c r="M15" s="5">
        <f>IFERROR(AVERAGEIF(D15:I15,"&lt;&gt;0"),0)</f>
        <v/>
      </c>
      <c r="N15" s="5">
        <f>IFERROR(AVERAGEIF(D15:I15,"&lt;&gt;0"),0)</f>
        <v/>
      </c>
      <c r="O15" s="5">
        <f>IFERROR(AVERAGEIF(D15:I15,"&lt;&gt;0"),0)</f>
        <v/>
      </c>
      <c r="P15" s="6">
        <f>SUM(D15:O15)</f>
        <v/>
      </c>
      <c r="Q15" s="7">
        <f>AVERAGE(D15:O15)</f>
        <v/>
      </c>
    </row>
    <row r="16">
      <c r="A16" t="inlineStr">
        <is>
          <t>Pessoal</t>
        </is>
      </c>
      <c r="B16" t="inlineStr">
        <is>
          <t>Joseli</t>
        </is>
      </c>
      <c r="C16" t="inlineStr">
        <is>
          <t>Geral</t>
        </is>
      </c>
      <c r="D16" s="4">
        <f>SUMIFS('[Controle_Financeiro_2026.xlsx]Lançamentos'!$H:$H,'[Controle_Financeiro_2026.xlsx]Lançamentos'!$F:$F,"Joseli",'[Controle_Financeiro_2026.xlsx]Lançamentos'!$B:$B,1,'[Controle_Financeiro_2026.xlsx]Lançamentos'!$C:$C,2026,'[Controle_Financeiro_2026.xlsx]Lançamentos'!$D:$D,"Geral",'[Controle_Financeiro_2026.xlsx]Lançamentos'!$G:$G,"Despesa")</f>
        <v/>
      </c>
      <c r="E16" s="4">
        <f>SUMIFS('[Controle_Financeiro_2026.xlsx]Lançamentos'!$H:$H,'[Controle_Financeiro_2026.xlsx]Lançamentos'!$F:$F,"Joseli",'[Controle_Financeiro_2026.xlsx]Lançamentos'!$B:$B,2,'[Controle_Financeiro_2026.xlsx]Lançamentos'!$C:$C,2026,'[Controle_Financeiro_2026.xlsx]Lançamentos'!$D:$D,"Geral",'[Controle_Financeiro_2026.xlsx]Lançamentos'!$G:$G,"Despesa")</f>
        <v/>
      </c>
      <c r="F16" s="4">
        <f>SUMIFS('[Controle_Financeiro_2026.xlsx]Lançamentos'!$H:$H,'[Controle_Financeiro_2026.xlsx]Lançamentos'!$F:$F,"Joseli",'[Controle_Financeiro_2026.xlsx]Lançamentos'!$B:$B,3,'[Controle_Financeiro_2026.xlsx]Lançamentos'!$C:$C,2026,'[Controle_Financeiro_2026.xlsx]Lançamentos'!$D:$D,"Geral",'[Controle_Financeiro_2026.xlsx]Lançamentos'!$G:$G,"Despesa")</f>
        <v/>
      </c>
      <c r="G16" s="4">
        <f>SUMIFS('[Controle_Financeiro_2026.xlsx]Lançamentos'!$H:$H,'[Controle_Financeiro_2026.xlsx]Lançamentos'!$F:$F,"Joseli",'[Controle_Financeiro_2026.xlsx]Lançamentos'!$B:$B,4,'[Controle_Financeiro_2026.xlsx]Lançamentos'!$C:$C,2026,'[Controle_Financeiro_2026.xlsx]Lançamentos'!$D:$D,"Geral",'[Controle_Financeiro_2026.xlsx]Lançamentos'!$G:$G,"Despesa")</f>
        <v/>
      </c>
      <c r="H16" s="4">
        <f>SUMIFS('[Controle_Financeiro_2026.xlsx]Lançamentos'!$H:$H,'[Controle_Financeiro_2026.xlsx]Lançamentos'!$F:$F,"Joseli",'[Controle_Financeiro_2026.xlsx]Lançamentos'!$B:$B,5,'[Controle_Financeiro_2026.xlsx]Lançamentos'!$C:$C,2026,'[Controle_Financeiro_2026.xlsx]Lançamentos'!$D:$D,"Geral",'[Controle_Financeiro_2026.xlsx]Lançamentos'!$G:$G,"Despesa")</f>
        <v/>
      </c>
      <c r="I16" s="4">
        <f>SUMIFS('[Controle_Financeiro_2026.xlsx]Lançamentos'!$H:$H,'[Controle_Financeiro_2026.xlsx]Lançamentos'!$F:$F,"Joseli",'[Controle_Financeiro_2026.xlsx]Lançamentos'!$B:$B,6,'[Controle_Financeiro_2026.xlsx]Lançamentos'!$C:$C,2026,'[Controle_Financeiro_2026.xlsx]Lançamentos'!$D:$D,"Geral",'[Controle_Financeiro_2026.xlsx]Lançamentos'!$G:$G,"Despesa")</f>
        <v/>
      </c>
      <c r="J16" s="5">
        <f>IFERROR(AVERAGEIF(D16:I16,"&lt;&gt;0"),0)</f>
        <v/>
      </c>
      <c r="K16" s="5">
        <f>IFERROR(AVERAGEIF(D16:I16,"&lt;&gt;0"),0)</f>
        <v/>
      </c>
      <c r="L16" s="5">
        <f>IFERROR(AVERAGEIF(D16:I16,"&lt;&gt;0"),0)</f>
        <v/>
      </c>
      <c r="M16" s="5">
        <f>IFERROR(AVERAGEIF(D16:I16,"&lt;&gt;0"),0)</f>
        <v/>
      </c>
      <c r="N16" s="5">
        <f>IFERROR(AVERAGEIF(D16:I16,"&lt;&gt;0"),0)</f>
        <v/>
      </c>
      <c r="O16" s="5">
        <f>IFERROR(AVERAGEIF(D16:I16,"&lt;&gt;0"),0)</f>
        <v/>
      </c>
      <c r="P16" s="6">
        <f>SUM(D16:O16)</f>
        <v/>
      </c>
      <c r="Q16" s="7">
        <f>AVERAGE(D16:O16)</f>
        <v/>
      </c>
    </row>
    <row r="17">
      <c r="A17" t="inlineStr">
        <is>
          <t>Contas Fixas</t>
        </is>
      </c>
      <c r="B17" t="inlineStr">
        <is>
          <t>Condomínio</t>
        </is>
      </c>
      <c r="C17" t="inlineStr">
        <is>
          <t>Studio</t>
        </is>
      </c>
      <c r="D17" s="4">
        <f>SUMIFS('[Controle_Financeiro_2026.xlsx]Lançamentos'!$H:$H,'[Controle_Financeiro_2026.xlsx]Lançamentos'!$F:$F,"Condomínio",'[Controle_Financeiro_2026.xlsx]Lançamentos'!$B:$B,1,'[Controle_Financeiro_2026.xlsx]Lançamentos'!$C:$C,2026,'[Controle_Financeiro_2026.xlsx]Lançamentos'!$D:$D,"Studio",'[Controle_Financeiro_2026.xlsx]Lançamentos'!$G:$G,"Despesa")</f>
        <v/>
      </c>
      <c r="E17" s="4">
        <f>SUMIFS('[Controle_Financeiro_2026.xlsx]Lançamentos'!$H:$H,'[Controle_Financeiro_2026.xlsx]Lançamentos'!$F:$F,"Condomínio",'[Controle_Financeiro_2026.xlsx]Lançamentos'!$B:$B,2,'[Controle_Financeiro_2026.xlsx]Lançamentos'!$C:$C,2026,'[Controle_Financeiro_2026.xlsx]Lançamentos'!$D:$D,"Studio",'[Controle_Financeiro_2026.xlsx]Lançamentos'!$G:$G,"Despesa")</f>
        <v/>
      </c>
      <c r="F17" s="4">
        <f>SUMIFS('[Controle_Financeiro_2026.xlsx]Lançamentos'!$H:$H,'[Controle_Financeiro_2026.xlsx]Lançamentos'!$F:$F,"Condomínio",'[Controle_Financeiro_2026.xlsx]Lançamentos'!$B:$B,3,'[Controle_Financeiro_2026.xlsx]Lançamentos'!$C:$C,2026,'[Controle_Financeiro_2026.xlsx]Lançamentos'!$D:$D,"Studio",'[Controle_Financeiro_2026.xlsx]Lançamentos'!$G:$G,"Despesa")</f>
        <v/>
      </c>
      <c r="G17" s="4">
        <f>SUMIFS('[Controle_Financeiro_2026.xlsx]Lançamentos'!$H:$H,'[Controle_Financeiro_2026.xlsx]Lançamentos'!$F:$F,"Condomínio",'[Controle_Financeiro_2026.xlsx]Lançamentos'!$B:$B,4,'[Controle_Financeiro_2026.xlsx]Lançamentos'!$C:$C,2026,'[Controle_Financeiro_2026.xlsx]Lançamentos'!$D:$D,"Studio",'[Controle_Financeiro_2026.xlsx]Lançamentos'!$G:$G,"Despesa")</f>
        <v/>
      </c>
      <c r="H17" s="4">
        <f>SUMIFS('[Controle_Financeiro_2026.xlsx]Lançamentos'!$H:$H,'[Controle_Financeiro_2026.xlsx]Lançamentos'!$F:$F,"Condomínio",'[Controle_Financeiro_2026.xlsx]Lançamentos'!$B:$B,5,'[Controle_Financeiro_2026.xlsx]Lançamentos'!$C:$C,2026,'[Controle_Financeiro_2026.xlsx]Lançamentos'!$D:$D,"Studio",'[Controle_Financeiro_2026.xlsx]Lançamentos'!$G:$G,"Despesa")</f>
        <v/>
      </c>
      <c r="I17" s="4">
        <f>SUMIFS('[Controle_Financeiro_2026.xlsx]Lançamentos'!$H:$H,'[Controle_Financeiro_2026.xlsx]Lançamentos'!$F:$F,"Condomínio",'[Controle_Financeiro_2026.xlsx]Lançamentos'!$B:$B,6,'[Controle_Financeiro_2026.xlsx]Lançamentos'!$C:$C,2026,'[Controle_Financeiro_2026.xlsx]Lançamentos'!$D:$D,"Studio",'[Controle_Financeiro_2026.xlsx]Lançamentos'!$G:$G,"Despesa")</f>
        <v/>
      </c>
      <c r="J17" s="5">
        <f>IFERROR(AVERAGEIF(D17:I17,"&lt;&gt;0"),0)</f>
        <v/>
      </c>
      <c r="K17" s="5">
        <f>IFERROR(AVERAGEIF(D17:I17,"&lt;&gt;0"),0)</f>
        <v/>
      </c>
      <c r="L17" s="5">
        <f>IFERROR(AVERAGEIF(D17:I17,"&lt;&gt;0"),0)</f>
        <v/>
      </c>
      <c r="M17" s="5">
        <f>IFERROR(AVERAGEIF(D17:I17,"&lt;&gt;0"),0)</f>
        <v/>
      </c>
      <c r="N17" s="5">
        <f>IFERROR(AVERAGEIF(D17:I17,"&lt;&gt;0"),0)</f>
        <v/>
      </c>
      <c r="O17" s="5">
        <f>IFERROR(AVERAGEIF(D17:I17,"&lt;&gt;0"),0)</f>
        <v/>
      </c>
      <c r="P17" s="6">
        <f>SUM(D17:O17)</f>
        <v/>
      </c>
      <c r="Q17" s="7">
        <f>AVERAGE(D17:O17)</f>
        <v/>
      </c>
    </row>
    <row r="18">
      <c r="A18" t="inlineStr">
        <is>
          <t>Contas Fixas</t>
        </is>
      </c>
      <c r="B18" t="inlineStr">
        <is>
          <t>Estacionamento Studio</t>
        </is>
      </c>
      <c r="C18" t="inlineStr">
        <is>
          <t>Studio</t>
        </is>
      </c>
      <c r="D18" s="4">
        <f>SUMIFS('[Controle_Financeiro_2026.xlsx]Lançamentos'!$H:$H,'[Controle_Financeiro_2026.xlsx]Lançamentos'!$F:$F,"Estacionamento Studio",'[Controle_Financeiro_2026.xlsx]Lançamentos'!$B:$B,1,'[Controle_Financeiro_2026.xlsx]Lançamentos'!$C:$C,2026,'[Controle_Financeiro_2026.xlsx]Lançamentos'!$D:$D,"Studio",'[Controle_Financeiro_2026.xlsx]Lançamentos'!$G:$G,"Despesa")</f>
        <v/>
      </c>
      <c r="E18" s="4">
        <f>SUMIFS('[Controle_Financeiro_2026.xlsx]Lançamentos'!$H:$H,'[Controle_Financeiro_2026.xlsx]Lançamentos'!$F:$F,"Estacionamento Studio",'[Controle_Financeiro_2026.xlsx]Lançamentos'!$B:$B,2,'[Controle_Financeiro_2026.xlsx]Lançamentos'!$C:$C,2026,'[Controle_Financeiro_2026.xlsx]Lançamentos'!$D:$D,"Studio",'[Controle_Financeiro_2026.xlsx]Lançamentos'!$G:$G,"Despesa")</f>
        <v/>
      </c>
      <c r="F18" s="4">
        <f>SUMIFS('[Controle_Financeiro_2026.xlsx]Lançamentos'!$H:$H,'[Controle_Financeiro_2026.xlsx]Lançamentos'!$F:$F,"Estacionamento Studio",'[Controle_Financeiro_2026.xlsx]Lançamentos'!$B:$B,3,'[Controle_Financeiro_2026.xlsx]Lançamentos'!$C:$C,2026,'[Controle_Financeiro_2026.xlsx]Lançamentos'!$D:$D,"Studio",'[Controle_Financeiro_2026.xlsx]Lançamentos'!$G:$G,"Despesa")</f>
        <v/>
      </c>
      <c r="G18" s="4">
        <f>SUMIFS('[Controle_Financeiro_2026.xlsx]Lançamentos'!$H:$H,'[Controle_Financeiro_2026.xlsx]Lançamentos'!$F:$F,"Estacionamento Studio",'[Controle_Financeiro_2026.xlsx]Lançamentos'!$B:$B,4,'[Controle_Financeiro_2026.xlsx]Lançamentos'!$C:$C,2026,'[Controle_Financeiro_2026.xlsx]Lançamentos'!$D:$D,"Studio",'[Controle_Financeiro_2026.xlsx]Lançamentos'!$G:$G,"Despesa")</f>
        <v/>
      </c>
      <c r="H18" s="4">
        <f>SUMIFS('[Controle_Financeiro_2026.xlsx]Lançamentos'!$H:$H,'[Controle_Financeiro_2026.xlsx]Lançamentos'!$F:$F,"Estacionamento Studio",'[Controle_Financeiro_2026.xlsx]Lançamentos'!$B:$B,5,'[Controle_Financeiro_2026.xlsx]Lançamentos'!$C:$C,2026,'[Controle_Financeiro_2026.xlsx]Lançamentos'!$D:$D,"Studio",'[Controle_Financeiro_2026.xlsx]Lançamentos'!$G:$G,"Despesa")</f>
        <v/>
      </c>
      <c r="I18" s="4">
        <f>SUMIFS('[Controle_Financeiro_2026.xlsx]Lançamentos'!$H:$H,'[Controle_Financeiro_2026.xlsx]Lançamentos'!$F:$F,"Estacionamento Studio",'[Controle_Financeiro_2026.xlsx]Lançamentos'!$B:$B,6,'[Controle_Financeiro_2026.xlsx]Lançamentos'!$C:$C,2026,'[Controle_Financeiro_2026.xlsx]Lançamentos'!$D:$D,"Studio",'[Controle_Financeiro_2026.xlsx]Lançamentos'!$G:$G,"Despesa")</f>
        <v/>
      </c>
      <c r="J18" s="5">
        <f>IFERROR(AVERAGEIF(D18:I18,"&lt;&gt;0"),0)</f>
        <v/>
      </c>
      <c r="K18" s="5">
        <f>IFERROR(AVERAGEIF(D18:I18,"&lt;&gt;0"),0)</f>
        <v/>
      </c>
      <c r="L18" s="5">
        <f>IFERROR(AVERAGEIF(D18:I18,"&lt;&gt;0"),0)</f>
        <v/>
      </c>
      <c r="M18" s="5">
        <f>IFERROR(AVERAGEIF(D18:I18,"&lt;&gt;0"),0)</f>
        <v/>
      </c>
      <c r="N18" s="5">
        <f>IFERROR(AVERAGEIF(D18:I18,"&lt;&gt;0"),0)</f>
        <v/>
      </c>
      <c r="O18" s="5">
        <f>IFERROR(AVERAGEIF(D18:I18,"&lt;&gt;0"),0)</f>
        <v/>
      </c>
      <c r="P18" s="6">
        <f>SUM(D18:O18)</f>
        <v/>
      </c>
      <c r="Q18" s="7">
        <f>AVERAGE(D18:O18)</f>
        <v/>
      </c>
    </row>
    <row r="19">
      <c r="A19" t="inlineStr">
        <is>
          <t>Contas Fixas</t>
        </is>
      </c>
      <c r="B19" t="inlineStr">
        <is>
          <t>Hospedagem / Site</t>
        </is>
      </c>
      <c r="C19" t="inlineStr">
        <is>
          <t>Studio</t>
        </is>
      </c>
      <c r="D19" s="4">
        <f>SUMIFS('[Controle_Financeiro_2026.xlsx]Lançamentos'!$H:$H,'[Controle_Financeiro_2026.xlsx]Lançamentos'!$F:$F,"Hospedagem / Site",'[Controle_Financeiro_2026.xlsx]Lançamentos'!$B:$B,1,'[Controle_Financeiro_2026.xlsx]Lançamentos'!$C:$C,2026,'[Controle_Financeiro_2026.xlsx]Lançamentos'!$D:$D,"Studio",'[Controle_Financeiro_2026.xlsx]Lançamentos'!$G:$G,"Despesa")</f>
        <v/>
      </c>
      <c r="E19" s="4">
        <f>SUMIFS('[Controle_Financeiro_2026.xlsx]Lançamentos'!$H:$H,'[Controle_Financeiro_2026.xlsx]Lançamentos'!$F:$F,"Hospedagem / Site",'[Controle_Financeiro_2026.xlsx]Lançamentos'!$B:$B,2,'[Controle_Financeiro_2026.xlsx]Lançamentos'!$C:$C,2026,'[Controle_Financeiro_2026.xlsx]Lançamentos'!$D:$D,"Studio",'[Controle_Financeiro_2026.xlsx]Lançamentos'!$G:$G,"Despesa")</f>
        <v/>
      </c>
      <c r="F19" s="4">
        <f>SUMIFS('[Controle_Financeiro_2026.xlsx]Lançamentos'!$H:$H,'[Controle_Financeiro_2026.xlsx]Lançamentos'!$F:$F,"Hospedagem / Site",'[Controle_Financeiro_2026.xlsx]Lançamentos'!$B:$B,3,'[Controle_Financeiro_2026.xlsx]Lançamentos'!$C:$C,2026,'[Controle_Financeiro_2026.xlsx]Lançamentos'!$D:$D,"Studio",'[Controle_Financeiro_2026.xlsx]Lançamentos'!$G:$G,"Despesa")</f>
        <v/>
      </c>
      <c r="G19" s="4">
        <f>SUMIFS('[Controle_Financeiro_2026.xlsx]Lançamentos'!$H:$H,'[Controle_Financeiro_2026.xlsx]Lançamentos'!$F:$F,"Hospedagem / Site",'[Controle_Financeiro_2026.xlsx]Lançamentos'!$B:$B,4,'[Controle_Financeiro_2026.xlsx]Lançamentos'!$C:$C,2026,'[Controle_Financeiro_2026.xlsx]Lançamentos'!$D:$D,"Studio",'[Controle_Financeiro_2026.xlsx]Lançamentos'!$G:$G,"Despesa")</f>
        <v/>
      </c>
      <c r="H19" s="4">
        <f>SUMIFS('[Controle_Financeiro_2026.xlsx]Lançamentos'!$H:$H,'[Controle_Financeiro_2026.xlsx]Lançamentos'!$F:$F,"Hospedagem / Site",'[Controle_Financeiro_2026.xlsx]Lançamentos'!$B:$B,5,'[Controle_Financeiro_2026.xlsx]Lançamentos'!$C:$C,2026,'[Controle_Financeiro_2026.xlsx]Lançamentos'!$D:$D,"Studio",'[Controle_Financeiro_2026.xlsx]Lançamentos'!$G:$G,"Despesa")</f>
        <v/>
      </c>
      <c r="I19" s="4">
        <f>SUMIFS('[Controle_Financeiro_2026.xlsx]Lançamentos'!$H:$H,'[Controle_Financeiro_2026.xlsx]Lançamentos'!$F:$F,"Hospedagem / Site",'[Controle_Financeiro_2026.xlsx]Lançamentos'!$B:$B,6,'[Controle_Financeiro_2026.xlsx]Lançamentos'!$C:$C,2026,'[Controle_Financeiro_2026.xlsx]Lançamentos'!$D:$D,"Studio",'[Controle_Financeiro_2026.xlsx]Lançamentos'!$G:$G,"Despesa")</f>
        <v/>
      </c>
      <c r="J19" s="5">
        <f>IFERROR(AVERAGEIF(D19:I19,"&lt;&gt;0"),0)</f>
        <v/>
      </c>
      <c r="K19" s="5">
        <f>IFERROR(AVERAGEIF(D19:I19,"&lt;&gt;0"),0)</f>
        <v/>
      </c>
      <c r="L19" s="5">
        <f>IFERROR(AVERAGEIF(D19:I19,"&lt;&gt;0"),0)</f>
        <v/>
      </c>
      <c r="M19" s="5">
        <f>IFERROR(AVERAGEIF(D19:I19,"&lt;&gt;0"),0)</f>
        <v/>
      </c>
      <c r="N19" s="5">
        <f>IFERROR(AVERAGEIF(D19:I19,"&lt;&gt;0"),0)</f>
        <v/>
      </c>
      <c r="O19" s="5">
        <f>IFERROR(AVERAGEIF(D19:I19,"&lt;&gt;0"),0)</f>
        <v/>
      </c>
      <c r="P19" s="6">
        <f>SUM(D19:O19)</f>
        <v/>
      </c>
      <c r="Q19" s="7">
        <f>AVERAGE(D19:O19)</f>
        <v/>
      </c>
    </row>
    <row r="20">
      <c r="A20" t="inlineStr">
        <is>
          <t>Contas Fixas</t>
        </is>
      </c>
      <c r="B20" t="inlineStr">
        <is>
          <t>Internet / Telecom</t>
        </is>
      </c>
      <c r="C20" t="inlineStr">
        <is>
          <t>Studio</t>
        </is>
      </c>
      <c r="D20" s="4">
        <f>SUMIFS('[Controle_Financeiro_2026.xlsx]Lançamentos'!$H:$H,'[Controle_Financeiro_2026.xlsx]Lançamentos'!$F:$F,"Internet / Telecom",'[Controle_Financeiro_2026.xlsx]Lançamentos'!$B:$B,1,'[Controle_Financeiro_2026.xlsx]Lançamentos'!$C:$C,2026,'[Controle_Financeiro_2026.xlsx]Lançamentos'!$D:$D,"Studio",'[Controle_Financeiro_2026.xlsx]Lançamentos'!$G:$G,"Despesa")</f>
        <v/>
      </c>
      <c r="E20" s="4">
        <f>SUMIFS('[Controle_Financeiro_2026.xlsx]Lançamentos'!$H:$H,'[Controle_Financeiro_2026.xlsx]Lançamentos'!$F:$F,"Internet / Telecom",'[Controle_Financeiro_2026.xlsx]Lançamentos'!$B:$B,2,'[Controle_Financeiro_2026.xlsx]Lançamentos'!$C:$C,2026,'[Controle_Financeiro_2026.xlsx]Lançamentos'!$D:$D,"Studio",'[Controle_Financeiro_2026.xlsx]Lançamentos'!$G:$G,"Despesa")</f>
        <v/>
      </c>
      <c r="F20" s="4">
        <f>SUMIFS('[Controle_Financeiro_2026.xlsx]Lançamentos'!$H:$H,'[Controle_Financeiro_2026.xlsx]Lançamentos'!$F:$F,"Internet / Telecom",'[Controle_Financeiro_2026.xlsx]Lançamentos'!$B:$B,3,'[Controle_Financeiro_2026.xlsx]Lançamentos'!$C:$C,2026,'[Controle_Financeiro_2026.xlsx]Lançamentos'!$D:$D,"Studio",'[Controle_Financeiro_2026.xlsx]Lançamentos'!$G:$G,"Despesa")</f>
        <v/>
      </c>
      <c r="G20" s="4">
        <f>SUMIFS('[Controle_Financeiro_2026.xlsx]Lançamentos'!$H:$H,'[Controle_Financeiro_2026.xlsx]Lançamentos'!$F:$F,"Internet / Telecom",'[Controle_Financeiro_2026.xlsx]Lançamentos'!$B:$B,4,'[Controle_Financeiro_2026.xlsx]Lançamentos'!$C:$C,2026,'[Controle_Financeiro_2026.xlsx]Lançamentos'!$D:$D,"Studio",'[Controle_Financeiro_2026.xlsx]Lançamentos'!$G:$G,"Despesa")</f>
        <v/>
      </c>
      <c r="H20" s="4">
        <f>SUMIFS('[Controle_Financeiro_2026.xlsx]Lançamentos'!$H:$H,'[Controle_Financeiro_2026.xlsx]Lançamentos'!$F:$F,"Internet / Telecom",'[Controle_Financeiro_2026.xlsx]Lançamentos'!$B:$B,5,'[Controle_Financeiro_2026.xlsx]Lançamentos'!$C:$C,2026,'[Controle_Financeiro_2026.xlsx]Lançamentos'!$D:$D,"Studio",'[Controle_Financeiro_2026.xlsx]Lançamentos'!$G:$G,"Despesa")</f>
        <v/>
      </c>
      <c r="I20" s="4">
        <f>SUMIFS('[Controle_Financeiro_2026.xlsx]Lançamentos'!$H:$H,'[Controle_Financeiro_2026.xlsx]Lançamentos'!$F:$F,"Internet / Telecom",'[Controle_Financeiro_2026.xlsx]Lançamentos'!$B:$B,6,'[Controle_Financeiro_2026.xlsx]Lançamentos'!$C:$C,2026,'[Controle_Financeiro_2026.xlsx]Lançamentos'!$D:$D,"Studio",'[Controle_Financeiro_2026.xlsx]Lançamentos'!$G:$G,"Despesa")</f>
        <v/>
      </c>
      <c r="J20" s="5">
        <f>IFERROR(AVERAGEIF(D20:I20,"&lt;&gt;0"),0)</f>
        <v/>
      </c>
      <c r="K20" s="5">
        <f>IFERROR(AVERAGEIF(D20:I20,"&lt;&gt;0"),0)</f>
        <v/>
      </c>
      <c r="L20" s="5">
        <f>IFERROR(AVERAGEIF(D20:I20,"&lt;&gt;0"),0)</f>
        <v/>
      </c>
      <c r="M20" s="5">
        <f>IFERROR(AVERAGEIF(D20:I20,"&lt;&gt;0"),0)</f>
        <v/>
      </c>
      <c r="N20" s="5">
        <f>IFERROR(AVERAGEIF(D20:I20,"&lt;&gt;0"),0)</f>
        <v/>
      </c>
      <c r="O20" s="5">
        <f>IFERROR(AVERAGEIF(D20:I20,"&lt;&gt;0"),0)</f>
        <v/>
      </c>
      <c r="P20" s="6">
        <f>SUM(D20:O20)</f>
        <v/>
      </c>
      <c r="Q20" s="7">
        <f>AVERAGE(D20:O20)</f>
        <v/>
      </c>
    </row>
    <row r="21">
      <c r="A21" t="inlineStr">
        <is>
          <t>Contas Variáveis</t>
        </is>
      </c>
      <c r="B21" t="inlineStr">
        <is>
          <t>Facebook / Meta Ads</t>
        </is>
      </c>
      <c r="C21" t="inlineStr">
        <is>
          <t>Studio</t>
        </is>
      </c>
      <c r="D21" s="4">
        <f>SUMIFS('[Controle_Financeiro_2026.xlsx]Lançamentos'!$H:$H,'[Controle_Financeiro_2026.xlsx]Lançamentos'!$F:$F,"Facebook / Meta Ads",'[Controle_Financeiro_2026.xlsx]Lançamentos'!$B:$B,1,'[Controle_Financeiro_2026.xlsx]Lançamentos'!$C:$C,2026,'[Controle_Financeiro_2026.xlsx]Lançamentos'!$D:$D,"Studio",'[Controle_Financeiro_2026.xlsx]Lançamentos'!$G:$G,"Despesa")</f>
        <v/>
      </c>
      <c r="E21" s="4">
        <f>SUMIFS('[Controle_Financeiro_2026.xlsx]Lançamentos'!$H:$H,'[Controle_Financeiro_2026.xlsx]Lançamentos'!$F:$F,"Facebook / Meta Ads",'[Controle_Financeiro_2026.xlsx]Lançamentos'!$B:$B,2,'[Controle_Financeiro_2026.xlsx]Lançamentos'!$C:$C,2026,'[Controle_Financeiro_2026.xlsx]Lançamentos'!$D:$D,"Studio",'[Controle_Financeiro_2026.xlsx]Lançamentos'!$G:$G,"Despesa")</f>
        <v/>
      </c>
      <c r="F21" s="4">
        <f>SUMIFS('[Controle_Financeiro_2026.xlsx]Lançamentos'!$H:$H,'[Controle_Financeiro_2026.xlsx]Lançamentos'!$F:$F,"Facebook / Meta Ads",'[Controle_Financeiro_2026.xlsx]Lançamentos'!$B:$B,3,'[Controle_Financeiro_2026.xlsx]Lançamentos'!$C:$C,2026,'[Controle_Financeiro_2026.xlsx]Lançamentos'!$D:$D,"Studio",'[Controle_Financeiro_2026.xlsx]Lançamentos'!$G:$G,"Despesa")</f>
        <v/>
      </c>
      <c r="G21" s="4">
        <f>SUMIFS('[Controle_Financeiro_2026.xlsx]Lançamentos'!$H:$H,'[Controle_Financeiro_2026.xlsx]Lançamentos'!$F:$F,"Facebook / Meta Ads",'[Controle_Financeiro_2026.xlsx]Lançamentos'!$B:$B,4,'[Controle_Financeiro_2026.xlsx]Lançamentos'!$C:$C,2026,'[Controle_Financeiro_2026.xlsx]Lançamentos'!$D:$D,"Studio",'[Controle_Financeiro_2026.xlsx]Lançamentos'!$G:$G,"Despesa")</f>
        <v/>
      </c>
      <c r="H21" s="4">
        <f>SUMIFS('[Controle_Financeiro_2026.xlsx]Lançamentos'!$H:$H,'[Controle_Financeiro_2026.xlsx]Lançamentos'!$F:$F,"Facebook / Meta Ads",'[Controle_Financeiro_2026.xlsx]Lançamentos'!$B:$B,5,'[Controle_Financeiro_2026.xlsx]Lançamentos'!$C:$C,2026,'[Controle_Financeiro_2026.xlsx]Lançamentos'!$D:$D,"Studio",'[Controle_Financeiro_2026.xlsx]Lançamentos'!$G:$G,"Despesa")</f>
        <v/>
      </c>
      <c r="I21" s="4">
        <f>SUMIFS('[Controle_Financeiro_2026.xlsx]Lançamentos'!$H:$H,'[Controle_Financeiro_2026.xlsx]Lançamentos'!$F:$F,"Facebook / Meta Ads",'[Controle_Financeiro_2026.xlsx]Lançamentos'!$B:$B,6,'[Controle_Financeiro_2026.xlsx]Lançamentos'!$C:$C,2026,'[Controle_Financeiro_2026.xlsx]Lançamentos'!$D:$D,"Studio",'[Controle_Financeiro_2026.xlsx]Lançamentos'!$G:$G,"Despesa")</f>
        <v/>
      </c>
      <c r="J21" s="5">
        <f>IFERROR(AVERAGEIF(D21:I21,"&lt;&gt;0"),0)</f>
        <v/>
      </c>
      <c r="K21" s="5">
        <f>IFERROR(AVERAGEIF(D21:I21,"&lt;&gt;0"),0)</f>
        <v/>
      </c>
      <c r="L21" s="5">
        <f>IFERROR(AVERAGEIF(D21:I21,"&lt;&gt;0"),0)</f>
        <v/>
      </c>
      <c r="M21" s="5">
        <f>IFERROR(AVERAGEIF(D21:I21,"&lt;&gt;0"),0)</f>
        <v/>
      </c>
      <c r="N21" s="5">
        <f>IFERROR(AVERAGEIF(D21:I21,"&lt;&gt;0"),0)</f>
        <v/>
      </c>
      <c r="O21" s="5">
        <f>IFERROR(AVERAGEIF(D21:I21,"&lt;&gt;0"),0)</f>
        <v/>
      </c>
      <c r="P21" s="6">
        <f>SUM(D21:O21)</f>
        <v/>
      </c>
      <c r="Q21" s="7">
        <f>AVERAGE(D21:O21)</f>
        <v/>
      </c>
    </row>
    <row r="22">
      <c r="A22" t="inlineStr">
        <is>
          <t>Contas Variáveis</t>
        </is>
      </c>
      <c r="B22" t="inlineStr">
        <is>
          <t>Google Ads / Google</t>
        </is>
      </c>
      <c r="C22" t="inlineStr">
        <is>
          <t>Studio</t>
        </is>
      </c>
      <c r="D22" s="4">
        <f>SUMIFS('[Controle_Financeiro_2026.xlsx]Lançamentos'!$H:$H,'[Controle_Financeiro_2026.xlsx]Lançamentos'!$F:$F,"Google Ads / Google",'[Controle_Financeiro_2026.xlsx]Lançamentos'!$B:$B,1,'[Controle_Financeiro_2026.xlsx]Lançamentos'!$C:$C,2026,'[Controle_Financeiro_2026.xlsx]Lançamentos'!$D:$D,"Studio",'[Controle_Financeiro_2026.xlsx]Lançamentos'!$G:$G,"Despesa")</f>
        <v/>
      </c>
      <c r="E22" s="4">
        <f>SUMIFS('[Controle_Financeiro_2026.xlsx]Lançamentos'!$H:$H,'[Controle_Financeiro_2026.xlsx]Lançamentos'!$F:$F,"Google Ads / Google",'[Controle_Financeiro_2026.xlsx]Lançamentos'!$B:$B,2,'[Controle_Financeiro_2026.xlsx]Lançamentos'!$C:$C,2026,'[Controle_Financeiro_2026.xlsx]Lançamentos'!$D:$D,"Studio",'[Controle_Financeiro_2026.xlsx]Lançamentos'!$G:$G,"Despesa")</f>
        <v/>
      </c>
      <c r="F22" s="4">
        <f>SUMIFS('[Controle_Financeiro_2026.xlsx]Lançamentos'!$H:$H,'[Controle_Financeiro_2026.xlsx]Lançamentos'!$F:$F,"Google Ads / Google",'[Controle_Financeiro_2026.xlsx]Lançamentos'!$B:$B,3,'[Controle_Financeiro_2026.xlsx]Lançamentos'!$C:$C,2026,'[Controle_Financeiro_2026.xlsx]Lançamentos'!$D:$D,"Studio",'[Controle_Financeiro_2026.xlsx]Lançamentos'!$G:$G,"Despesa")</f>
        <v/>
      </c>
      <c r="G22" s="4">
        <f>SUMIFS('[Controle_Financeiro_2026.xlsx]Lançamentos'!$H:$H,'[Controle_Financeiro_2026.xlsx]Lançamentos'!$F:$F,"Google Ads / Google",'[Controle_Financeiro_2026.xlsx]Lançamentos'!$B:$B,4,'[Controle_Financeiro_2026.xlsx]Lançamentos'!$C:$C,2026,'[Controle_Financeiro_2026.xlsx]Lançamentos'!$D:$D,"Studio",'[Controle_Financeiro_2026.xlsx]Lançamentos'!$G:$G,"Despesa")</f>
        <v/>
      </c>
      <c r="H22" s="4">
        <f>SUMIFS('[Controle_Financeiro_2026.xlsx]Lançamentos'!$H:$H,'[Controle_Financeiro_2026.xlsx]Lançamentos'!$F:$F,"Google Ads / Google",'[Controle_Financeiro_2026.xlsx]Lançamentos'!$B:$B,5,'[Controle_Financeiro_2026.xlsx]Lançamentos'!$C:$C,2026,'[Controle_Financeiro_2026.xlsx]Lançamentos'!$D:$D,"Studio",'[Controle_Financeiro_2026.xlsx]Lançamentos'!$G:$G,"Despesa")</f>
        <v/>
      </c>
      <c r="I22" s="4">
        <f>SUMIFS('[Controle_Financeiro_2026.xlsx]Lançamentos'!$H:$H,'[Controle_Financeiro_2026.xlsx]Lançamentos'!$F:$F,"Google Ads / Google",'[Controle_Financeiro_2026.xlsx]Lançamentos'!$B:$B,6,'[Controle_Financeiro_2026.xlsx]Lançamentos'!$C:$C,2026,'[Controle_Financeiro_2026.xlsx]Lançamentos'!$D:$D,"Studio",'[Controle_Financeiro_2026.xlsx]Lançamentos'!$G:$G,"Despesa")</f>
        <v/>
      </c>
      <c r="J22" s="5">
        <f>IFERROR(AVERAGEIF(D22:I22,"&lt;&gt;0"),0)</f>
        <v/>
      </c>
      <c r="K22" s="5">
        <f>IFERROR(AVERAGEIF(D22:I22,"&lt;&gt;0"),0)</f>
        <v/>
      </c>
      <c r="L22" s="5">
        <f>IFERROR(AVERAGEIF(D22:I22,"&lt;&gt;0"),0)</f>
        <v/>
      </c>
      <c r="M22" s="5">
        <f>IFERROR(AVERAGEIF(D22:I22,"&lt;&gt;0"),0)</f>
        <v/>
      </c>
      <c r="N22" s="5">
        <f>IFERROR(AVERAGEIF(D22:I22,"&lt;&gt;0"),0)</f>
        <v/>
      </c>
      <c r="O22" s="5">
        <f>IFERROR(AVERAGEIF(D22:I22,"&lt;&gt;0"),0)</f>
        <v/>
      </c>
      <c r="P22" s="6">
        <f>SUM(D22:O22)</f>
        <v/>
      </c>
      <c r="Q22" s="7">
        <f>AVERAGE(D22:O22)</f>
        <v/>
      </c>
    </row>
    <row r="23">
      <c r="A23" t="inlineStr">
        <is>
          <t>Impostos</t>
        </is>
      </c>
      <c r="B23" t="inlineStr">
        <is>
          <t>Tributo / Guia</t>
        </is>
      </c>
      <c r="C23" t="inlineStr">
        <is>
          <t>Studio</t>
        </is>
      </c>
      <c r="D23" s="4">
        <f>SUMIFS('[Controle_Financeiro_2026.xlsx]Lançamentos'!$H:$H,'[Controle_Financeiro_2026.xlsx]Lançamentos'!$F:$F,"Tributo / Guia",'[Controle_Financeiro_2026.xlsx]Lançamentos'!$B:$B,1,'[Controle_Financeiro_2026.xlsx]Lançamentos'!$C:$C,2026,'[Controle_Financeiro_2026.xlsx]Lançamentos'!$D:$D,"Studio",'[Controle_Financeiro_2026.xlsx]Lançamentos'!$G:$G,"Despesa")</f>
        <v/>
      </c>
      <c r="E23" s="4">
        <f>SUMIFS('[Controle_Financeiro_2026.xlsx]Lançamentos'!$H:$H,'[Controle_Financeiro_2026.xlsx]Lançamentos'!$F:$F,"Tributo / Guia",'[Controle_Financeiro_2026.xlsx]Lançamentos'!$B:$B,2,'[Controle_Financeiro_2026.xlsx]Lançamentos'!$C:$C,2026,'[Controle_Financeiro_2026.xlsx]Lançamentos'!$D:$D,"Studio",'[Controle_Financeiro_2026.xlsx]Lançamentos'!$G:$G,"Despesa")</f>
        <v/>
      </c>
      <c r="F23" s="4">
        <f>SUMIFS('[Controle_Financeiro_2026.xlsx]Lançamentos'!$H:$H,'[Controle_Financeiro_2026.xlsx]Lançamentos'!$F:$F,"Tributo / Guia",'[Controle_Financeiro_2026.xlsx]Lançamentos'!$B:$B,3,'[Controle_Financeiro_2026.xlsx]Lançamentos'!$C:$C,2026,'[Controle_Financeiro_2026.xlsx]Lançamentos'!$D:$D,"Studio",'[Controle_Financeiro_2026.xlsx]Lançamentos'!$G:$G,"Despesa")</f>
        <v/>
      </c>
      <c r="G23" s="4">
        <f>SUMIFS('[Controle_Financeiro_2026.xlsx]Lançamentos'!$H:$H,'[Controle_Financeiro_2026.xlsx]Lançamentos'!$F:$F,"Tributo / Guia",'[Controle_Financeiro_2026.xlsx]Lançamentos'!$B:$B,4,'[Controle_Financeiro_2026.xlsx]Lançamentos'!$C:$C,2026,'[Controle_Financeiro_2026.xlsx]Lançamentos'!$D:$D,"Studio",'[Controle_Financeiro_2026.xlsx]Lançamentos'!$G:$G,"Despesa")</f>
        <v/>
      </c>
      <c r="H23" s="4">
        <f>SUMIFS('[Controle_Financeiro_2026.xlsx]Lançamentos'!$H:$H,'[Controle_Financeiro_2026.xlsx]Lançamentos'!$F:$F,"Tributo / Guia",'[Controle_Financeiro_2026.xlsx]Lançamentos'!$B:$B,5,'[Controle_Financeiro_2026.xlsx]Lançamentos'!$C:$C,2026,'[Controle_Financeiro_2026.xlsx]Lançamentos'!$D:$D,"Studio",'[Controle_Financeiro_2026.xlsx]Lançamentos'!$G:$G,"Despesa")</f>
        <v/>
      </c>
      <c r="I23" s="4">
        <f>SUMIFS('[Controle_Financeiro_2026.xlsx]Lançamentos'!$H:$H,'[Controle_Financeiro_2026.xlsx]Lançamentos'!$F:$F,"Tributo / Guia",'[Controle_Financeiro_2026.xlsx]Lançamentos'!$B:$B,6,'[Controle_Financeiro_2026.xlsx]Lançamentos'!$C:$C,2026,'[Controle_Financeiro_2026.xlsx]Lançamentos'!$D:$D,"Studio",'[Controle_Financeiro_2026.xlsx]Lançamentos'!$G:$G,"Despesa")</f>
        <v/>
      </c>
      <c r="J23" s="5">
        <f>IFERROR(AVERAGEIF(D23:I23,"&lt;&gt;0"),0)</f>
        <v/>
      </c>
      <c r="K23" s="5">
        <f>IFERROR(AVERAGEIF(D23:I23,"&lt;&gt;0"),0)</f>
        <v/>
      </c>
      <c r="L23" s="5">
        <f>IFERROR(AVERAGEIF(D23:I23,"&lt;&gt;0"),0)</f>
        <v/>
      </c>
      <c r="M23" s="5">
        <f>IFERROR(AVERAGEIF(D23:I23,"&lt;&gt;0"),0)</f>
        <v/>
      </c>
      <c r="N23" s="5">
        <f>IFERROR(AVERAGEIF(D23:I23,"&lt;&gt;0"),0)</f>
        <v/>
      </c>
      <c r="O23" s="5">
        <f>IFERROR(AVERAGEIF(D23:I23,"&lt;&gt;0"),0)</f>
        <v/>
      </c>
      <c r="P23" s="6">
        <f>SUM(D23:O23)</f>
        <v/>
      </c>
      <c r="Q23" s="7">
        <f>AVERAGE(D23:O23)</f>
        <v/>
      </c>
    </row>
    <row r="24">
      <c r="A24" t="inlineStr">
        <is>
          <t>Impostos</t>
        </is>
      </c>
      <c r="B24" t="inlineStr">
        <is>
          <t>Tributo Municipal</t>
        </is>
      </c>
      <c r="C24" t="inlineStr">
        <is>
          <t>Studio</t>
        </is>
      </c>
      <c r="D24" s="4">
        <f>SUMIFS('[Controle_Financeiro_2026.xlsx]Lançamentos'!$H:$H,'[Controle_Financeiro_2026.xlsx]Lançamentos'!$F:$F,"Tributo Municipal",'[Controle_Financeiro_2026.xlsx]Lançamentos'!$B:$B,1,'[Controle_Financeiro_2026.xlsx]Lançamentos'!$C:$C,2026,'[Controle_Financeiro_2026.xlsx]Lançamentos'!$D:$D,"Studio",'[Controle_Financeiro_2026.xlsx]Lançamentos'!$G:$G,"Despesa")</f>
        <v/>
      </c>
      <c r="E24" s="4">
        <f>SUMIFS('[Controle_Financeiro_2026.xlsx]Lançamentos'!$H:$H,'[Controle_Financeiro_2026.xlsx]Lançamentos'!$F:$F,"Tributo Municipal",'[Controle_Financeiro_2026.xlsx]Lançamentos'!$B:$B,2,'[Controle_Financeiro_2026.xlsx]Lançamentos'!$C:$C,2026,'[Controle_Financeiro_2026.xlsx]Lançamentos'!$D:$D,"Studio",'[Controle_Financeiro_2026.xlsx]Lançamentos'!$G:$G,"Despesa")</f>
        <v/>
      </c>
      <c r="F24" s="4">
        <f>SUMIFS('[Controle_Financeiro_2026.xlsx]Lançamentos'!$H:$H,'[Controle_Financeiro_2026.xlsx]Lançamentos'!$F:$F,"Tributo Municipal",'[Controle_Financeiro_2026.xlsx]Lançamentos'!$B:$B,3,'[Controle_Financeiro_2026.xlsx]Lançamentos'!$C:$C,2026,'[Controle_Financeiro_2026.xlsx]Lançamentos'!$D:$D,"Studio",'[Controle_Financeiro_2026.xlsx]Lançamentos'!$G:$G,"Despesa")</f>
        <v/>
      </c>
      <c r="G24" s="4">
        <f>SUMIFS('[Controle_Financeiro_2026.xlsx]Lançamentos'!$H:$H,'[Controle_Financeiro_2026.xlsx]Lançamentos'!$F:$F,"Tributo Municipal",'[Controle_Financeiro_2026.xlsx]Lançamentos'!$B:$B,4,'[Controle_Financeiro_2026.xlsx]Lançamentos'!$C:$C,2026,'[Controle_Financeiro_2026.xlsx]Lançamentos'!$D:$D,"Studio",'[Controle_Financeiro_2026.xlsx]Lançamentos'!$G:$G,"Despesa")</f>
        <v/>
      </c>
      <c r="H24" s="4">
        <f>SUMIFS('[Controle_Financeiro_2026.xlsx]Lançamentos'!$H:$H,'[Controle_Financeiro_2026.xlsx]Lançamentos'!$F:$F,"Tributo Municipal",'[Controle_Financeiro_2026.xlsx]Lançamentos'!$B:$B,5,'[Controle_Financeiro_2026.xlsx]Lançamentos'!$C:$C,2026,'[Controle_Financeiro_2026.xlsx]Lançamentos'!$D:$D,"Studio",'[Controle_Financeiro_2026.xlsx]Lançamentos'!$G:$G,"Despesa")</f>
        <v/>
      </c>
      <c r="I24" s="4">
        <f>SUMIFS('[Controle_Financeiro_2026.xlsx]Lançamentos'!$H:$H,'[Controle_Financeiro_2026.xlsx]Lançamentos'!$F:$F,"Tributo Municipal",'[Controle_Financeiro_2026.xlsx]Lançamentos'!$B:$B,6,'[Controle_Financeiro_2026.xlsx]Lançamentos'!$C:$C,2026,'[Controle_Financeiro_2026.xlsx]Lançamentos'!$D:$D,"Studio",'[Controle_Financeiro_2026.xlsx]Lançamentos'!$G:$G,"Despesa")</f>
        <v/>
      </c>
      <c r="J24" s="5">
        <f>IFERROR(AVERAGEIF(D24:I24,"&lt;&gt;0"),0)</f>
        <v/>
      </c>
      <c r="K24" s="5">
        <f>IFERROR(AVERAGEIF(D24:I24,"&lt;&gt;0"),0)</f>
        <v/>
      </c>
      <c r="L24" s="5">
        <f>IFERROR(AVERAGEIF(D24:I24,"&lt;&gt;0"),0)</f>
        <v/>
      </c>
      <c r="M24" s="5">
        <f>IFERROR(AVERAGEIF(D24:I24,"&lt;&gt;0"),0)</f>
        <v/>
      </c>
      <c r="N24" s="5">
        <f>IFERROR(AVERAGEIF(D24:I24,"&lt;&gt;0"),0)</f>
        <v/>
      </c>
      <c r="O24" s="5">
        <f>IFERROR(AVERAGEIF(D24:I24,"&lt;&gt;0"),0)</f>
        <v/>
      </c>
      <c r="P24" s="6">
        <f>SUM(D24:O24)</f>
        <v/>
      </c>
      <c r="Q24" s="7">
        <f>AVERAGE(D24:O24)</f>
        <v/>
      </c>
    </row>
    <row r="25">
      <c r="A25" t="inlineStr">
        <is>
          <t>Outros</t>
        </is>
      </c>
      <c r="B25" t="inlineStr">
        <is>
          <t>Pagamento Cartão Bradesco</t>
        </is>
      </c>
      <c r="C25" t="inlineStr">
        <is>
          <t>Studio</t>
        </is>
      </c>
      <c r="D25" s="4">
        <f>SUMIFS('[Controle_Financeiro_2026.xlsx]Lançamentos'!$H:$H,'[Controle_Financeiro_2026.xlsx]Lançamentos'!$F:$F,"Pagamento Cartão Bradesco",'[Controle_Financeiro_2026.xlsx]Lançamentos'!$B:$B,1,'[Controle_Financeiro_2026.xlsx]Lançamentos'!$C:$C,2026,'[Controle_Financeiro_2026.xlsx]Lançamentos'!$D:$D,"Studio",'[Controle_Financeiro_2026.xlsx]Lançamentos'!$G:$G,"Despesa")</f>
        <v/>
      </c>
      <c r="E25" s="4">
        <f>SUMIFS('[Controle_Financeiro_2026.xlsx]Lançamentos'!$H:$H,'[Controle_Financeiro_2026.xlsx]Lançamentos'!$F:$F,"Pagamento Cartão Bradesco",'[Controle_Financeiro_2026.xlsx]Lançamentos'!$B:$B,2,'[Controle_Financeiro_2026.xlsx]Lançamentos'!$C:$C,2026,'[Controle_Financeiro_2026.xlsx]Lançamentos'!$D:$D,"Studio",'[Controle_Financeiro_2026.xlsx]Lançamentos'!$G:$G,"Despesa")</f>
        <v/>
      </c>
      <c r="F25" s="4">
        <f>SUMIFS('[Controle_Financeiro_2026.xlsx]Lançamentos'!$H:$H,'[Controle_Financeiro_2026.xlsx]Lançamentos'!$F:$F,"Pagamento Cartão Bradesco",'[Controle_Financeiro_2026.xlsx]Lançamentos'!$B:$B,3,'[Controle_Financeiro_2026.xlsx]Lançamentos'!$C:$C,2026,'[Controle_Financeiro_2026.xlsx]Lançamentos'!$D:$D,"Studio",'[Controle_Financeiro_2026.xlsx]Lançamentos'!$G:$G,"Despesa")</f>
        <v/>
      </c>
      <c r="G25" s="4">
        <f>SUMIFS('[Controle_Financeiro_2026.xlsx]Lançamentos'!$H:$H,'[Controle_Financeiro_2026.xlsx]Lançamentos'!$F:$F,"Pagamento Cartão Bradesco",'[Controle_Financeiro_2026.xlsx]Lançamentos'!$B:$B,4,'[Controle_Financeiro_2026.xlsx]Lançamentos'!$C:$C,2026,'[Controle_Financeiro_2026.xlsx]Lançamentos'!$D:$D,"Studio",'[Controle_Financeiro_2026.xlsx]Lançamentos'!$G:$G,"Despesa")</f>
        <v/>
      </c>
      <c r="H25" s="4">
        <f>SUMIFS('[Controle_Financeiro_2026.xlsx]Lançamentos'!$H:$H,'[Controle_Financeiro_2026.xlsx]Lançamentos'!$F:$F,"Pagamento Cartão Bradesco",'[Controle_Financeiro_2026.xlsx]Lançamentos'!$B:$B,5,'[Controle_Financeiro_2026.xlsx]Lançamentos'!$C:$C,2026,'[Controle_Financeiro_2026.xlsx]Lançamentos'!$D:$D,"Studio",'[Controle_Financeiro_2026.xlsx]Lançamentos'!$G:$G,"Despesa")</f>
        <v/>
      </c>
      <c r="I25" s="4">
        <f>SUMIFS('[Controle_Financeiro_2026.xlsx]Lançamentos'!$H:$H,'[Controle_Financeiro_2026.xlsx]Lançamentos'!$F:$F,"Pagamento Cartão Bradesco",'[Controle_Financeiro_2026.xlsx]Lançamentos'!$B:$B,6,'[Controle_Financeiro_2026.xlsx]Lançamentos'!$C:$C,2026,'[Controle_Financeiro_2026.xlsx]Lançamentos'!$D:$D,"Studio",'[Controle_Financeiro_2026.xlsx]Lançamentos'!$G:$G,"Despesa")</f>
        <v/>
      </c>
      <c r="J25" s="5">
        <f>IFERROR(AVERAGEIF(D25:I25,"&lt;&gt;0"),0)</f>
        <v/>
      </c>
      <c r="K25" s="5">
        <f>IFERROR(AVERAGEIF(D25:I25,"&lt;&gt;0"),0)</f>
        <v/>
      </c>
      <c r="L25" s="5">
        <f>IFERROR(AVERAGEIF(D25:I25,"&lt;&gt;0"),0)</f>
        <v/>
      </c>
      <c r="M25" s="5">
        <f>IFERROR(AVERAGEIF(D25:I25,"&lt;&gt;0"),0)</f>
        <v/>
      </c>
      <c r="N25" s="5">
        <f>IFERROR(AVERAGEIF(D25:I25,"&lt;&gt;0"),0)</f>
        <v/>
      </c>
      <c r="O25" s="5">
        <f>IFERROR(AVERAGEIF(D25:I25,"&lt;&gt;0"),0)</f>
        <v/>
      </c>
      <c r="P25" s="6">
        <f>SUM(D25:O25)</f>
        <v/>
      </c>
      <c r="Q25" s="7">
        <f>AVERAGE(D25:O25)</f>
        <v/>
      </c>
    </row>
    <row r="26">
      <c r="A26" t="inlineStr">
        <is>
          <t>Outros</t>
        </is>
      </c>
      <c r="B26" t="inlineStr">
        <is>
          <t>Pagamento Cartão Carrefour</t>
        </is>
      </c>
      <c r="C26" t="inlineStr">
        <is>
          <t>Studio</t>
        </is>
      </c>
      <c r="D26" s="4">
        <f>SUMIFS('[Controle_Financeiro_2026.xlsx]Lançamentos'!$H:$H,'[Controle_Financeiro_2026.xlsx]Lançamentos'!$F:$F,"Pagamento Cartão Carrefour",'[Controle_Financeiro_2026.xlsx]Lançamentos'!$B:$B,1,'[Controle_Financeiro_2026.xlsx]Lançamentos'!$C:$C,2026,'[Controle_Financeiro_2026.xlsx]Lançamentos'!$D:$D,"Studio",'[Controle_Financeiro_2026.xlsx]Lançamentos'!$G:$G,"Despesa")</f>
        <v/>
      </c>
      <c r="E26" s="4">
        <f>SUMIFS('[Controle_Financeiro_2026.xlsx]Lançamentos'!$H:$H,'[Controle_Financeiro_2026.xlsx]Lançamentos'!$F:$F,"Pagamento Cartão Carrefour",'[Controle_Financeiro_2026.xlsx]Lançamentos'!$B:$B,2,'[Controle_Financeiro_2026.xlsx]Lançamentos'!$C:$C,2026,'[Controle_Financeiro_2026.xlsx]Lançamentos'!$D:$D,"Studio",'[Controle_Financeiro_2026.xlsx]Lançamentos'!$G:$G,"Despesa")</f>
        <v/>
      </c>
      <c r="F26" s="4">
        <f>SUMIFS('[Controle_Financeiro_2026.xlsx]Lançamentos'!$H:$H,'[Controle_Financeiro_2026.xlsx]Lançamentos'!$F:$F,"Pagamento Cartão Carrefour",'[Controle_Financeiro_2026.xlsx]Lançamentos'!$B:$B,3,'[Controle_Financeiro_2026.xlsx]Lançamentos'!$C:$C,2026,'[Controle_Financeiro_2026.xlsx]Lançamentos'!$D:$D,"Studio",'[Controle_Financeiro_2026.xlsx]Lançamentos'!$G:$G,"Despesa")</f>
        <v/>
      </c>
      <c r="G26" s="4">
        <f>SUMIFS('[Controle_Financeiro_2026.xlsx]Lançamentos'!$H:$H,'[Controle_Financeiro_2026.xlsx]Lançamentos'!$F:$F,"Pagamento Cartão Carrefour",'[Controle_Financeiro_2026.xlsx]Lançamentos'!$B:$B,4,'[Controle_Financeiro_2026.xlsx]Lançamentos'!$C:$C,2026,'[Controle_Financeiro_2026.xlsx]Lançamentos'!$D:$D,"Studio",'[Controle_Financeiro_2026.xlsx]Lançamentos'!$G:$G,"Despesa")</f>
        <v/>
      </c>
      <c r="H26" s="4">
        <f>SUMIFS('[Controle_Financeiro_2026.xlsx]Lançamentos'!$H:$H,'[Controle_Financeiro_2026.xlsx]Lançamentos'!$F:$F,"Pagamento Cartão Carrefour",'[Controle_Financeiro_2026.xlsx]Lançamentos'!$B:$B,5,'[Controle_Financeiro_2026.xlsx]Lançamentos'!$C:$C,2026,'[Controle_Financeiro_2026.xlsx]Lançamentos'!$D:$D,"Studio",'[Controle_Financeiro_2026.xlsx]Lançamentos'!$G:$G,"Despesa")</f>
        <v/>
      </c>
      <c r="I26" s="4">
        <f>SUMIFS('[Controle_Financeiro_2026.xlsx]Lançamentos'!$H:$H,'[Controle_Financeiro_2026.xlsx]Lançamentos'!$F:$F,"Pagamento Cartão Carrefour",'[Controle_Financeiro_2026.xlsx]Lançamentos'!$B:$B,6,'[Controle_Financeiro_2026.xlsx]Lançamentos'!$C:$C,2026,'[Controle_Financeiro_2026.xlsx]Lançamentos'!$D:$D,"Studio",'[Controle_Financeiro_2026.xlsx]Lançamentos'!$G:$G,"Despesa")</f>
        <v/>
      </c>
      <c r="J26" s="5">
        <f>IFERROR(AVERAGEIF(D26:I26,"&lt;&gt;0"),0)</f>
        <v/>
      </c>
      <c r="K26" s="5">
        <f>IFERROR(AVERAGEIF(D26:I26,"&lt;&gt;0"),0)</f>
        <v/>
      </c>
      <c r="L26" s="5">
        <f>IFERROR(AVERAGEIF(D26:I26,"&lt;&gt;0"),0)</f>
        <v/>
      </c>
      <c r="M26" s="5">
        <f>IFERROR(AVERAGEIF(D26:I26,"&lt;&gt;0"),0)</f>
        <v/>
      </c>
      <c r="N26" s="5">
        <f>IFERROR(AVERAGEIF(D26:I26,"&lt;&gt;0"),0)</f>
        <v/>
      </c>
      <c r="O26" s="5">
        <f>IFERROR(AVERAGEIF(D26:I26,"&lt;&gt;0"),0)</f>
        <v/>
      </c>
      <c r="P26" s="6">
        <f>SUM(D26:O26)</f>
        <v/>
      </c>
      <c r="Q26" s="7">
        <f>AVERAGE(D26:O26)</f>
        <v/>
      </c>
    </row>
    <row r="27">
      <c r="A27" t="inlineStr">
        <is>
          <t>Outros</t>
        </is>
      </c>
      <c r="B27" t="inlineStr">
        <is>
          <t>Pagamento Cartão Nubank</t>
        </is>
      </c>
      <c r="C27" t="inlineStr">
        <is>
          <t>Studio</t>
        </is>
      </c>
      <c r="D27" s="4">
        <f>SUMIFS('[Controle_Financeiro_2026.xlsx]Lançamentos'!$H:$H,'[Controle_Financeiro_2026.xlsx]Lançamentos'!$F:$F,"Pagamento Cartão Nubank",'[Controle_Financeiro_2026.xlsx]Lançamentos'!$B:$B,1,'[Controle_Financeiro_2026.xlsx]Lançamentos'!$C:$C,2026,'[Controle_Financeiro_2026.xlsx]Lançamentos'!$D:$D,"Studio",'[Controle_Financeiro_2026.xlsx]Lançamentos'!$G:$G,"Despesa")</f>
        <v/>
      </c>
      <c r="E27" s="4">
        <f>SUMIFS('[Controle_Financeiro_2026.xlsx]Lançamentos'!$H:$H,'[Controle_Financeiro_2026.xlsx]Lançamentos'!$F:$F,"Pagamento Cartão Nubank",'[Controle_Financeiro_2026.xlsx]Lançamentos'!$B:$B,2,'[Controle_Financeiro_2026.xlsx]Lançamentos'!$C:$C,2026,'[Controle_Financeiro_2026.xlsx]Lançamentos'!$D:$D,"Studio",'[Controle_Financeiro_2026.xlsx]Lançamentos'!$G:$G,"Despesa")</f>
        <v/>
      </c>
      <c r="F27" s="4">
        <f>SUMIFS('[Controle_Financeiro_2026.xlsx]Lançamentos'!$H:$H,'[Controle_Financeiro_2026.xlsx]Lançamentos'!$F:$F,"Pagamento Cartão Nubank",'[Controle_Financeiro_2026.xlsx]Lançamentos'!$B:$B,3,'[Controle_Financeiro_2026.xlsx]Lançamentos'!$C:$C,2026,'[Controle_Financeiro_2026.xlsx]Lançamentos'!$D:$D,"Studio",'[Controle_Financeiro_2026.xlsx]Lançamentos'!$G:$G,"Despesa")</f>
        <v/>
      </c>
      <c r="G27" s="4">
        <f>SUMIFS('[Controle_Financeiro_2026.xlsx]Lançamentos'!$H:$H,'[Controle_Financeiro_2026.xlsx]Lançamentos'!$F:$F,"Pagamento Cartão Nubank",'[Controle_Financeiro_2026.xlsx]Lançamentos'!$B:$B,4,'[Controle_Financeiro_2026.xlsx]Lançamentos'!$C:$C,2026,'[Controle_Financeiro_2026.xlsx]Lançamentos'!$D:$D,"Studio",'[Controle_Financeiro_2026.xlsx]Lançamentos'!$G:$G,"Despesa")</f>
        <v/>
      </c>
      <c r="H27" s="4">
        <f>SUMIFS('[Controle_Financeiro_2026.xlsx]Lançamentos'!$H:$H,'[Controle_Financeiro_2026.xlsx]Lançamentos'!$F:$F,"Pagamento Cartão Nubank",'[Controle_Financeiro_2026.xlsx]Lançamentos'!$B:$B,5,'[Controle_Financeiro_2026.xlsx]Lançamentos'!$C:$C,2026,'[Controle_Financeiro_2026.xlsx]Lançamentos'!$D:$D,"Studio",'[Controle_Financeiro_2026.xlsx]Lançamentos'!$G:$G,"Despesa")</f>
        <v/>
      </c>
      <c r="I27" s="4">
        <f>SUMIFS('[Controle_Financeiro_2026.xlsx]Lançamentos'!$H:$H,'[Controle_Financeiro_2026.xlsx]Lançamentos'!$F:$F,"Pagamento Cartão Nubank",'[Controle_Financeiro_2026.xlsx]Lançamentos'!$B:$B,6,'[Controle_Financeiro_2026.xlsx]Lançamentos'!$C:$C,2026,'[Controle_Financeiro_2026.xlsx]Lançamentos'!$D:$D,"Studio",'[Controle_Financeiro_2026.xlsx]Lançamentos'!$G:$G,"Despesa")</f>
        <v/>
      </c>
      <c r="J27" s="5">
        <f>IFERROR(AVERAGEIF(D27:I27,"&lt;&gt;0"),0)</f>
        <v/>
      </c>
      <c r="K27" s="5">
        <f>IFERROR(AVERAGEIF(D27:I27,"&lt;&gt;0"),0)</f>
        <v/>
      </c>
      <c r="L27" s="5">
        <f>IFERROR(AVERAGEIF(D27:I27,"&lt;&gt;0"),0)</f>
        <v/>
      </c>
      <c r="M27" s="5">
        <f>IFERROR(AVERAGEIF(D27:I27,"&lt;&gt;0"),0)</f>
        <v/>
      </c>
      <c r="N27" s="5">
        <f>IFERROR(AVERAGEIF(D27:I27,"&lt;&gt;0"),0)</f>
        <v/>
      </c>
      <c r="O27" s="5">
        <f>IFERROR(AVERAGEIF(D27:I27,"&lt;&gt;0"),0)</f>
        <v/>
      </c>
      <c r="P27" s="6">
        <f>SUM(D27:O27)</f>
        <v/>
      </c>
      <c r="Q27" s="7">
        <f>AVERAGE(D27:O27)</f>
        <v/>
      </c>
    </row>
    <row r="28">
      <c r="A28" t="inlineStr">
        <is>
          <t>Outros</t>
        </is>
      </c>
      <c r="B28" t="inlineStr">
        <is>
          <t>Pagamento Cartão Santander</t>
        </is>
      </c>
      <c r="C28" t="inlineStr">
        <is>
          <t>Studio</t>
        </is>
      </c>
      <c r="D28" s="4">
        <f>SUMIFS('[Controle_Financeiro_2026.xlsx]Lançamentos'!$H:$H,'[Controle_Financeiro_2026.xlsx]Lançamentos'!$F:$F,"Pagamento Cartão Santander",'[Controle_Financeiro_2026.xlsx]Lançamentos'!$B:$B,1,'[Controle_Financeiro_2026.xlsx]Lançamentos'!$C:$C,2026,'[Controle_Financeiro_2026.xlsx]Lançamentos'!$D:$D,"Studio",'[Controle_Financeiro_2026.xlsx]Lançamentos'!$G:$G,"Despesa")</f>
        <v/>
      </c>
      <c r="E28" s="4">
        <f>SUMIFS('[Controle_Financeiro_2026.xlsx]Lançamentos'!$H:$H,'[Controle_Financeiro_2026.xlsx]Lançamentos'!$F:$F,"Pagamento Cartão Santander",'[Controle_Financeiro_2026.xlsx]Lançamentos'!$B:$B,2,'[Controle_Financeiro_2026.xlsx]Lançamentos'!$C:$C,2026,'[Controle_Financeiro_2026.xlsx]Lançamentos'!$D:$D,"Studio",'[Controle_Financeiro_2026.xlsx]Lançamentos'!$G:$G,"Despesa")</f>
        <v/>
      </c>
      <c r="F28" s="4">
        <f>SUMIFS('[Controle_Financeiro_2026.xlsx]Lançamentos'!$H:$H,'[Controle_Financeiro_2026.xlsx]Lançamentos'!$F:$F,"Pagamento Cartão Santander",'[Controle_Financeiro_2026.xlsx]Lançamentos'!$B:$B,3,'[Controle_Financeiro_2026.xlsx]Lançamentos'!$C:$C,2026,'[Controle_Financeiro_2026.xlsx]Lançamentos'!$D:$D,"Studio",'[Controle_Financeiro_2026.xlsx]Lançamentos'!$G:$G,"Despesa")</f>
        <v/>
      </c>
      <c r="G28" s="4">
        <f>SUMIFS('[Controle_Financeiro_2026.xlsx]Lançamentos'!$H:$H,'[Controle_Financeiro_2026.xlsx]Lançamentos'!$F:$F,"Pagamento Cartão Santander",'[Controle_Financeiro_2026.xlsx]Lançamentos'!$B:$B,4,'[Controle_Financeiro_2026.xlsx]Lançamentos'!$C:$C,2026,'[Controle_Financeiro_2026.xlsx]Lançamentos'!$D:$D,"Studio",'[Controle_Financeiro_2026.xlsx]Lançamentos'!$G:$G,"Despesa")</f>
        <v/>
      </c>
      <c r="H28" s="4">
        <f>SUMIFS('[Controle_Financeiro_2026.xlsx]Lançamentos'!$H:$H,'[Controle_Financeiro_2026.xlsx]Lançamentos'!$F:$F,"Pagamento Cartão Santander",'[Controle_Financeiro_2026.xlsx]Lançamentos'!$B:$B,5,'[Controle_Financeiro_2026.xlsx]Lançamentos'!$C:$C,2026,'[Controle_Financeiro_2026.xlsx]Lançamentos'!$D:$D,"Studio",'[Controle_Financeiro_2026.xlsx]Lançamentos'!$G:$G,"Despesa")</f>
        <v/>
      </c>
      <c r="I28" s="4">
        <f>SUMIFS('[Controle_Financeiro_2026.xlsx]Lançamentos'!$H:$H,'[Controle_Financeiro_2026.xlsx]Lançamentos'!$F:$F,"Pagamento Cartão Santander",'[Controle_Financeiro_2026.xlsx]Lançamentos'!$B:$B,6,'[Controle_Financeiro_2026.xlsx]Lançamentos'!$C:$C,2026,'[Controle_Financeiro_2026.xlsx]Lançamentos'!$D:$D,"Studio",'[Controle_Financeiro_2026.xlsx]Lançamentos'!$G:$G,"Despesa")</f>
        <v/>
      </c>
      <c r="J28" s="5">
        <f>IFERROR(AVERAGEIF(D28:I28,"&lt;&gt;0"),0)</f>
        <v/>
      </c>
      <c r="K28" s="5">
        <f>IFERROR(AVERAGEIF(D28:I28,"&lt;&gt;0"),0)</f>
        <v/>
      </c>
      <c r="L28" s="5">
        <f>IFERROR(AVERAGEIF(D28:I28,"&lt;&gt;0"),0)</f>
        <v/>
      </c>
      <c r="M28" s="5">
        <f>IFERROR(AVERAGEIF(D28:I28,"&lt;&gt;0"),0)</f>
        <v/>
      </c>
      <c r="N28" s="5">
        <f>IFERROR(AVERAGEIF(D28:I28,"&lt;&gt;0"),0)</f>
        <v/>
      </c>
      <c r="O28" s="5">
        <f>IFERROR(AVERAGEIF(D28:I28,"&lt;&gt;0"),0)</f>
        <v/>
      </c>
      <c r="P28" s="6">
        <f>SUM(D28:O28)</f>
        <v/>
      </c>
      <c r="Q28" s="7">
        <f>AVERAGE(D28:O28)</f>
        <v/>
      </c>
    </row>
    <row r="29">
      <c r="A29" t="inlineStr">
        <is>
          <t>Outros</t>
        </is>
      </c>
      <c r="B29" t="inlineStr">
        <is>
          <t>Pagar.me (boleto)</t>
        </is>
      </c>
      <c r="C29" t="inlineStr">
        <is>
          <t>Studio</t>
        </is>
      </c>
      <c r="D29" s="4">
        <f>SUMIFS('[Controle_Financeiro_2026.xlsx]Lançamentos'!$H:$H,'[Controle_Financeiro_2026.xlsx]Lançamentos'!$F:$F,"Pagar.me (boleto)",'[Controle_Financeiro_2026.xlsx]Lançamentos'!$B:$B,1,'[Controle_Financeiro_2026.xlsx]Lançamentos'!$C:$C,2026,'[Controle_Financeiro_2026.xlsx]Lançamentos'!$D:$D,"Studio",'[Controle_Financeiro_2026.xlsx]Lançamentos'!$G:$G,"Despesa")</f>
        <v/>
      </c>
      <c r="E29" s="4">
        <f>SUMIFS('[Controle_Financeiro_2026.xlsx]Lançamentos'!$H:$H,'[Controle_Financeiro_2026.xlsx]Lançamentos'!$F:$F,"Pagar.me (boleto)",'[Controle_Financeiro_2026.xlsx]Lançamentos'!$B:$B,2,'[Controle_Financeiro_2026.xlsx]Lançamentos'!$C:$C,2026,'[Controle_Financeiro_2026.xlsx]Lançamentos'!$D:$D,"Studio",'[Controle_Financeiro_2026.xlsx]Lançamentos'!$G:$G,"Despesa")</f>
        <v/>
      </c>
      <c r="F29" s="4">
        <f>SUMIFS('[Controle_Financeiro_2026.xlsx]Lançamentos'!$H:$H,'[Controle_Financeiro_2026.xlsx]Lançamentos'!$F:$F,"Pagar.me (boleto)",'[Controle_Financeiro_2026.xlsx]Lançamentos'!$B:$B,3,'[Controle_Financeiro_2026.xlsx]Lançamentos'!$C:$C,2026,'[Controle_Financeiro_2026.xlsx]Lançamentos'!$D:$D,"Studio",'[Controle_Financeiro_2026.xlsx]Lançamentos'!$G:$G,"Despesa")</f>
        <v/>
      </c>
      <c r="G29" s="4">
        <f>SUMIFS('[Controle_Financeiro_2026.xlsx]Lançamentos'!$H:$H,'[Controle_Financeiro_2026.xlsx]Lançamentos'!$F:$F,"Pagar.me (boleto)",'[Controle_Financeiro_2026.xlsx]Lançamentos'!$B:$B,4,'[Controle_Financeiro_2026.xlsx]Lançamentos'!$C:$C,2026,'[Controle_Financeiro_2026.xlsx]Lançamentos'!$D:$D,"Studio",'[Controle_Financeiro_2026.xlsx]Lançamentos'!$G:$G,"Despesa")</f>
        <v/>
      </c>
      <c r="H29" s="4">
        <f>SUMIFS('[Controle_Financeiro_2026.xlsx]Lançamentos'!$H:$H,'[Controle_Financeiro_2026.xlsx]Lançamentos'!$F:$F,"Pagar.me (boleto)",'[Controle_Financeiro_2026.xlsx]Lançamentos'!$B:$B,5,'[Controle_Financeiro_2026.xlsx]Lançamentos'!$C:$C,2026,'[Controle_Financeiro_2026.xlsx]Lançamentos'!$D:$D,"Studio",'[Controle_Financeiro_2026.xlsx]Lançamentos'!$G:$G,"Despesa")</f>
        <v/>
      </c>
      <c r="I29" s="4">
        <f>SUMIFS('[Controle_Financeiro_2026.xlsx]Lançamentos'!$H:$H,'[Controle_Financeiro_2026.xlsx]Lançamentos'!$F:$F,"Pagar.me (boleto)",'[Controle_Financeiro_2026.xlsx]Lançamentos'!$B:$B,6,'[Controle_Financeiro_2026.xlsx]Lançamentos'!$C:$C,2026,'[Controle_Financeiro_2026.xlsx]Lançamentos'!$D:$D,"Studio",'[Controle_Financeiro_2026.xlsx]Lançamentos'!$G:$G,"Despesa")</f>
        <v/>
      </c>
      <c r="J29" s="5">
        <f>IFERROR(AVERAGEIF(D29:I29,"&lt;&gt;0"),0)</f>
        <v/>
      </c>
      <c r="K29" s="5">
        <f>IFERROR(AVERAGEIF(D29:I29,"&lt;&gt;0"),0)</f>
        <v/>
      </c>
      <c r="L29" s="5">
        <f>IFERROR(AVERAGEIF(D29:I29,"&lt;&gt;0"),0)</f>
        <v/>
      </c>
      <c r="M29" s="5">
        <f>IFERROR(AVERAGEIF(D29:I29,"&lt;&gt;0"),0)</f>
        <v/>
      </c>
      <c r="N29" s="5">
        <f>IFERROR(AVERAGEIF(D29:I29,"&lt;&gt;0"),0)</f>
        <v/>
      </c>
      <c r="O29" s="5">
        <f>IFERROR(AVERAGEIF(D29:I29,"&lt;&gt;0"),0)</f>
        <v/>
      </c>
      <c r="P29" s="6">
        <f>SUM(D29:O29)</f>
        <v/>
      </c>
      <c r="Q29" s="7">
        <f>AVERAGE(D29:O29)</f>
        <v/>
      </c>
    </row>
    <row r="30">
      <c r="A30" t="inlineStr">
        <is>
          <t>Outros</t>
        </is>
      </c>
      <c r="B30" t="inlineStr">
        <is>
          <t>Serviços Online / Domínio</t>
        </is>
      </c>
      <c r="C30" t="inlineStr">
        <is>
          <t>Studio</t>
        </is>
      </c>
      <c r="D30" s="4">
        <f>SUMIFS('[Controle_Financeiro_2026.xlsx]Lançamentos'!$H:$H,'[Controle_Financeiro_2026.xlsx]Lançamentos'!$F:$F,"Serviços Online / Domínio",'[Controle_Financeiro_2026.xlsx]Lançamentos'!$B:$B,1,'[Controle_Financeiro_2026.xlsx]Lançamentos'!$C:$C,2026,'[Controle_Financeiro_2026.xlsx]Lançamentos'!$D:$D,"Studio",'[Controle_Financeiro_2026.xlsx]Lançamentos'!$G:$G,"Despesa")</f>
        <v/>
      </c>
      <c r="E30" s="4">
        <f>SUMIFS('[Controle_Financeiro_2026.xlsx]Lançamentos'!$H:$H,'[Controle_Financeiro_2026.xlsx]Lançamentos'!$F:$F,"Serviços Online / Domínio",'[Controle_Financeiro_2026.xlsx]Lançamentos'!$B:$B,2,'[Controle_Financeiro_2026.xlsx]Lançamentos'!$C:$C,2026,'[Controle_Financeiro_2026.xlsx]Lançamentos'!$D:$D,"Studio",'[Controle_Financeiro_2026.xlsx]Lançamentos'!$G:$G,"Despesa")</f>
        <v/>
      </c>
      <c r="F30" s="4">
        <f>SUMIFS('[Controle_Financeiro_2026.xlsx]Lançamentos'!$H:$H,'[Controle_Financeiro_2026.xlsx]Lançamentos'!$F:$F,"Serviços Online / Domínio",'[Controle_Financeiro_2026.xlsx]Lançamentos'!$B:$B,3,'[Controle_Financeiro_2026.xlsx]Lançamentos'!$C:$C,2026,'[Controle_Financeiro_2026.xlsx]Lançamentos'!$D:$D,"Studio",'[Controle_Financeiro_2026.xlsx]Lançamentos'!$G:$G,"Despesa")</f>
        <v/>
      </c>
      <c r="G30" s="4">
        <f>SUMIFS('[Controle_Financeiro_2026.xlsx]Lançamentos'!$H:$H,'[Controle_Financeiro_2026.xlsx]Lançamentos'!$F:$F,"Serviços Online / Domínio",'[Controle_Financeiro_2026.xlsx]Lançamentos'!$B:$B,4,'[Controle_Financeiro_2026.xlsx]Lançamentos'!$C:$C,2026,'[Controle_Financeiro_2026.xlsx]Lançamentos'!$D:$D,"Studio",'[Controle_Financeiro_2026.xlsx]Lançamentos'!$G:$G,"Despesa")</f>
        <v/>
      </c>
      <c r="H30" s="4">
        <f>SUMIFS('[Controle_Financeiro_2026.xlsx]Lançamentos'!$H:$H,'[Controle_Financeiro_2026.xlsx]Lançamentos'!$F:$F,"Serviços Online / Domínio",'[Controle_Financeiro_2026.xlsx]Lançamentos'!$B:$B,5,'[Controle_Financeiro_2026.xlsx]Lançamentos'!$C:$C,2026,'[Controle_Financeiro_2026.xlsx]Lançamentos'!$D:$D,"Studio",'[Controle_Financeiro_2026.xlsx]Lançamentos'!$G:$G,"Despesa")</f>
        <v/>
      </c>
      <c r="I30" s="4">
        <f>SUMIFS('[Controle_Financeiro_2026.xlsx]Lançamentos'!$H:$H,'[Controle_Financeiro_2026.xlsx]Lançamentos'!$F:$F,"Serviços Online / Domínio",'[Controle_Financeiro_2026.xlsx]Lançamentos'!$B:$B,6,'[Controle_Financeiro_2026.xlsx]Lançamentos'!$C:$C,2026,'[Controle_Financeiro_2026.xlsx]Lançamentos'!$D:$D,"Studio",'[Controle_Financeiro_2026.xlsx]Lançamentos'!$G:$G,"Despesa")</f>
        <v/>
      </c>
      <c r="J30" s="5">
        <f>IFERROR(AVERAGEIF(D30:I30,"&lt;&gt;0"),0)</f>
        <v/>
      </c>
      <c r="K30" s="5">
        <f>IFERROR(AVERAGEIF(D30:I30,"&lt;&gt;0"),0)</f>
        <v/>
      </c>
      <c r="L30" s="5">
        <f>IFERROR(AVERAGEIF(D30:I30,"&lt;&gt;0"),0)</f>
        <v/>
      </c>
      <c r="M30" s="5">
        <f>IFERROR(AVERAGEIF(D30:I30,"&lt;&gt;0"),0)</f>
        <v/>
      </c>
      <c r="N30" s="5">
        <f>IFERROR(AVERAGEIF(D30:I30,"&lt;&gt;0"),0)</f>
        <v/>
      </c>
      <c r="O30" s="5">
        <f>IFERROR(AVERAGEIF(D30:I30,"&lt;&gt;0"),0)</f>
        <v/>
      </c>
      <c r="P30" s="6">
        <f>SUM(D30:O30)</f>
        <v/>
      </c>
      <c r="Q30" s="7">
        <f>AVERAGE(D30:O30)</f>
        <v/>
      </c>
    </row>
    <row r="31">
      <c r="A31" t="inlineStr">
        <is>
          <t>Pessoal</t>
        </is>
      </c>
      <c r="B31" t="inlineStr">
        <is>
          <t>Analice</t>
        </is>
      </c>
      <c r="C31" t="inlineStr">
        <is>
          <t>Studio</t>
        </is>
      </c>
      <c r="D31" s="4">
        <f>SUMIFS('[Controle_Financeiro_2026.xlsx]Lançamentos'!$H:$H,'[Controle_Financeiro_2026.xlsx]Lançamentos'!$F:$F,"Analice",'[Controle_Financeiro_2026.xlsx]Lançamentos'!$B:$B,1,'[Controle_Financeiro_2026.xlsx]Lançamentos'!$C:$C,2026,'[Controle_Financeiro_2026.xlsx]Lançamentos'!$D:$D,"Studio",'[Controle_Financeiro_2026.xlsx]Lançamentos'!$G:$G,"Despesa")</f>
        <v/>
      </c>
      <c r="E31" s="4">
        <f>SUMIFS('[Controle_Financeiro_2026.xlsx]Lançamentos'!$H:$H,'[Controle_Financeiro_2026.xlsx]Lançamentos'!$F:$F,"Analice",'[Controle_Financeiro_2026.xlsx]Lançamentos'!$B:$B,2,'[Controle_Financeiro_2026.xlsx]Lançamentos'!$C:$C,2026,'[Controle_Financeiro_2026.xlsx]Lançamentos'!$D:$D,"Studio",'[Controle_Financeiro_2026.xlsx]Lançamentos'!$G:$G,"Despesa")</f>
        <v/>
      </c>
      <c r="F31" s="4">
        <f>SUMIFS('[Controle_Financeiro_2026.xlsx]Lançamentos'!$H:$H,'[Controle_Financeiro_2026.xlsx]Lançamentos'!$F:$F,"Analice",'[Controle_Financeiro_2026.xlsx]Lançamentos'!$B:$B,3,'[Controle_Financeiro_2026.xlsx]Lançamentos'!$C:$C,2026,'[Controle_Financeiro_2026.xlsx]Lançamentos'!$D:$D,"Studio",'[Controle_Financeiro_2026.xlsx]Lançamentos'!$G:$G,"Despesa")</f>
        <v/>
      </c>
      <c r="G31" s="4">
        <f>SUMIFS('[Controle_Financeiro_2026.xlsx]Lançamentos'!$H:$H,'[Controle_Financeiro_2026.xlsx]Lançamentos'!$F:$F,"Analice",'[Controle_Financeiro_2026.xlsx]Lançamentos'!$B:$B,4,'[Controle_Financeiro_2026.xlsx]Lançamentos'!$C:$C,2026,'[Controle_Financeiro_2026.xlsx]Lançamentos'!$D:$D,"Studio",'[Controle_Financeiro_2026.xlsx]Lançamentos'!$G:$G,"Despesa")</f>
        <v/>
      </c>
      <c r="H31" s="4">
        <f>SUMIFS('[Controle_Financeiro_2026.xlsx]Lançamentos'!$H:$H,'[Controle_Financeiro_2026.xlsx]Lançamentos'!$F:$F,"Analice",'[Controle_Financeiro_2026.xlsx]Lançamentos'!$B:$B,5,'[Controle_Financeiro_2026.xlsx]Lançamentos'!$C:$C,2026,'[Controle_Financeiro_2026.xlsx]Lançamentos'!$D:$D,"Studio",'[Controle_Financeiro_2026.xlsx]Lançamentos'!$G:$G,"Despesa")</f>
        <v/>
      </c>
      <c r="I31" s="4">
        <f>SUMIFS('[Controle_Financeiro_2026.xlsx]Lançamentos'!$H:$H,'[Controle_Financeiro_2026.xlsx]Lançamentos'!$F:$F,"Analice",'[Controle_Financeiro_2026.xlsx]Lançamentos'!$B:$B,6,'[Controle_Financeiro_2026.xlsx]Lançamentos'!$C:$C,2026,'[Controle_Financeiro_2026.xlsx]Lançamentos'!$D:$D,"Studio",'[Controle_Financeiro_2026.xlsx]Lançamentos'!$G:$G,"Despesa")</f>
        <v/>
      </c>
      <c r="J31" s="5">
        <f>IFERROR(AVERAGEIF(D31:I31,"&lt;&gt;0"),0)</f>
        <v/>
      </c>
      <c r="K31" s="5">
        <f>IFERROR(AVERAGEIF(D31:I31,"&lt;&gt;0"),0)</f>
        <v/>
      </c>
      <c r="L31" s="5">
        <f>IFERROR(AVERAGEIF(D31:I31,"&lt;&gt;0"),0)</f>
        <v/>
      </c>
      <c r="M31" s="5">
        <f>IFERROR(AVERAGEIF(D31:I31,"&lt;&gt;0"),0)</f>
        <v/>
      </c>
      <c r="N31" s="5">
        <f>IFERROR(AVERAGEIF(D31:I31,"&lt;&gt;0"),0)</f>
        <v/>
      </c>
      <c r="O31" s="5">
        <f>IFERROR(AVERAGEIF(D31:I31,"&lt;&gt;0"),0)</f>
        <v/>
      </c>
      <c r="P31" s="6">
        <f>SUM(D31:O31)</f>
        <v/>
      </c>
      <c r="Q31" s="7">
        <f>AVERAGE(D31:O31)</f>
        <v/>
      </c>
    </row>
    <row r="32">
      <c r="A32" t="inlineStr">
        <is>
          <t>Pessoal</t>
        </is>
      </c>
      <c r="B32" t="inlineStr">
        <is>
          <t>Eliane</t>
        </is>
      </c>
      <c r="C32" t="inlineStr">
        <is>
          <t>Studio</t>
        </is>
      </c>
      <c r="D32" s="4">
        <f>SUMIFS('[Controle_Financeiro_2026.xlsx]Lançamentos'!$H:$H,'[Controle_Financeiro_2026.xlsx]Lançamentos'!$F:$F,"Eliane",'[Controle_Financeiro_2026.xlsx]Lançamentos'!$B:$B,1,'[Controle_Financeiro_2026.xlsx]Lançamentos'!$C:$C,2026,'[Controle_Financeiro_2026.xlsx]Lançamentos'!$D:$D,"Studio",'[Controle_Financeiro_2026.xlsx]Lançamentos'!$G:$G,"Despesa")</f>
        <v/>
      </c>
      <c r="E32" s="4">
        <f>SUMIFS('[Controle_Financeiro_2026.xlsx]Lançamentos'!$H:$H,'[Controle_Financeiro_2026.xlsx]Lançamentos'!$F:$F,"Eliane",'[Controle_Financeiro_2026.xlsx]Lançamentos'!$B:$B,2,'[Controle_Financeiro_2026.xlsx]Lançamentos'!$C:$C,2026,'[Controle_Financeiro_2026.xlsx]Lançamentos'!$D:$D,"Studio",'[Controle_Financeiro_2026.xlsx]Lançamentos'!$G:$G,"Despesa")</f>
        <v/>
      </c>
      <c r="F32" s="4">
        <f>SUMIFS('[Controle_Financeiro_2026.xlsx]Lançamentos'!$H:$H,'[Controle_Financeiro_2026.xlsx]Lançamentos'!$F:$F,"Eliane",'[Controle_Financeiro_2026.xlsx]Lançamentos'!$B:$B,3,'[Controle_Financeiro_2026.xlsx]Lançamentos'!$C:$C,2026,'[Controle_Financeiro_2026.xlsx]Lançamentos'!$D:$D,"Studio",'[Controle_Financeiro_2026.xlsx]Lançamentos'!$G:$G,"Despesa")</f>
        <v/>
      </c>
      <c r="G32" s="4">
        <f>SUMIFS('[Controle_Financeiro_2026.xlsx]Lançamentos'!$H:$H,'[Controle_Financeiro_2026.xlsx]Lançamentos'!$F:$F,"Eliane",'[Controle_Financeiro_2026.xlsx]Lançamentos'!$B:$B,4,'[Controle_Financeiro_2026.xlsx]Lançamentos'!$C:$C,2026,'[Controle_Financeiro_2026.xlsx]Lançamentos'!$D:$D,"Studio",'[Controle_Financeiro_2026.xlsx]Lançamentos'!$G:$G,"Despesa")</f>
        <v/>
      </c>
      <c r="H32" s="4">
        <f>SUMIFS('[Controle_Financeiro_2026.xlsx]Lançamentos'!$H:$H,'[Controle_Financeiro_2026.xlsx]Lançamentos'!$F:$F,"Eliane",'[Controle_Financeiro_2026.xlsx]Lançamentos'!$B:$B,5,'[Controle_Financeiro_2026.xlsx]Lançamentos'!$C:$C,2026,'[Controle_Financeiro_2026.xlsx]Lançamentos'!$D:$D,"Studio",'[Controle_Financeiro_2026.xlsx]Lançamentos'!$G:$G,"Despesa")</f>
        <v/>
      </c>
      <c r="I32" s="4">
        <f>SUMIFS('[Controle_Financeiro_2026.xlsx]Lançamentos'!$H:$H,'[Controle_Financeiro_2026.xlsx]Lançamentos'!$F:$F,"Eliane",'[Controle_Financeiro_2026.xlsx]Lançamentos'!$B:$B,6,'[Controle_Financeiro_2026.xlsx]Lançamentos'!$C:$C,2026,'[Controle_Financeiro_2026.xlsx]Lançamentos'!$D:$D,"Studio",'[Controle_Financeiro_2026.xlsx]Lançamentos'!$G:$G,"Despesa")</f>
        <v/>
      </c>
      <c r="J32" s="5">
        <f>IFERROR(AVERAGEIF(D32:I32,"&lt;&gt;0"),0)</f>
        <v/>
      </c>
      <c r="K32" s="5">
        <f>IFERROR(AVERAGEIF(D32:I32,"&lt;&gt;0"),0)</f>
        <v/>
      </c>
      <c r="L32" s="5">
        <f>IFERROR(AVERAGEIF(D32:I32,"&lt;&gt;0"),0)</f>
        <v/>
      </c>
      <c r="M32" s="5">
        <f>IFERROR(AVERAGEIF(D32:I32,"&lt;&gt;0"),0)</f>
        <v/>
      </c>
      <c r="N32" s="5">
        <f>IFERROR(AVERAGEIF(D32:I32,"&lt;&gt;0"),0)</f>
        <v/>
      </c>
      <c r="O32" s="5">
        <f>IFERROR(AVERAGEIF(D32:I32,"&lt;&gt;0"),0)</f>
        <v/>
      </c>
      <c r="P32" s="6">
        <f>SUM(D32:O32)</f>
        <v/>
      </c>
      <c r="Q32" s="7">
        <f>AVERAGE(D32:O32)</f>
        <v/>
      </c>
    </row>
    <row r="33">
      <c r="A33" t="inlineStr">
        <is>
          <t>Pessoal</t>
        </is>
      </c>
      <c r="B33" t="inlineStr">
        <is>
          <t>Marco</t>
        </is>
      </c>
      <c r="C33" t="inlineStr">
        <is>
          <t>Studio</t>
        </is>
      </c>
      <c r="D33" s="4">
        <f>SUMIFS('[Controle_Financeiro_2026.xlsx]Lançamentos'!$H:$H,'[Controle_Financeiro_2026.xlsx]Lançamentos'!$F:$F,"Marco",'[Controle_Financeiro_2026.xlsx]Lançamentos'!$B:$B,1,'[Controle_Financeiro_2026.xlsx]Lançamentos'!$C:$C,2026,'[Controle_Financeiro_2026.xlsx]Lançamentos'!$D:$D,"Studio",'[Controle_Financeiro_2026.xlsx]Lançamentos'!$G:$G,"Despesa")</f>
        <v/>
      </c>
      <c r="E33" s="4">
        <f>SUMIFS('[Controle_Financeiro_2026.xlsx]Lançamentos'!$H:$H,'[Controle_Financeiro_2026.xlsx]Lançamentos'!$F:$F,"Marco",'[Controle_Financeiro_2026.xlsx]Lançamentos'!$B:$B,2,'[Controle_Financeiro_2026.xlsx]Lançamentos'!$C:$C,2026,'[Controle_Financeiro_2026.xlsx]Lançamentos'!$D:$D,"Studio",'[Controle_Financeiro_2026.xlsx]Lançamentos'!$G:$G,"Despesa")</f>
        <v/>
      </c>
      <c r="F33" s="4">
        <f>SUMIFS('[Controle_Financeiro_2026.xlsx]Lançamentos'!$H:$H,'[Controle_Financeiro_2026.xlsx]Lançamentos'!$F:$F,"Marco",'[Controle_Financeiro_2026.xlsx]Lançamentos'!$B:$B,3,'[Controle_Financeiro_2026.xlsx]Lançamentos'!$C:$C,2026,'[Controle_Financeiro_2026.xlsx]Lançamentos'!$D:$D,"Studio",'[Controle_Financeiro_2026.xlsx]Lançamentos'!$G:$G,"Despesa")</f>
        <v/>
      </c>
      <c r="G33" s="4">
        <f>SUMIFS('[Controle_Financeiro_2026.xlsx]Lançamentos'!$H:$H,'[Controle_Financeiro_2026.xlsx]Lançamentos'!$F:$F,"Marco",'[Controle_Financeiro_2026.xlsx]Lançamentos'!$B:$B,4,'[Controle_Financeiro_2026.xlsx]Lançamentos'!$C:$C,2026,'[Controle_Financeiro_2026.xlsx]Lançamentos'!$D:$D,"Studio",'[Controle_Financeiro_2026.xlsx]Lançamentos'!$G:$G,"Despesa")</f>
        <v/>
      </c>
      <c r="H33" s="4">
        <f>SUMIFS('[Controle_Financeiro_2026.xlsx]Lançamentos'!$H:$H,'[Controle_Financeiro_2026.xlsx]Lançamentos'!$F:$F,"Marco",'[Controle_Financeiro_2026.xlsx]Lançamentos'!$B:$B,5,'[Controle_Financeiro_2026.xlsx]Lançamentos'!$C:$C,2026,'[Controle_Financeiro_2026.xlsx]Lançamentos'!$D:$D,"Studio",'[Controle_Financeiro_2026.xlsx]Lançamentos'!$G:$G,"Despesa")</f>
        <v/>
      </c>
      <c r="I33" s="4">
        <f>SUMIFS('[Controle_Financeiro_2026.xlsx]Lançamentos'!$H:$H,'[Controle_Financeiro_2026.xlsx]Lançamentos'!$F:$F,"Marco",'[Controle_Financeiro_2026.xlsx]Lançamentos'!$B:$B,6,'[Controle_Financeiro_2026.xlsx]Lançamentos'!$C:$C,2026,'[Controle_Financeiro_2026.xlsx]Lançamentos'!$D:$D,"Studio",'[Controle_Financeiro_2026.xlsx]Lançamentos'!$G:$G,"Despesa")</f>
        <v/>
      </c>
      <c r="J33" s="5">
        <f>IFERROR(AVERAGEIF(D33:I33,"&lt;&gt;0"),0)</f>
        <v/>
      </c>
      <c r="K33" s="5">
        <f>IFERROR(AVERAGEIF(D33:I33,"&lt;&gt;0"),0)</f>
        <v/>
      </c>
      <c r="L33" s="5">
        <f>IFERROR(AVERAGEIF(D33:I33,"&lt;&gt;0"),0)</f>
        <v/>
      </c>
      <c r="M33" s="5">
        <f>IFERROR(AVERAGEIF(D33:I33,"&lt;&gt;0"),0)</f>
        <v/>
      </c>
      <c r="N33" s="5">
        <f>IFERROR(AVERAGEIF(D33:I33,"&lt;&gt;0"),0)</f>
        <v/>
      </c>
      <c r="O33" s="5">
        <f>IFERROR(AVERAGEIF(D33:I33,"&lt;&gt;0"),0)</f>
        <v/>
      </c>
      <c r="P33" s="6">
        <f>SUM(D33:O33)</f>
        <v/>
      </c>
      <c r="Q33" s="7">
        <f>AVERAGE(D33:O33)</f>
        <v/>
      </c>
    </row>
    <row r="34">
      <c r="A34" t="inlineStr">
        <is>
          <t>Pessoal</t>
        </is>
      </c>
      <c r="B34" t="inlineStr">
        <is>
          <t>Neemias</t>
        </is>
      </c>
      <c r="C34" t="inlineStr">
        <is>
          <t>Studio</t>
        </is>
      </c>
      <c r="D34" s="4">
        <f>SUMIFS('[Controle_Financeiro_2026.xlsx]Lançamentos'!$H:$H,'[Controle_Financeiro_2026.xlsx]Lançamentos'!$F:$F,"Neemias",'[Controle_Financeiro_2026.xlsx]Lançamentos'!$B:$B,1,'[Controle_Financeiro_2026.xlsx]Lançamentos'!$C:$C,2026,'[Controle_Financeiro_2026.xlsx]Lançamentos'!$D:$D,"Studio",'[Controle_Financeiro_2026.xlsx]Lançamentos'!$G:$G,"Despesa")</f>
        <v/>
      </c>
      <c r="E34" s="4">
        <f>SUMIFS('[Controle_Financeiro_2026.xlsx]Lançamentos'!$H:$H,'[Controle_Financeiro_2026.xlsx]Lançamentos'!$F:$F,"Neemias",'[Controle_Financeiro_2026.xlsx]Lançamentos'!$B:$B,2,'[Controle_Financeiro_2026.xlsx]Lançamentos'!$C:$C,2026,'[Controle_Financeiro_2026.xlsx]Lançamentos'!$D:$D,"Studio",'[Controle_Financeiro_2026.xlsx]Lançamentos'!$G:$G,"Despesa")</f>
        <v/>
      </c>
      <c r="F34" s="4">
        <f>SUMIFS('[Controle_Financeiro_2026.xlsx]Lançamentos'!$H:$H,'[Controle_Financeiro_2026.xlsx]Lançamentos'!$F:$F,"Neemias",'[Controle_Financeiro_2026.xlsx]Lançamentos'!$B:$B,3,'[Controle_Financeiro_2026.xlsx]Lançamentos'!$C:$C,2026,'[Controle_Financeiro_2026.xlsx]Lançamentos'!$D:$D,"Studio",'[Controle_Financeiro_2026.xlsx]Lançamentos'!$G:$G,"Despesa")</f>
        <v/>
      </c>
      <c r="G34" s="4">
        <f>SUMIFS('[Controle_Financeiro_2026.xlsx]Lançamentos'!$H:$H,'[Controle_Financeiro_2026.xlsx]Lançamentos'!$F:$F,"Neemias",'[Controle_Financeiro_2026.xlsx]Lançamentos'!$B:$B,4,'[Controle_Financeiro_2026.xlsx]Lançamentos'!$C:$C,2026,'[Controle_Financeiro_2026.xlsx]Lançamentos'!$D:$D,"Studio",'[Controle_Financeiro_2026.xlsx]Lançamentos'!$G:$G,"Despesa")</f>
        <v/>
      </c>
      <c r="H34" s="4">
        <f>SUMIFS('[Controle_Financeiro_2026.xlsx]Lançamentos'!$H:$H,'[Controle_Financeiro_2026.xlsx]Lançamentos'!$F:$F,"Neemias",'[Controle_Financeiro_2026.xlsx]Lançamentos'!$B:$B,5,'[Controle_Financeiro_2026.xlsx]Lançamentos'!$C:$C,2026,'[Controle_Financeiro_2026.xlsx]Lançamentos'!$D:$D,"Studio",'[Controle_Financeiro_2026.xlsx]Lançamentos'!$G:$G,"Despesa")</f>
        <v/>
      </c>
      <c r="I34" s="4">
        <f>SUMIFS('[Controle_Financeiro_2026.xlsx]Lançamentos'!$H:$H,'[Controle_Financeiro_2026.xlsx]Lançamentos'!$F:$F,"Neemias",'[Controle_Financeiro_2026.xlsx]Lançamentos'!$B:$B,6,'[Controle_Financeiro_2026.xlsx]Lançamentos'!$C:$C,2026,'[Controle_Financeiro_2026.xlsx]Lançamentos'!$D:$D,"Studio",'[Controle_Financeiro_2026.xlsx]Lançamentos'!$G:$G,"Despesa")</f>
        <v/>
      </c>
      <c r="J34" s="5">
        <f>IFERROR(AVERAGEIF(D34:I34,"&lt;&gt;0"),0)</f>
        <v/>
      </c>
      <c r="K34" s="5">
        <f>IFERROR(AVERAGEIF(D34:I34,"&lt;&gt;0"),0)</f>
        <v/>
      </c>
      <c r="L34" s="5">
        <f>IFERROR(AVERAGEIF(D34:I34,"&lt;&gt;0"),0)</f>
        <v/>
      </c>
      <c r="M34" s="5">
        <f>IFERROR(AVERAGEIF(D34:I34,"&lt;&gt;0"),0)</f>
        <v/>
      </c>
      <c r="N34" s="5">
        <f>IFERROR(AVERAGEIF(D34:I34,"&lt;&gt;0"),0)</f>
        <v/>
      </c>
      <c r="O34" s="5">
        <f>IFERROR(AVERAGEIF(D34:I34,"&lt;&gt;0"),0)</f>
        <v/>
      </c>
      <c r="P34" s="6">
        <f>SUM(D34:O34)</f>
        <v/>
      </c>
      <c r="Q34" s="7">
        <f>AVERAGE(D34:O34)</f>
        <v/>
      </c>
    </row>
    <row r="36">
      <c r="A36" s="8" t="inlineStr">
        <is>
          <t>─── SUBTOTAIS ───</t>
        </is>
      </c>
    </row>
    <row r="37">
      <c r="A37" t="inlineStr">
        <is>
          <t>Contas Fixas</t>
        </is>
      </c>
      <c r="B37" t="inlineStr">
        <is>
          <t>SUBTOTAL GERAL — Contas Fixas</t>
        </is>
      </c>
      <c r="C37" t="inlineStr">
        <is>
          <t>Geral</t>
        </is>
      </c>
      <c r="D37" s="9">
        <f>SUM(D3,D4,D5)</f>
        <v/>
      </c>
      <c r="E37" s="9">
        <f>SUM(E3,E4,E5)</f>
        <v/>
      </c>
      <c r="F37" s="9">
        <f>SUM(F3,F4,F5)</f>
        <v/>
      </c>
      <c r="G37" s="9">
        <f>SUM(G3,G4,G5)</f>
        <v/>
      </c>
      <c r="H37" s="9">
        <f>SUM(H3,H4,H5)</f>
        <v/>
      </c>
      <c r="I37" s="9">
        <f>SUM(I3,I4,I5)</f>
        <v/>
      </c>
      <c r="J37" s="9">
        <f>SUM(J3,J4,J5)</f>
        <v/>
      </c>
      <c r="K37" s="9">
        <f>SUM(K3,K4,K5)</f>
        <v/>
      </c>
      <c r="L37" s="9">
        <f>SUM(L3,L4,L5)</f>
        <v/>
      </c>
      <c r="M37" s="9">
        <f>SUM(M3,M4,M5)</f>
        <v/>
      </c>
      <c r="N37" s="9">
        <f>SUM(N3,N4,N5)</f>
        <v/>
      </c>
      <c r="O37" s="9">
        <f>SUM(O3,O4,O5)</f>
        <v/>
      </c>
      <c r="P37" s="9">
        <f>SUM(P3,P4,P5)</f>
        <v/>
      </c>
      <c r="Q37" s="9">
        <f>SUM(Q3,Q4,Q5)</f>
        <v/>
      </c>
    </row>
    <row r="38">
      <c r="A38" t="inlineStr">
        <is>
          <t>Outros</t>
        </is>
      </c>
      <c r="B38" t="inlineStr">
        <is>
          <t>SUBTOTAL GERAL — Outros</t>
        </is>
      </c>
      <c r="C38" t="inlineStr">
        <is>
          <t>Geral</t>
        </is>
      </c>
      <c r="D38" s="9">
        <f>SUM(D6,D7,D8,D9,D10,D11,D12)</f>
        <v/>
      </c>
      <c r="E38" s="9">
        <f>SUM(E6,E7,E8,E9,E10,E11,E12)</f>
        <v/>
      </c>
      <c r="F38" s="9">
        <f>SUM(F6,F7,F8,F9,F10,F11,F12)</f>
        <v/>
      </c>
      <c r="G38" s="9">
        <f>SUM(G6,G7,G8,G9,G10,G11,G12)</f>
        <v/>
      </c>
      <c r="H38" s="9">
        <f>SUM(H6,H7,H8,H9,H10,H11,H12)</f>
        <v/>
      </c>
      <c r="I38" s="9">
        <f>SUM(I6,I7,I8,I9,I10,I11,I12)</f>
        <v/>
      </c>
      <c r="J38" s="9">
        <f>SUM(J6,J7,J8,J9,J10,J11,J12)</f>
        <v/>
      </c>
      <c r="K38" s="9">
        <f>SUM(K6,K7,K8,K9,K10,K11,K12)</f>
        <v/>
      </c>
      <c r="L38" s="9">
        <f>SUM(L6,L7,L8,L9,L10,L11,L12)</f>
        <v/>
      </c>
      <c r="M38" s="9">
        <f>SUM(M6,M7,M8,M9,M10,M11,M12)</f>
        <v/>
      </c>
      <c r="N38" s="9">
        <f>SUM(N6,N7,N8,N9,N10,N11,N12)</f>
        <v/>
      </c>
      <c r="O38" s="9">
        <f>SUM(O6,O7,O8,O9,O10,O11,O12)</f>
        <v/>
      </c>
      <c r="P38" s="9">
        <f>SUM(P6,P7,P8,P9,P10,P11,P12)</f>
        <v/>
      </c>
      <c r="Q38" s="9">
        <f>SUM(Q6,Q7,Q8,Q9,Q10,Q11,Q12)</f>
        <v/>
      </c>
    </row>
    <row r="39">
      <c r="A39" t="inlineStr">
        <is>
          <t>Pessoal</t>
        </is>
      </c>
      <c r="B39" t="inlineStr">
        <is>
          <t>SUBTOTAL GERAL — Pessoal</t>
        </is>
      </c>
      <c r="C39" t="inlineStr">
        <is>
          <t>Geral</t>
        </is>
      </c>
      <c r="D39" s="9">
        <f>SUM(D13,D14,D15,D16)</f>
        <v/>
      </c>
      <c r="E39" s="9">
        <f>SUM(E13,E14,E15,E16)</f>
        <v/>
      </c>
      <c r="F39" s="9">
        <f>SUM(F13,F14,F15,F16)</f>
        <v/>
      </c>
      <c r="G39" s="9">
        <f>SUM(G13,G14,G15,G16)</f>
        <v/>
      </c>
      <c r="H39" s="9">
        <f>SUM(H13,H14,H15,H16)</f>
        <v/>
      </c>
      <c r="I39" s="9">
        <f>SUM(I13,I14,I15,I16)</f>
        <v/>
      </c>
      <c r="J39" s="9">
        <f>SUM(J13,J14,J15,J16)</f>
        <v/>
      </c>
      <c r="K39" s="9">
        <f>SUM(K13,K14,K15,K16)</f>
        <v/>
      </c>
      <c r="L39" s="9">
        <f>SUM(L13,L14,L15,L16)</f>
        <v/>
      </c>
      <c r="M39" s="9">
        <f>SUM(M13,M14,M15,M16)</f>
        <v/>
      </c>
      <c r="N39" s="9">
        <f>SUM(N13,N14,N15,N16)</f>
        <v/>
      </c>
      <c r="O39" s="9">
        <f>SUM(O13,O14,O15,O16)</f>
        <v/>
      </c>
      <c r="P39" s="9">
        <f>SUM(P13,P14,P15,P16)</f>
        <v/>
      </c>
      <c r="Q39" s="9">
        <f>SUM(Q13,Q14,Q15,Q16)</f>
        <v/>
      </c>
    </row>
    <row r="40">
      <c r="A40" t="inlineStr">
        <is>
          <t>Contas Fixas</t>
        </is>
      </c>
      <c r="B40" t="inlineStr">
        <is>
          <t>SUBTOTAL STUDIO — Contas Fixas</t>
        </is>
      </c>
      <c r="C40" t="inlineStr">
        <is>
          <t>Studio</t>
        </is>
      </c>
      <c r="D40" s="9">
        <f>SUM(D17,D18,D19,D20)</f>
        <v/>
      </c>
      <c r="E40" s="9">
        <f>SUM(E17,E18,E19,E20)</f>
        <v/>
      </c>
      <c r="F40" s="9">
        <f>SUM(F17,F18,F19,F20)</f>
        <v/>
      </c>
      <c r="G40" s="9">
        <f>SUM(G17,G18,G19,G20)</f>
        <v/>
      </c>
      <c r="H40" s="9">
        <f>SUM(H17,H18,H19,H20)</f>
        <v/>
      </c>
      <c r="I40" s="9">
        <f>SUM(I17,I18,I19,I20)</f>
        <v/>
      </c>
      <c r="J40" s="9">
        <f>SUM(J17,J18,J19,J20)</f>
        <v/>
      </c>
      <c r="K40" s="9">
        <f>SUM(K17,K18,K19,K20)</f>
        <v/>
      </c>
      <c r="L40" s="9">
        <f>SUM(L17,L18,L19,L20)</f>
        <v/>
      </c>
      <c r="M40" s="9">
        <f>SUM(M17,M18,M19,M20)</f>
        <v/>
      </c>
      <c r="N40" s="9">
        <f>SUM(N17,N18,N19,N20)</f>
        <v/>
      </c>
      <c r="O40" s="9">
        <f>SUM(O17,O18,O19,O20)</f>
        <v/>
      </c>
      <c r="P40" s="9">
        <f>SUM(P17,P18,P19,P20)</f>
        <v/>
      </c>
      <c r="Q40" s="9">
        <f>SUM(Q17,Q18,Q19,Q20)</f>
        <v/>
      </c>
    </row>
    <row r="41">
      <c r="A41" t="inlineStr">
        <is>
          <t>Contas Variáveis</t>
        </is>
      </c>
      <c r="B41" t="inlineStr">
        <is>
          <t>SUBTOTAL STUDIO — Contas Variáveis</t>
        </is>
      </c>
      <c r="C41" t="inlineStr">
        <is>
          <t>Studio</t>
        </is>
      </c>
      <c r="D41" s="9">
        <f>SUM(D21,D22)</f>
        <v/>
      </c>
      <c r="E41" s="9">
        <f>SUM(E21,E22)</f>
        <v/>
      </c>
      <c r="F41" s="9">
        <f>SUM(F21,F22)</f>
        <v/>
      </c>
      <c r="G41" s="9">
        <f>SUM(G21,G22)</f>
        <v/>
      </c>
      <c r="H41" s="9">
        <f>SUM(H21,H22)</f>
        <v/>
      </c>
      <c r="I41" s="9">
        <f>SUM(I21,I22)</f>
        <v/>
      </c>
      <c r="J41" s="9">
        <f>SUM(J21,J22)</f>
        <v/>
      </c>
      <c r="K41" s="9">
        <f>SUM(K21,K22)</f>
        <v/>
      </c>
      <c r="L41" s="9">
        <f>SUM(L21,L22)</f>
        <v/>
      </c>
      <c r="M41" s="9">
        <f>SUM(M21,M22)</f>
        <v/>
      </c>
      <c r="N41" s="9">
        <f>SUM(N21,N22)</f>
        <v/>
      </c>
      <c r="O41" s="9">
        <f>SUM(O21,O22)</f>
        <v/>
      </c>
      <c r="P41" s="9">
        <f>SUM(P21,P22)</f>
        <v/>
      </c>
      <c r="Q41" s="9">
        <f>SUM(Q21,Q22)</f>
        <v/>
      </c>
    </row>
    <row r="42">
      <c r="A42" t="inlineStr">
        <is>
          <t>Impostos</t>
        </is>
      </c>
      <c r="B42" t="inlineStr">
        <is>
          <t>SUBTOTAL STUDIO — Impostos</t>
        </is>
      </c>
      <c r="C42" t="inlineStr">
        <is>
          <t>Studio</t>
        </is>
      </c>
      <c r="D42" s="9">
        <f>SUM(D23,D24)</f>
        <v/>
      </c>
      <c r="E42" s="9">
        <f>SUM(E23,E24)</f>
        <v/>
      </c>
      <c r="F42" s="9">
        <f>SUM(F23,F24)</f>
        <v/>
      </c>
      <c r="G42" s="9">
        <f>SUM(G23,G24)</f>
        <v/>
      </c>
      <c r="H42" s="9">
        <f>SUM(H23,H24)</f>
        <v/>
      </c>
      <c r="I42" s="9">
        <f>SUM(I23,I24)</f>
        <v/>
      </c>
      <c r="J42" s="9">
        <f>SUM(J23,J24)</f>
        <v/>
      </c>
      <c r="K42" s="9">
        <f>SUM(K23,K24)</f>
        <v/>
      </c>
      <c r="L42" s="9">
        <f>SUM(L23,L24)</f>
        <v/>
      </c>
      <c r="M42" s="9">
        <f>SUM(M23,M24)</f>
        <v/>
      </c>
      <c r="N42" s="9">
        <f>SUM(N23,N24)</f>
        <v/>
      </c>
      <c r="O42" s="9">
        <f>SUM(O23,O24)</f>
        <v/>
      </c>
      <c r="P42" s="9">
        <f>SUM(P23,P24)</f>
        <v/>
      </c>
      <c r="Q42" s="9">
        <f>SUM(Q23,Q24)</f>
        <v/>
      </c>
    </row>
    <row r="43">
      <c r="A43" t="inlineStr">
        <is>
          <t>Outros</t>
        </is>
      </c>
      <c r="B43" t="inlineStr">
        <is>
          <t>SUBTOTAL STUDIO — Outros</t>
        </is>
      </c>
      <c r="C43" t="inlineStr">
        <is>
          <t>Studio</t>
        </is>
      </c>
      <c r="D43" s="9">
        <f>SUM(D25,D26,D27,D28,D29,D30)</f>
        <v/>
      </c>
      <c r="E43" s="9">
        <f>SUM(E25,E26,E27,E28,E29,E30)</f>
        <v/>
      </c>
      <c r="F43" s="9">
        <f>SUM(F25,F26,F27,F28,F29,F30)</f>
        <v/>
      </c>
      <c r="G43" s="9">
        <f>SUM(G25,G26,G27,G28,G29,G30)</f>
        <v/>
      </c>
      <c r="H43" s="9">
        <f>SUM(H25,H26,H27,H28,H29,H30)</f>
        <v/>
      </c>
      <c r="I43" s="9">
        <f>SUM(I25,I26,I27,I28,I29,I30)</f>
        <v/>
      </c>
      <c r="J43" s="9">
        <f>SUM(J25,J26,J27,J28,J29,J30)</f>
        <v/>
      </c>
      <c r="K43" s="9">
        <f>SUM(K25,K26,K27,K28,K29,K30)</f>
        <v/>
      </c>
      <c r="L43" s="9">
        <f>SUM(L25,L26,L27,L28,L29,L30)</f>
        <v/>
      </c>
      <c r="M43" s="9">
        <f>SUM(M25,M26,M27,M28,M29,M30)</f>
        <v/>
      </c>
      <c r="N43" s="9">
        <f>SUM(N25,N26,N27,N28,N29,N30)</f>
        <v/>
      </c>
      <c r="O43" s="9">
        <f>SUM(O25,O26,O27,O28,O29,O30)</f>
        <v/>
      </c>
      <c r="P43" s="9">
        <f>SUM(P25,P26,P27,P28,P29,P30)</f>
        <v/>
      </c>
      <c r="Q43" s="9">
        <f>SUM(Q25,Q26,Q27,Q28,Q29,Q30)</f>
        <v/>
      </c>
    </row>
    <row r="44">
      <c r="A44" t="inlineStr">
        <is>
          <t>Pessoal</t>
        </is>
      </c>
      <c r="B44" t="inlineStr">
        <is>
          <t>SUBTOTAL STUDIO — Pessoal</t>
        </is>
      </c>
      <c r="C44" t="inlineStr">
        <is>
          <t>Studio</t>
        </is>
      </c>
      <c r="D44" s="9">
        <f>SUM(D31,D32,D33,D34)</f>
        <v/>
      </c>
      <c r="E44" s="9">
        <f>SUM(E31,E32,E33,E34)</f>
        <v/>
      </c>
      <c r="F44" s="9">
        <f>SUM(F31,F32,F33,F34)</f>
        <v/>
      </c>
      <c r="G44" s="9">
        <f>SUM(G31,G32,G33,G34)</f>
        <v/>
      </c>
      <c r="H44" s="9">
        <f>SUM(H31,H32,H33,H34)</f>
        <v/>
      </c>
      <c r="I44" s="9">
        <f>SUM(I31,I32,I33,I34)</f>
        <v/>
      </c>
      <c r="J44" s="9">
        <f>SUM(J31,J32,J33,J34)</f>
        <v/>
      </c>
      <c r="K44" s="9">
        <f>SUM(K31,K32,K33,K34)</f>
        <v/>
      </c>
      <c r="L44" s="9">
        <f>SUM(L31,L32,L33,L34)</f>
        <v/>
      </c>
      <c r="M44" s="9">
        <f>SUM(M31,M32,M33,M34)</f>
        <v/>
      </c>
      <c r="N44" s="9">
        <f>SUM(N31,N32,N33,N34)</f>
        <v/>
      </c>
      <c r="O44" s="9">
        <f>SUM(O31,O32,O33,O34)</f>
        <v/>
      </c>
      <c r="P44" s="9">
        <f>SUM(P31,P32,P33,P34)</f>
        <v/>
      </c>
      <c r="Q44" s="9">
        <f>SUM(Q31,Q32,Q33,Q34)</f>
        <v/>
      </c>
    </row>
    <row r="46">
      <c r="A46" s="10" t="n"/>
      <c r="B46" s="11" t="inlineStr">
        <is>
          <t>TOTAL GERAL (Studio + Geral)</t>
        </is>
      </c>
      <c r="D46" s="12">
        <f>SUM(D37,D38,D39,D40,D41,D42,D43,D44)</f>
        <v/>
      </c>
      <c r="E46" s="12">
        <f>SUM(E37,E38,E39,E40,E41,E42,E43,E44)</f>
        <v/>
      </c>
      <c r="F46" s="12">
        <f>SUM(F37,F38,F39,F40,F41,F42,F43,F44)</f>
        <v/>
      </c>
      <c r="G46" s="12">
        <f>SUM(G37,G38,G39,G40,G41,G42,G43,G44)</f>
        <v/>
      </c>
      <c r="H46" s="12">
        <f>SUM(H37,H38,H39,H40,H41,H42,H43,H44)</f>
        <v/>
      </c>
      <c r="I46" s="12">
        <f>SUM(I37,I38,I39,I40,I41,I42,I43,I44)</f>
        <v/>
      </c>
      <c r="J46" s="12">
        <f>SUM(J37,J38,J39,J40,J41,J42,J43,J44)</f>
        <v/>
      </c>
      <c r="K46" s="12">
        <f>SUM(K37,K38,K39,K40,K41,K42,K43,K44)</f>
        <v/>
      </c>
      <c r="L46" s="12">
        <f>SUM(L37,L38,L39,L40,L41,L42,L43,L44)</f>
        <v/>
      </c>
      <c r="M46" s="12">
        <f>SUM(M37,M38,M39,M40,M41,M42,M43,M44)</f>
        <v/>
      </c>
      <c r="N46" s="12">
        <f>SUM(N37,N38,N39,N40,N41,N42,N43,N44)</f>
        <v/>
      </c>
      <c r="O46" s="12">
        <f>SUM(O37,O38,O39,O40,O41,O42,O43,O44)</f>
        <v/>
      </c>
      <c r="P46" s="12">
        <f>SUM(P37,P38,P39,P40,P41,P42,P43,P44)</f>
        <v/>
      </c>
      <c r="Q46" s="12">
        <f>SUM(Q37,Q38,Q39,Q40,Q41,Q42,Q43,Q44)</f>
        <v/>
      </c>
    </row>
  </sheetData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0" customWidth="1" min="16" max="16"/>
  </cols>
  <sheetData>
    <row r="1" ht="20" customHeight="1">
      <c r="A1" s="1" t="inlineStr">
        <is>
          <t>DRE — Studio 2026  |  Jan-Jun: dados reais via SUMIFS em 'Controle_Financeiro_2026.xlsx'  |  Jul-Dez: projeção pela média Jan-Jun (editável)  |  Mantenha ambos os arquivos na mesma pasta para fórmulas externas funcionarem.</t>
        </is>
      </c>
    </row>
    <row r="2" ht="30" customHeight="1">
      <c r="A2" s="2" t="inlineStr">
        <is>
          <t>Item</t>
        </is>
      </c>
      <c r="B2" s="2" t="inlineStr">
        <is>
          <t>Jan</t>
        </is>
      </c>
      <c r="C2" s="2" t="inlineStr">
        <is>
          <t>Fev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Mai</t>
        </is>
      </c>
      <c r="G2" s="2" t="inlineStr">
        <is>
          <t>Jun</t>
        </is>
      </c>
      <c r="H2" s="3" t="inlineStr">
        <is>
          <t>Jul (proj)</t>
        </is>
      </c>
      <c r="I2" s="3" t="inlineStr">
        <is>
          <t>Ago (proj)</t>
        </is>
      </c>
      <c r="J2" s="3" t="inlineStr">
        <is>
          <t>Set (proj)</t>
        </is>
      </c>
      <c r="K2" s="3" t="inlineStr">
        <is>
          <t>Out (proj)</t>
        </is>
      </c>
      <c r="L2" s="3" t="inlineStr">
        <is>
          <t>Nov (proj)</t>
        </is>
      </c>
      <c r="M2" s="3" t="inlineStr">
        <is>
          <t>Dez (proj)</t>
        </is>
      </c>
      <c r="N2" s="2" t="inlineStr">
        <is>
          <t>Total</t>
        </is>
      </c>
      <c r="O2" s="2" t="inlineStr">
        <is>
          <t>% Receita</t>
        </is>
      </c>
    </row>
    <row r="3">
      <c r="A3" s="13" t="inlineStr">
        <is>
          <t>(=) RECEITA BRUTA</t>
        </is>
      </c>
      <c r="B3" s="12">
        <f>B4+B5+B6+B7+B8+B9+B10</f>
        <v/>
      </c>
      <c r="C3" s="12">
        <f>C4+C5+C6+C7+C8+C9+C10</f>
        <v/>
      </c>
      <c r="D3" s="12">
        <f>D4+D5+D6+D7+D8+D9+D10</f>
        <v/>
      </c>
      <c r="E3" s="12">
        <f>E4+E5+E6+E7+E8+E9+E10</f>
        <v/>
      </c>
      <c r="F3" s="12">
        <f>F4+F5+F6+F7+F8+F9+F10</f>
        <v/>
      </c>
      <c r="G3" s="12">
        <f>G4+G5+G6+G7+G8+G9+G10</f>
        <v/>
      </c>
      <c r="H3" s="12">
        <f>H4+H5+H6+H7+H8+H9+H10</f>
        <v/>
      </c>
      <c r="I3" s="12">
        <f>I4+I5+I6+I7+I8+I9+I10</f>
        <v/>
      </c>
      <c r="J3" s="12">
        <f>J4+J5+J6+J7+J8+J9+J10</f>
        <v/>
      </c>
      <c r="K3" s="12">
        <f>K4+K5+K6+K7+K8+K9+K10</f>
        <v/>
      </c>
      <c r="L3" s="12">
        <f>L4+L5+L6+L7+L8+L9+L10</f>
        <v/>
      </c>
      <c r="M3" s="12">
        <f>M4+M5+M6+M7+M8+M9+M10</f>
        <v/>
      </c>
      <c r="N3" s="12">
        <f>SUM(B3:M3)</f>
        <v/>
      </c>
    </row>
    <row r="4">
      <c r="A4" s="14" t="inlineStr">
        <is>
          <t xml:space="preserve">  Receita - Midialike</t>
        </is>
      </c>
      <c r="B4" s="4">
        <f>SUMIFS('[Controle_Financeiro_2026.xlsx]Lançamentos'!$H:$H,'[Controle_Financeiro_2026.xlsx]Lançamentos'!$F:$F,"Depósito Midialike",'[Controle_Financeiro_2026.xlsx]Lançamentos'!$B:$B,1,'[Controle_Financeiro_2026.xlsx]Lançamentos'!$C:$C,2026,'[Controle_Financeiro_2026.xlsx]Lançamentos'!$D:$D,"Studio",'[Controle_Financeiro_2026.xlsx]Lançamentos'!$G:$G,"Receita")</f>
        <v/>
      </c>
      <c r="C4" s="4">
        <f>SUMIFS('[Controle_Financeiro_2026.xlsx]Lançamentos'!$H:$H,'[Controle_Financeiro_2026.xlsx]Lançamentos'!$F:$F,"Depósito Midialike",'[Controle_Financeiro_2026.xlsx]Lançamentos'!$B:$B,2,'[Controle_Financeiro_2026.xlsx]Lançamentos'!$C:$C,2026,'[Controle_Financeiro_2026.xlsx]Lançamentos'!$D:$D,"Studio",'[Controle_Financeiro_2026.xlsx]Lançamentos'!$G:$G,"Receita")</f>
        <v/>
      </c>
      <c r="D4" s="4">
        <f>SUMIFS('[Controle_Financeiro_2026.xlsx]Lançamentos'!$H:$H,'[Controle_Financeiro_2026.xlsx]Lançamentos'!$F:$F,"Depósito Midialike",'[Controle_Financeiro_2026.xlsx]Lançamentos'!$B:$B,3,'[Controle_Financeiro_2026.xlsx]Lançamentos'!$C:$C,2026,'[Controle_Financeiro_2026.xlsx]Lançamentos'!$D:$D,"Studio",'[Controle_Financeiro_2026.xlsx]Lançamentos'!$G:$G,"Receita")</f>
        <v/>
      </c>
      <c r="E4" s="4">
        <f>SUMIFS('[Controle_Financeiro_2026.xlsx]Lançamentos'!$H:$H,'[Controle_Financeiro_2026.xlsx]Lançamentos'!$F:$F,"Depósito Midialike",'[Controle_Financeiro_2026.xlsx]Lançamentos'!$B:$B,4,'[Controle_Financeiro_2026.xlsx]Lançamentos'!$C:$C,2026,'[Controle_Financeiro_2026.xlsx]Lançamentos'!$D:$D,"Studio",'[Controle_Financeiro_2026.xlsx]Lançamentos'!$G:$G,"Receita")</f>
        <v/>
      </c>
      <c r="F4" s="4">
        <f>SUMIFS('[Controle_Financeiro_2026.xlsx]Lançamentos'!$H:$H,'[Controle_Financeiro_2026.xlsx]Lançamentos'!$F:$F,"Depósito Midialike",'[Controle_Financeiro_2026.xlsx]Lançamentos'!$B:$B,5,'[Controle_Financeiro_2026.xlsx]Lançamentos'!$C:$C,2026,'[Controle_Financeiro_2026.xlsx]Lançamentos'!$D:$D,"Studio",'[Controle_Financeiro_2026.xlsx]Lançamentos'!$G:$G,"Receita")</f>
        <v/>
      </c>
      <c r="G4" s="4">
        <f>SUMIFS('[Controle_Financeiro_2026.xlsx]Lançamentos'!$H:$H,'[Controle_Financeiro_2026.xlsx]Lançamentos'!$F:$F,"Depósito Midialike",'[Controle_Financeiro_2026.xlsx]Lançamentos'!$B:$B,6,'[Controle_Financeiro_2026.xlsx]Lançamentos'!$C:$C,2026,'[Controle_Financeiro_2026.xlsx]Lançamentos'!$D:$D,"Studio",'[Controle_Financeiro_2026.xlsx]Lançamentos'!$G:$G,"Receita")</f>
        <v/>
      </c>
      <c r="H4" s="5">
        <f>IFERROR(AVERAGEIF(B4:G4,"&lt;&gt;0"),0)</f>
        <v/>
      </c>
      <c r="I4" s="5">
        <f>IFERROR(AVERAGEIF(B4:G4,"&lt;&gt;0"),0)</f>
        <v/>
      </c>
      <c r="J4" s="5">
        <f>IFERROR(AVERAGEIF(B4:G4,"&lt;&gt;0"),0)</f>
        <v/>
      </c>
      <c r="K4" s="5">
        <f>IFERROR(AVERAGEIF(B4:G4,"&lt;&gt;0"),0)</f>
        <v/>
      </c>
      <c r="L4" s="5">
        <f>IFERROR(AVERAGEIF(B4:G4,"&lt;&gt;0"),0)</f>
        <v/>
      </c>
      <c r="M4" s="5">
        <f>IFERROR(AVERAGEIF(B4:G4,"&lt;&gt;0"),0)</f>
        <v/>
      </c>
      <c r="N4" s="6">
        <f>SUM(B4:M4)</f>
        <v/>
      </c>
      <c r="O4" t="inlineStr">
        <is>
          <t>—</t>
        </is>
      </c>
    </row>
    <row r="5">
      <c r="A5" s="14" t="inlineStr">
        <is>
          <t xml:space="preserve">  Receita - Denise (Salão)</t>
        </is>
      </c>
      <c r="B5" s="4">
        <f>SUMIFS('[Controle_Financeiro_2026.xlsx]Lançamentos'!$H:$H,'[Controle_Financeiro_2026.xlsx]Lançamentos'!$F:$F,"Depósito recebido de Denise / Salão",'[Controle_Financeiro_2026.xlsx]Lançamentos'!$B:$B,1,'[Controle_Financeiro_2026.xlsx]Lançamentos'!$C:$C,2026,'[Controle_Financeiro_2026.xlsx]Lançamentos'!$D:$D,"Studio",'[Controle_Financeiro_2026.xlsx]Lançamentos'!$G:$G,"Receita")</f>
        <v/>
      </c>
      <c r="C5" s="4">
        <f>SUMIFS('[Controle_Financeiro_2026.xlsx]Lançamentos'!$H:$H,'[Controle_Financeiro_2026.xlsx]Lançamentos'!$F:$F,"Depósito recebido de Denise / Salão",'[Controle_Financeiro_2026.xlsx]Lançamentos'!$B:$B,2,'[Controle_Financeiro_2026.xlsx]Lançamentos'!$C:$C,2026,'[Controle_Financeiro_2026.xlsx]Lançamentos'!$D:$D,"Studio",'[Controle_Financeiro_2026.xlsx]Lançamentos'!$G:$G,"Receita")</f>
        <v/>
      </c>
      <c r="D5" s="4">
        <f>SUMIFS('[Controle_Financeiro_2026.xlsx]Lançamentos'!$H:$H,'[Controle_Financeiro_2026.xlsx]Lançamentos'!$F:$F,"Depósito recebido de Denise / Salão",'[Controle_Financeiro_2026.xlsx]Lançamentos'!$B:$B,3,'[Controle_Financeiro_2026.xlsx]Lançamentos'!$C:$C,2026,'[Controle_Financeiro_2026.xlsx]Lançamentos'!$D:$D,"Studio",'[Controle_Financeiro_2026.xlsx]Lançamentos'!$G:$G,"Receita")</f>
        <v/>
      </c>
      <c r="E5" s="4">
        <f>SUMIFS('[Controle_Financeiro_2026.xlsx]Lançamentos'!$H:$H,'[Controle_Financeiro_2026.xlsx]Lançamentos'!$F:$F,"Depósito recebido de Denise / Salão",'[Controle_Financeiro_2026.xlsx]Lançamentos'!$B:$B,4,'[Controle_Financeiro_2026.xlsx]Lançamentos'!$C:$C,2026,'[Controle_Financeiro_2026.xlsx]Lançamentos'!$D:$D,"Studio",'[Controle_Financeiro_2026.xlsx]Lançamentos'!$G:$G,"Receita")</f>
        <v/>
      </c>
      <c r="F5" s="4">
        <f>SUMIFS('[Controle_Financeiro_2026.xlsx]Lançamentos'!$H:$H,'[Controle_Financeiro_2026.xlsx]Lançamentos'!$F:$F,"Depósito recebido de Denise / Salão",'[Controle_Financeiro_2026.xlsx]Lançamentos'!$B:$B,5,'[Controle_Financeiro_2026.xlsx]Lançamentos'!$C:$C,2026,'[Controle_Financeiro_2026.xlsx]Lançamentos'!$D:$D,"Studio",'[Controle_Financeiro_2026.xlsx]Lançamentos'!$G:$G,"Receita")</f>
        <v/>
      </c>
      <c r="G5" s="4">
        <f>SUMIFS('[Controle_Financeiro_2026.xlsx]Lançamentos'!$H:$H,'[Controle_Financeiro_2026.xlsx]Lançamentos'!$F:$F,"Depósito recebido de Denise / Salão",'[Controle_Financeiro_2026.xlsx]Lançamentos'!$B:$B,6,'[Controle_Financeiro_2026.xlsx]Lançamentos'!$C:$C,2026,'[Controle_Financeiro_2026.xlsx]Lançamentos'!$D:$D,"Studio",'[Controle_Financeiro_2026.xlsx]Lançamentos'!$G:$G,"Receita")</f>
        <v/>
      </c>
      <c r="H5" s="5">
        <f>IFERROR(AVERAGEIF(B5:G5,"&lt;&gt;0"),0)</f>
        <v/>
      </c>
      <c r="I5" s="5">
        <f>IFERROR(AVERAGEIF(B5:G5,"&lt;&gt;0"),0)</f>
        <v/>
      </c>
      <c r="J5" s="5">
        <f>IFERROR(AVERAGEIF(B5:G5,"&lt;&gt;0"),0)</f>
        <v/>
      </c>
      <c r="K5" s="5">
        <f>IFERROR(AVERAGEIF(B5:G5,"&lt;&gt;0"),0)</f>
        <v/>
      </c>
      <c r="L5" s="5">
        <f>IFERROR(AVERAGEIF(B5:G5,"&lt;&gt;0"),0)</f>
        <v/>
      </c>
      <c r="M5" s="5">
        <f>IFERROR(AVERAGEIF(B5:G5,"&lt;&gt;0"),0)</f>
        <v/>
      </c>
      <c r="N5" s="6">
        <f>SUM(B5:M5)</f>
        <v/>
      </c>
      <c r="O5" t="inlineStr">
        <is>
          <t>—</t>
        </is>
      </c>
    </row>
    <row r="6">
      <c r="A6" s="14" t="inlineStr">
        <is>
          <t xml:space="preserve">  Receita - Clientes Studio</t>
        </is>
      </c>
      <c r="B6" s="4">
        <f>SUMIFS('[Controle_Financeiro_2026.xlsx]Lançamentos'!$H:$H,'[Controle_Financeiro_2026.xlsx]Lançamentos'!$F:$F,"Pix recebido (cliente)",'[Controle_Financeiro_2026.xlsx]Lançamentos'!$B:$B,1,'[Controle_Financeiro_2026.xlsx]Lançamentos'!$C:$C,2026,'[Controle_Financeiro_2026.xlsx]Lançamentos'!$D:$D,"Studio",'[Controle_Financeiro_2026.xlsx]Lançamentos'!$G:$G,"Receita")</f>
        <v/>
      </c>
      <c r="C6" s="4">
        <f>SUMIFS('[Controle_Financeiro_2026.xlsx]Lançamentos'!$H:$H,'[Controle_Financeiro_2026.xlsx]Lançamentos'!$F:$F,"Pix recebido (cliente)",'[Controle_Financeiro_2026.xlsx]Lançamentos'!$B:$B,2,'[Controle_Financeiro_2026.xlsx]Lançamentos'!$C:$C,2026,'[Controle_Financeiro_2026.xlsx]Lançamentos'!$D:$D,"Studio",'[Controle_Financeiro_2026.xlsx]Lançamentos'!$G:$G,"Receita")</f>
        <v/>
      </c>
      <c r="D6" s="4">
        <f>SUMIFS('[Controle_Financeiro_2026.xlsx]Lançamentos'!$H:$H,'[Controle_Financeiro_2026.xlsx]Lançamentos'!$F:$F,"Pix recebido (cliente)",'[Controle_Financeiro_2026.xlsx]Lançamentos'!$B:$B,3,'[Controle_Financeiro_2026.xlsx]Lançamentos'!$C:$C,2026,'[Controle_Financeiro_2026.xlsx]Lançamentos'!$D:$D,"Studio",'[Controle_Financeiro_2026.xlsx]Lançamentos'!$G:$G,"Receita")</f>
        <v/>
      </c>
      <c r="E6" s="4">
        <f>SUMIFS('[Controle_Financeiro_2026.xlsx]Lançamentos'!$H:$H,'[Controle_Financeiro_2026.xlsx]Lançamentos'!$F:$F,"Pix recebido (cliente)",'[Controle_Financeiro_2026.xlsx]Lançamentos'!$B:$B,4,'[Controle_Financeiro_2026.xlsx]Lançamentos'!$C:$C,2026,'[Controle_Financeiro_2026.xlsx]Lançamentos'!$D:$D,"Studio",'[Controle_Financeiro_2026.xlsx]Lançamentos'!$G:$G,"Receita")</f>
        <v/>
      </c>
      <c r="F6" s="4">
        <f>SUMIFS('[Controle_Financeiro_2026.xlsx]Lançamentos'!$H:$H,'[Controle_Financeiro_2026.xlsx]Lançamentos'!$F:$F,"Pix recebido (cliente)",'[Controle_Financeiro_2026.xlsx]Lançamentos'!$B:$B,5,'[Controle_Financeiro_2026.xlsx]Lançamentos'!$C:$C,2026,'[Controle_Financeiro_2026.xlsx]Lançamentos'!$D:$D,"Studio",'[Controle_Financeiro_2026.xlsx]Lançamentos'!$G:$G,"Receita")</f>
        <v/>
      </c>
      <c r="G6" s="4">
        <f>SUMIFS('[Controle_Financeiro_2026.xlsx]Lançamentos'!$H:$H,'[Controle_Financeiro_2026.xlsx]Lançamentos'!$F:$F,"Pix recebido (cliente)",'[Controle_Financeiro_2026.xlsx]Lançamentos'!$B:$B,6,'[Controle_Financeiro_2026.xlsx]Lançamentos'!$C:$C,2026,'[Controle_Financeiro_2026.xlsx]Lançamentos'!$D:$D,"Studio",'[Controle_Financeiro_2026.xlsx]Lançamentos'!$G:$G,"Receita")</f>
        <v/>
      </c>
      <c r="H6" s="5">
        <f>IFERROR(AVERAGEIF(B6:G6,"&lt;&gt;0"),0)</f>
        <v/>
      </c>
      <c r="I6" s="5">
        <f>IFERROR(AVERAGEIF(B6:G6,"&lt;&gt;0"),0)</f>
        <v/>
      </c>
      <c r="J6" s="5">
        <f>IFERROR(AVERAGEIF(B6:G6,"&lt;&gt;0"),0)</f>
        <v/>
      </c>
      <c r="K6" s="5">
        <f>IFERROR(AVERAGEIF(B6:G6,"&lt;&gt;0"),0)</f>
        <v/>
      </c>
      <c r="L6" s="5">
        <f>IFERROR(AVERAGEIF(B6:G6,"&lt;&gt;0"),0)</f>
        <v/>
      </c>
      <c r="M6" s="5">
        <f>IFERROR(AVERAGEIF(B6:G6,"&lt;&gt;0"),0)</f>
        <v/>
      </c>
      <c r="N6" s="6">
        <f>SUM(B6:M6)</f>
        <v/>
      </c>
      <c r="O6" t="inlineStr">
        <is>
          <t>—</t>
        </is>
      </c>
    </row>
    <row r="7">
      <c r="A7" s="14" t="inlineStr">
        <is>
          <t xml:space="preserve">  Receita - Pix Cliente (Outros)</t>
        </is>
      </c>
      <c r="B7" s="4">
        <f>SUMIFS('[Controle_Financeiro_2026.xlsx]Lançamentos'!$H:$H,'[Controle_Financeiro_2026.xlsx]Lançamentos'!$F:$F,"Pix recebido cliente Studio",'[Controle_Financeiro_2026.xlsx]Lançamentos'!$B:$B,1,'[Controle_Financeiro_2026.xlsx]Lançamentos'!$C:$C,2026,'[Controle_Financeiro_2026.xlsx]Lançamentos'!$D:$D,"Studio",'[Controle_Financeiro_2026.xlsx]Lançamentos'!$G:$G,"Receita")</f>
        <v/>
      </c>
      <c r="C7" s="4">
        <f>SUMIFS('[Controle_Financeiro_2026.xlsx]Lançamentos'!$H:$H,'[Controle_Financeiro_2026.xlsx]Lançamentos'!$F:$F,"Pix recebido cliente Studio",'[Controle_Financeiro_2026.xlsx]Lançamentos'!$B:$B,2,'[Controle_Financeiro_2026.xlsx]Lançamentos'!$C:$C,2026,'[Controle_Financeiro_2026.xlsx]Lançamentos'!$D:$D,"Studio",'[Controle_Financeiro_2026.xlsx]Lançamentos'!$G:$G,"Receita")</f>
        <v/>
      </c>
      <c r="D7" s="4">
        <f>SUMIFS('[Controle_Financeiro_2026.xlsx]Lançamentos'!$H:$H,'[Controle_Financeiro_2026.xlsx]Lançamentos'!$F:$F,"Pix recebido cliente Studio",'[Controle_Financeiro_2026.xlsx]Lançamentos'!$B:$B,3,'[Controle_Financeiro_2026.xlsx]Lançamentos'!$C:$C,2026,'[Controle_Financeiro_2026.xlsx]Lançamentos'!$D:$D,"Studio",'[Controle_Financeiro_2026.xlsx]Lançamentos'!$G:$G,"Receita")</f>
        <v/>
      </c>
      <c r="E7" s="4">
        <f>SUMIFS('[Controle_Financeiro_2026.xlsx]Lançamentos'!$H:$H,'[Controle_Financeiro_2026.xlsx]Lançamentos'!$F:$F,"Pix recebido cliente Studio",'[Controle_Financeiro_2026.xlsx]Lançamentos'!$B:$B,4,'[Controle_Financeiro_2026.xlsx]Lançamentos'!$C:$C,2026,'[Controle_Financeiro_2026.xlsx]Lançamentos'!$D:$D,"Studio",'[Controle_Financeiro_2026.xlsx]Lançamentos'!$G:$G,"Receita")</f>
        <v/>
      </c>
      <c r="F7" s="4">
        <f>SUMIFS('[Controle_Financeiro_2026.xlsx]Lançamentos'!$H:$H,'[Controle_Financeiro_2026.xlsx]Lançamentos'!$F:$F,"Pix recebido cliente Studio",'[Controle_Financeiro_2026.xlsx]Lançamentos'!$B:$B,5,'[Controle_Financeiro_2026.xlsx]Lançamentos'!$C:$C,2026,'[Controle_Financeiro_2026.xlsx]Lançamentos'!$D:$D,"Studio",'[Controle_Financeiro_2026.xlsx]Lançamentos'!$G:$G,"Receita")</f>
        <v/>
      </c>
      <c r="G7" s="4">
        <f>SUMIFS('[Controle_Financeiro_2026.xlsx]Lançamentos'!$H:$H,'[Controle_Financeiro_2026.xlsx]Lançamentos'!$F:$F,"Pix recebido cliente Studio",'[Controle_Financeiro_2026.xlsx]Lançamentos'!$B:$B,6,'[Controle_Financeiro_2026.xlsx]Lançamentos'!$C:$C,2026,'[Controle_Financeiro_2026.xlsx]Lançamentos'!$D:$D,"Studio",'[Controle_Financeiro_2026.xlsx]Lançamentos'!$G:$G,"Receita")</f>
        <v/>
      </c>
      <c r="H7" s="5">
        <f>IFERROR(AVERAGEIF(B7:G7,"&lt;&gt;0"),0)</f>
        <v/>
      </c>
      <c r="I7" s="5">
        <f>IFERROR(AVERAGEIF(B7:G7,"&lt;&gt;0"),0)</f>
        <v/>
      </c>
      <c r="J7" s="5">
        <f>IFERROR(AVERAGEIF(B7:G7,"&lt;&gt;0"),0)</f>
        <v/>
      </c>
      <c r="K7" s="5">
        <f>IFERROR(AVERAGEIF(B7:G7,"&lt;&gt;0"),0)</f>
        <v/>
      </c>
      <c r="L7" s="5">
        <f>IFERROR(AVERAGEIF(B7:G7,"&lt;&gt;0"),0)</f>
        <v/>
      </c>
      <c r="M7" s="5">
        <f>IFERROR(AVERAGEIF(B7:G7,"&lt;&gt;0"),0)</f>
        <v/>
      </c>
      <c r="N7" s="6">
        <f>SUM(B7:M7)</f>
        <v/>
      </c>
      <c r="O7" t="inlineStr">
        <is>
          <t>—</t>
        </is>
      </c>
    </row>
    <row r="8">
      <c r="A8" s="14" t="inlineStr">
        <is>
          <t xml:space="preserve">  Receita - Liberação de Crédito</t>
        </is>
      </c>
      <c r="B8" s="4">
        <f>SUMIFS('[Controle_Financeiro_2026.xlsx]Lançamentos'!$H:$H,'[Controle_Financeiro_2026.xlsx]Lançamentos'!$F:$F,"Liberação de Crédito (Studio)",'[Controle_Financeiro_2026.xlsx]Lançamentos'!$B:$B,1,'[Controle_Financeiro_2026.xlsx]Lançamentos'!$C:$C,2026,'[Controle_Financeiro_2026.xlsx]Lançamentos'!$D:$D,"Studio",'[Controle_Financeiro_2026.xlsx]Lançamentos'!$G:$G,"Receita")</f>
        <v/>
      </c>
      <c r="C8" s="4">
        <f>SUMIFS('[Controle_Financeiro_2026.xlsx]Lançamentos'!$H:$H,'[Controle_Financeiro_2026.xlsx]Lançamentos'!$F:$F,"Liberação de Crédito (Studio)",'[Controle_Financeiro_2026.xlsx]Lançamentos'!$B:$B,2,'[Controle_Financeiro_2026.xlsx]Lançamentos'!$C:$C,2026,'[Controle_Financeiro_2026.xlsx]Lançamentos'!$D:$D,"Studio",'[Controle_Financeiro_2026.xlsx]Lançamentos'!$G:$G,"Receita")</f>
        <v/>
      </c>
      <c r="D8" s="4">
        <f>SUMIFS('[Controle_Financeiro_2026.xlsx]Lançamentos'!$H:$H,'[Controle_Financeiro_2026.xlsx]Lançamentos'!$F:$F,"Liberação de Crédito (Studio)",'[Controle_Financeiro_2026.xlsx]Lançamentos'!$B:$B,3,'[Controle_Financeiro_2026.xlsx]Lançamentos'!$C:$C,2026,'[Controle_Financeiro_2026.xlsx]Lançamentos'!$D:$D,"Studio",'[Controle_Financeiro_2026.xlsx]Lançamentos'!$G:$G,"Receita")</f>
        <v/>
      </c>
      <c r="E8" s="4">
        <f>SUMIFS('[Controle_Financeiro_2026.xlsx]Lançamentos'!$H:$H,'[Controle_Financeiro_2026.xlsx]Lançamentos'!$F:$F,"Liberação de Crédito (Studio)",'[Controle_Financeiro_2026.xlsx]Lançamentos'!$B:$B,4,'[Controle_Financeiro_2026.xlsx]Lançamentos'!$C:$C,2026,'[Controle_Financeiro_2026.xlsx]Lançamentos'!$D:$D,"Studio",'[Controle_Financeiro_2026.xlsx]Lançamentos'!$G:$G,"Receita")</f>
        <v/>
      </c>
      <c r="F8" s="4">
        <f>SUMIFS('[Controle_Financeiro_2026.xlsx]Lançamentos'!$H:$H,'[Controle_Financeiro_2026.xlsx]Lançamentos'!$F:$F,"Liberação de Crédito (Studio)",'[Controle_Financeiro_2026.xlsx]Lançamentos'!$B:$B,5,'[Controle_Financeiro_2026.xlsx]Lançamentos'!$C:$C,2026,'[Controle_Financeiro_2026.xlsx]Lançamentos'!$D:$D,"Studio",'[Controle_Financeiro_2026.xlsx]Lançamentos'!$G:$G,"Receita")</f>
        <v/>
      </c>
      <c r="G8" s="4">
        <f>SUMIFS('[Controle_Financeiro_2026.xlsx]Lançamentos'!$H:$H,'[Controle_Financeiro_2026.xlsx]Lançamentos'!$F:$F,"Liberação de Crédito (Studio)",'[Controle_Financeiro_2026.xlsx]Lançamentos'!$B:$B,6,'[Controle_Financeiro_2026.xlsx]Lançamentos'!$C:$C,2026,'[Controle_Financeiro_2026.xlsx]Lançamentos'!$D:$D,"Studio",'[Controle_Financeiro_2026.xlsx]Lançamentos'!$G:$G,"Receita")</f>
        <v/>
      </c>
      <c r="H8" s="5">
        <f>IFERROR(AVERAGEIF(B8:G8,"&lt;&gt;0"),0)</f>
        <v/>
      </c>
      <c r="I8" s="5">
        <f>IFERROR(AVERAGEIF(B8:G8,"&lt;&gt;0"),0)</f>
        <v/>
      </c>
      <c r="J8" s="5">
        <f>IFERROR(AVERAGEIF(B8:G8,"&lt;&gt;0"),0)</f>
        <v/>
      </c>
      <c r="K8" s="5">
        <f>IFERROR(AVERAGEIF(B8:G8,"&lt;&gt;0"),0)</f>
        <v/>
      </c>
      <c r="L8" s="5">
        <f>IFERROR(AVERAGEIF(B8:G8,"&lt;&gt;0"),0)</f>
        <v/>
      </c>
      <c r="M8" s="5">
        <f>IFERROR(AVERAGEIF(B8:G8,"&lt;&gt;0"),0)</f>
        <v/>
      </c>
      <c r="N8" s="6">
        <f>SUM(B8:M8)</f>
        <v/>
      </c>
      <c r="O8" t="inlineStr">
        <is>
          <t>—</t>
        </is>
      </c>
    </row>
    <row r="9">
      <c r="A9" s="14" t="inlineStr">
        <is>
          <t xml:space="preserve">  Receita - Reembolso</t>
        </is>
      </c>
      <c r="B9" s="4">
        <f>SUMIFS('[Controle_Financeiro_2026.xlsx]Lançamentos'!$H:$H,'[Controle_Financeiro_2026.xlsx]Lançamentos'!$F:$F,"Reembolso recebido",'[Controle_Financeiro_2026.xlsx]Lançamentos'!$B:$B,1,'[Controle_Financeiro_2026.xlsx]Lançamentos'!$C:$C,2026,'[Controle_Financeiro_2026.xlsx]Lançamentos'!$D:$D,"Studio",'[Controle_Financeiro_2026.xlsx]Lançamentos'!$G:$G,"Receita")</f>
        <v/>
      </c>
      <c r="C9" s="4">
        <f>SUMIFS('[Controle_Financeiro_2026.xlsx]Lançamentos'!$H:$H,'[Controle_Financeiro_2026.xlsx]Lançamentos'!$F:$F,"Reembolso recebido",'[Controle_Financeiro_2026.xlsx]Lançamentos'!$B:$B,2,'[Controle_Financeiro_2026.xlsx]Lançamentos'!$C:$C,2026,'[Controle_Financeiro_2026.xlsx]Lançamentos'!$D:$D,"Studio",'[Controle_Financeiro_2026.xlsx]Lançamentos'!$G:$G,"Receita")</f>
        <v/>
      </c>
      <c r="D9" s="4">
        <f>SUMIFS('[Controle_Financeiro_2026.xlsx]Lançamentos'!$H:$H,'[Controle_Financeiro_2026.xlsx]Lançamentos'!$F:$F,"Reembolso recebido",'[Controle_Financeiro_2026.xlsx]Lançamentos'!$B:$B,3,'[Controle_Financeiro_2026.xlsx]Lançamentos'!$C:$C,2026,'[Controle_Financeiro_2026.xlsx]Lançamentos'!$D:$D,"Studio",'[Controle_Financeiro_2026.xlsx]Lançamentos'!$G:$G,"Receita")</f>
        <v/>
      </c>
      <c r="E9" s="4">
        <f>SUMIFS('[Controle_Financeiro_2026.xlsx]Lançamentos'!$H:$H,'[Controle_Financeiro_2026.xlsx]Lançamentos'!$F:$F,"Reembolso recebido",'[Controle_Financeiro_2026.xlsx]Lançamentos'!$B:$B,4,'[Controle_Financeiro_2026.xlsx]Lançamentos'!$C:$C,2026,'[Controle_Financeiro_2026.xlsx]Lançamentos'!$D:$D,"Studio",'[Controle_Financeiro_2026.xlsx]Lançamentos'!$G:$G,"Receita")</f>
        <v/>
      </c>
      <c r="F9" s="4">
        <f>SUMIFS('[Controle_Financeiro_2026.xlsx]Lançamentos'!$H:$H,'[Controle_Financeiro_2026.xlsx]Lançamentos'!$F:$F,"Reembolso recebido",'[Controle_Financeiro_2026.xlsx]Lançamentos'!$B:$B,5,'[Controle_Financeiro_2026.xlsx]Lançamentos'!$C:$C,2026,'[Controle_Financeiro_2026.xlsx]Lançamentos'!$D:$D,"Studio",'[Controle_Financeiro_2026.xlsx]Lançamentos'!$G:$G,"Receita")</f>
        <v/>
      </c>
      <c r="G9" s="4">
        <f>SUMIFS('[Controle_Financeiro_2026.xlsx]Lançamentos'!$H:$H,'[Controle_Financeiro_2026.xlsx]Lançamentos'!$F:$F,"Reembolso recebido",'[Controle_Financeiro_2026.xlsx]Lançamentos'!$B:$B,6,'[Controle_Financeiro_2026.xlsx]Lançamentos'!$C:$C,2026,'[Controle_Financeiro_2026.xlsx]Lançamentos'!$D:$D,"Studio",'[Controle_Financeiro_2026.xlsx]Lançamentos'!$G:$G,"Receita")</f>
        <v/>
      </c>
      <c r="H9" s="5">
        <f>IFERROR(AVERAGEIF(B9:G9,"&lt;&gt;0"),0)</f>
        <v/>
      </c>
      <c r="I9" s="5">
        <f>IFERROR(AVERAGEIF(B9:G9,"&lt;&gt;0"),0)</f>
        <v/>
      </c>
      <c r="J9" s="5">
        <f>IFERROR(AVERAGEIF(B9:G9,"&lt;&gt;0"),0)</f>
        <v/>
      </c>
      <c r="K9" s="5">
        <f>IFERROR(AVERAGEIF(B9:G9,"&lt;&gt;0"),0)</f>
        <v/>
      </c>
      <c r="L9" s="5">
        <f>IFERROR(AVERAGEIF(B9:G9,"&lt;&gt;0"),0)</f>
        <v/>
      </c>
      <c r="M9" s="5">
        <f>IFERROR(AVERAGEIF(B9:G9,"&lt;&gt;0"),0)</f>
        <v/>
      </c>
      <c r="N9" s="6">
        <f>SUM(B9:M9)</f>
        <v/>
      </c>
      <c r="O9" t="inlineStr">
        <is>
          <t>—</t>
        </is>
      </c>
    </row>
    <row r="10">
      <c r="A10" s="14" t="inlineStr">
        <is>
          <t xml:space="preserve">  Receita - Outros</t>
        </is>
      </c>
      <c r="B10" s="4">
        <f>SUMIFS('[Controle_Financeiro_2026.xlsx]Lançamentos'!$H:$H,'[Controle_Financeiro_2026.xlsx]Lançamentos'!$F:$F,"Receita não categorizada",'[Controle_Financeiro_2026.xlsx]Lançamentos'!$B:$B,1,'[Controle_Financeiro_2026.xlsx]Lançamentos'!$C:$C,2026,'[Controle_Financeiro_2026.xlsx]Lançamentos'!$D:$D,"Studio",'[Controle_Financeiro_2026.xlsx]Lançamentos'!$G:$G,"Receita")</f>
        <v/>
      </c>
      <c r="C10" s="4">
        <f>SUMIFS('[Controle_Financeiro_2026.xlsx]Lançamentos'!$H:$H,'[Controle_Financeiro_2026.xlsx]Lançamentos'!$F:$F,"Receita não categorizada",'[Controle_Financeiro_2026.xlsx]Lançamentos'!$B:$B,2,'[Controle_Financeiro_2026.xlsx]Lançamentos'!$C:$C,2026,'[Controle_Financeiro_2026.xlsx]Lançamentos'!$D:$D,"Studio",'[Controle_Financeiro_2026.xlsx]Lançamentos'!$G:$G,"Receita")</f>
        <v/>
      </c>
      <c r="D10" s="4">
        <f>SUMIFS('[Controle_Financeiro_2026.xlsx]Lançamentos'!$H:$H,'[Controle_Financeiro_2026.xlsx]Lançamentos'!$F:$F,"Receita não categorizada",'[Controle_Financeiro_2026.xlsx]Lançamentos'!$B:$B,3,'[Controle_Financeiro_2026.xlsx]Lançamentos'!$C:$C,2026,'[Controle_Financeiro_2026.xlsx]Lançamentos'!$D:$D,"Studio",'[Controle_Financeiro_2026.xlsx]Lançamentos'!$G:$G,"Receita")</f>
        <v/>
      </c>
      <c r="E10" s="4">
        <f>SUMIFS('[Controle_Financeiro_2026.xlsx]Lançamentos'!$H:$H,'[Controle_Financeiro_2026.xlsx]Lançamentos'!$F:$F,"Receita não categorizada",'[Controle_Financeiro_2026.xlsx]Lançamentos'!$B:$B,4,'[Controle_Financeiro_2026.xlsx]Lançamentos'!$C:$C,2026,'[Controle_Financeiro_2026.xlsx]Lançamentos'!$D:$D,"Studio",'[Controle_Financeiro_2026.xlsx]Lançamentos'!$G:$G,"Receita")</f>
        <v/>
      </c>
      <c r="F10" s="4">
        <f>SUMIFS('[Controle_Financeiro_2026.xlsx]Lançamentos'!$H:$H,'[Controle_Financeiro_2026.xlsx]Lançamentos'!$F:$F,"Receita não categorizada",'[Controle_Financeiro_2026.xlsx]Lançamentos'!$B:$B,5,'[Controle_Financeiro_2026.xlsx]Lançamentos'!$C:$C,2026,'[Controle_Financeiro_2026.xlsx]Lançamentos'!$D:$D,"Studio",'[Controle_Financeiro_2026.xlsx]Lançamentos'!$G:$G,"Receita")</f>
        <v/>
      </c>
      <c r="G10" s="4">
        <f>SUMIFS('[Controle_Financeiro_2026.xlsx]Lançamentos'!$H:$H,'[Controle_Financeiro_2026.xlsx]Lançamentos'!$F:$F,"Receita não categorizada",'[Controle_Financeiro_2026.xlsx]Lançamentos'!$B:$B,6,'[Controle_Financeiro_2026.xlsx]Lançamentos'!$C:$C,2026,'[Controle_Financeiro_2026.xlsx]Lançamentos'!$D:$D,"Studio",'[Controle_Financeiro_2026.xlsx]Lançamentos'!$G:$G,"Receita")</f>
        <v/>
      </c>
      <c r="H10" s="5">
        <f>IFERROR(AVERAGEIF(B10:G10,"&lt;&gt;0"),0)</f>
        <v/>
      </c>
      <c r="I10" s="5">
        <f>IFERROR(AVERAGEIF(B10:G10,"&lt;&gt;0"),0)</f>
        <v/>
      </c>
      <c r="J10" s="5">
        <f>IFERROR(AVERAGEIF(B10:G10,"&lt;&gt;0"),0)</f>
        <v/>
      </c>
      <c r="K10" s="5">
        <f>IFERROR(AVERAGEIF(B10:G10,"&lt;&gt;0"),0)</f>
        <v/>
      </c>
      <c r="L10" s="5">
        <f>IFERROR(AVERAGEIF(B10:G10,"&lt;&gt;0"),0)</f>
        <v/>
      </c>
      <c r="M10" s="5">
        <f>IFERROR(AVERAGEIF(B10:G10,"&lt;&gt;0"),0)</f>
        <v/>
      </c>
      <c r="N10" s="6">
        <f>SUM(B10:M10)</f>
        <v/>
      </c>
      <c r="O10" t="inlineStr">
        <is>
          <t>—</t>
        </is>
      </c>
    </row>
    <row r="11"/>
    <row r="12">
      <c r="A12" s="13" t="inlineStr">
        <is>
          <t>(-) Impostos sobre Receita</t>
        </is>
      </c>
      <c r="B12" s="12">
        <f>B13+B14</f>
        <v/>
      </c>
      <c r="C12" s="12">
        <f>C13+C14</f>
        <v/>
      </c>
      <c r="D12" s="12">
        <f>D13+D14</f>
        <v/>
      </c>
      <c r="E12" s="12">
        <f>E13+E14</f>
        <v/>
      </c>
      <c r="F12" s="12">
        <f>F13+F14</f>
        <v/>
      </c>
      <c r="G12" s="12">
        <f>G13+G14</f>
        <v/>
      </c>
      <c r="H12" s="12">
        <f>H13+H14</f>
        <v/>
      </c>
      <c r="I12" s="12">
        <f>I13+I14</f>
        <v/>
      </c>
      <c r="J12" s="12">
        <f>J13+J14</f>
        <v/>
      </c>
      <c r="K12" s="12">
        <f>K13+K14</f>
        <v/>
      </c>
      <c r="L12" s="12">
        <f>L13+L14</f>
        <v/>
      </c>
      <c r="M12" s="12">
        <f>M13+M14</f>
        <v/>
      </c>
      <c r="N12" s="12">
        <f>SUM(B12:M12)</f>
        <v/>
      </c>
      <c r="O12" s="15">
        <f>IFERROR(N12/N3,0)</f>
        <v/>
      </c>
    </row>
    <row r="13">
      <c r="A13" s="14" t="inlineStr">
        <is>
          <t xml:space="preserve">  Tributo / Guia (Simples/ISS)</t>
        </is>
      </c>
      <c r="B13" s="4">
        <f>SUMIFS('[Controle_Financeiro_2026.xlsx]Lançamentos'!$H:$H,'[Controle_Financeiro_2026.xlsx]Lançamentos'!$F:$F,"Tributo / Guia",'[Controle_Financeiro_2026.xlsx]Lançamentos'!$B:$B,1,'[Controle_Financeiro_2026.xlsx]Lançamentos'!$C:$C,2026,'[Controle_Financeiro_2026.xlsx]Lançamentos'!$D:$D,"Studio",'[Controle_Financeiro_2026.xlsx]Lançamentos'!$G:$G,"Despesa")</f>
        <v/>
      </c>
      <c r="C13" s="4">
        <f>SUMIFS('[Controle_Financeiro_2026.xlsx]Lançamentos'!$H:$H,'[Controle_Financeiro_2026.xlsx]Lançamentos'!$F:$F,"Tributo / Guia",'[Controle_Financeiro_2026.xlsx]Lançamentos'!$B:$B,2,'[Controle_Financeiro_2026.xlsx]Lançamentos'!$C:$C,2026,'[Controle_Financeiro_2026.xlsx]Lançamentos'!$D:$D,"Studio",'[Controle_Financeiro_2026.xlsx]Lançamentos'!$G:$G,"Despesa")</f>
        <v/>
      </c>
      <c r="D13" s="4">
        <f>SUMIFS('[Controle_Financeiro_2026.xlsx]Lançamentos'!$H:$H,'[Controle_Financeiro_2026.xlsx]Lançamentos'!$F:$F,"Tributo / Guia",'[Controle_Financeiro_2026.xlsx]Lançamentos'!$B:$B,3,'[Controle_Financeiro_2026.xlsx]Lançamentos'!$C:$C,2026,'[Controle_Financeiro_2026.xlsx]Lançamentos'!$D:$D,"Studio",'[Controle_Financeiro_2026.xlsx]Lançamentos'!$G:$G,"Despesa")</f>
        <v/>
      </c>
      <c r="E13" s="4">
        <f>SUMIFS('[Controle_Financeiro_2026.xlsx]Lançamentos'!$H:$H,'[Controle_Financeiro_2026.xlsx]Lançamentos'!$F:$F,"Tributo / Guia",'[Controle_Financeiro_2026.xlsx]Lançamentos'!$B:$B,4,'[Controle_Financeiro_2026.xlsx]Lançamentos'!$C:$C,2026,'[Controle_Financeiro_2026.xlsx]Lançamentos'!$D:$D,"Studio",'[Controle_Financeiro_2026.xlsx]Lançamentos'!$G:$G,"Despesa")</f>
        <v/>
      </c>
      <c r="F13" s="4">
        <f>SUMIFS('[Controle_Financeiro_2026.xlsx]Lançamentos'!$H:$H,'[Controle_Financeiro_2026.xlsx]Lançamentos'!$F:$F,"Tributo / Guia",'[Controle_Financeiro_2026.xlsx]Lançamentos'!$B:$B,5,'[Controle_Financeiro_2026.xlsx]Lançamentos'!$C:$C,2026,'[Controle_Financeiro_2026.xlsx]Lançamentos'!$D:$D,"Studio",'[Controle_Financeiro_2026.xlsx]Lançamentos'!$G:$G,"Despesa")</f>
        <v/>
      </c>
      <c r="G13" s="4">
        <f>SUMIFS('[Controle_Financeiro_2026.xlsx]Lançamentos'!$H:$H,'[Controle_Financeiro_2026.xlsx]Lançamentos'!$F:$F,"Tributo / Guia",'[Controle_Financeiro_2026.xlsx]Lançamentos'!$B:$B,6,'[Controle_Financeiro_2026.xlsx]Lançamentos'!$C:$C,2026,'[Controle_Financeiro_2026.xlsx]Lançamentos'!$D:$D,"Studio",'[Controle_Financeiro_2026.xlsx]Lançamentos'!$G:$G,"Despesa")</f>
        <v/>
      </c>
      <c r="H13" s="5">
        <f>IFERROR(AVERAGEIF(B13:G13,"&lt;&gt;0"),0)</f>
        <v/>
      </c>
      <c r="I13" s="5">
        <f>IFERROR(AVERAGEIF(B13:G13,"&lt;&gt;0"),0)</f>
        <v/>
      </c>
      <c r="J13" s="5">
        <f>IFERROR(AVERAGEIF(B13:G13,"&lt;&gt;0"),0)</f>
        <v/>
      </c>
      <c r="K13" s="5">
        <f>IFERROR(AVERAGEIF(B13:G13,"&lt;&gt;0"),0)</f>
        <v/>
      </c>
      <c r="L13" s="5">
        <f>IFERROR(AVERAGEIF(B13:G13,"&lt;&gt;0"),0)</f>
        <v/>
      </c>
      <c r="M13" s="5">
        <f>IFERROR(AVERAGEIF(B13:G13,"&lt;&gt;0"),0)</f>
        <v/>
      </c>
      <c r="N13" s="6">
        <f>SUM(B13:M13)</f>
        <v/>
      </c>
      <c r="O13" t="inlineStr">
        <is>
          <t>—</t>
        </is>
      </c>
    </row>
    <row r="14">
      <c r="A14" s="14" t="inlineStr">
        <is>
          <t xml:space="preserve">  Tributo Municipal</t>
        </is>
      </c>
      <c r="B14" s="4">
        <f>SUMIFS('[Controle_Financeiro_2026.xlsx]Lançamentos'!$H:$H,'[Controle_Financeiro_2026.xlsx]Lançamentos'!$F:$F,"Tributo Municipal",'[Controle_Financeiro_2026.xlsx]Lançamentos'!$B:$B,1,'[Controle_Financeiro_2026.xlsx]Lançamentos'!$C:$C,2026,'[Controle_Financeiro_2026.xlsx]Lançamentos'!$D:$D,"Studio",'[Controle_Financeiro_2026.xlsx]Lançamentos'!$G:$G,"Despesa")</f>
        <v/>
      </c>
      <c r="C14" s="4">
        <f>SUMIFS('[Controle_Financeiro_2026.xlsx]Lançamentos'!$H:$H,'[Controle_Financeiro_2026.xlsx]Lançamentos'!$F:$F,"Tributo Municipal",'[Controle_Financeiro_2026.xlsx]Lançamentos'!$B:$B,2,'[Controle_Financeiro_2026.xlsx]Lançamentos'!$C:$C,2026,'[Controle_Financeiro_2026.xlsx]Lançamentos'!$D:$D,"Studio",'[Controle_Financeiro_2026.xlsx]Lançamentos'!$G:$G,"Despesa")</f>
        <v/>
      </c>
      <c r="D14" s="4">
        <f>SUMIFS('[Controle_Financeiro_2026.xlsx]Lançamentos'!$H:$H,'[Controle_Financeiro_2026.xlsx]Lançamentos'!$F:$F,"Tributo Municipal",'[Controle_Financeiro_2026.xlsx]Lançamentos'!$B:$B,3,'[Controle_Financeiro_2026.xlsx]Lançamentos'!$C:$C,2026,'[Controle_Financeiro_2026.xlsx]Lançamentos'!$D:$D,"Studio",'[Controle_Financeiro_2026.xlsx]Lançamentos'!$G:$G,"Despesa")</f>
        <v/>
      </c>
      <c r="E14" s="4">
        <f>SUMIFS('[Controle_Financeiro_2026.xlsx]Lançamentos'!$H:$H,'[Controle_Financeiro_2026.xlsx]Lançamentos'!$F:$F,"Tributo Municipal",'[Controle_Financeiro_2026.xlsx]Lançamentos'!$B:$B,4,'[Controle_Financeiro_2026.xlsx]Lançamentos'!$C:$C,2026,'[Controle_Financeiro_2026.xlsx]Lançamentos'!$D:$D,"Studio",'[Controle_Financeiro_2026.xlsx]Lançamentos'!$G:$G,"Despesa")</f>
        <v/>
      </c>
      <c r="F14" s="4">
        <f>SUMIFS('[Controle_Financeiro_2026.xlsx]Lançamentos'!$H:$H,'[Controle_Financeiro_2026.xlsx]Lançamentos'!$F:$F,"Tributo Municipal",'[Controle_Financeiro_2026.xlsx]Lançamentos'!$B:$B,5,'[Controle_Financeiro_2026.xlsx]Lançamentos'!$C:$C,2026,'[Controle_Financeiro_2026.xlsx]Lançamentos'!$D:$D,"Studio",'[Controle_Financeiro_2026.xlsx]Lançamentos'!$G:$G,"Despesa")</f>
        <v/>
      </c>
      <c r="G14" s="4">
        <f>SUMIFS('[Controle_Financeiro_2026.xlsx]Lançamentos'!$H:$H,'[Controle_Financeiro_2026.xlsx]Lançamentos'!$F:$F,"Tributo Municipal",'[Controle_Financeiro_2026.xlsx]Lançamentos'!$B:$B,6,'[Controle_Financeiro_2026.xlsx]Lançamentos'!$C:$C,2026,'[Controle_Financeiro_2026.xlsx]Lançamentos'!$D:$D,"Studio",'[Controle_Financeiro_2026.xlsx]Lançamentos'!$G:$G,"Despesa")</f>
        <v/>
      </c>
      <c r="H14" s="5">
        <f>IFERROR(AVERAGEIF(B14:G14,"&lt;&gt;0"),0)</f>
        <v/>
      </c>
      <c r="I14" s="5">
        <f>IFERROR(AVERAGEIF(B14:G14,"&lt;&gt;0"),0)</f>
        <v/>
      </c>
      <c r="J14" s="5">
        <f>IFERROR(AVERAGEIF(B14:G14,"&lt;&gt;0"),0)</f>
        <v/>
      </c>
      <c r="K14" s="5">
        <f>IFERROR(AVERAGEIF(B14:G14,"&lt;&gt;0"),0)</f>
        <v/>
      </c>
      <c r="L14" s="5">
        <f>IFERROR(AVERAGEIF(B14:G14,"&lt;&gt;0"),0)</f>
        <v/>
      </c>
      <c r="M14" s="5">
        <f>IFERROR(AVERAGEIF(B14:G14,"&lt;&gt;0"),0)</f>
        <v/>
      </c>
      <c r="N14" s="6">
        <f>SUM(B14:M14)</f>
        <v/>
      </c>
      <c r="O14" t="inlineStr">
        <is>
          <t>—</t>
        </is>
      </c>
    </row>
    <row r="15"/>
    <row r="16">
      <c r="A16" s="13" t="inlineStr">
        <is>
          <t>(=) RECEITA LÍQUIDA</t>
        </is>
      </c>
      <c r="B16" s="12">
        <f>B3+B12</f>
        <v/>
      </c>
      <c r="C16" s="12">
        <f>C3+C12</f>
        <v/>
      </c>
      <c r="D16" s="12">
        <f>D3+D12</f>
        <v/>
      </c>
      <c r="E16" s="12">
        <f>E3+E12</f>
        <v/>
      </c>
      <c r="F16" s="12">
        <f>F3+F12</f>
        <v/>
      </c>
      <c r="G16" s="12">
        <f>G3+G12</f>
        <v/>
      </c>
      <c r="H16" s="12">
        <f>H3+H12</f>
        <v/>
      </c>
      <c r="I16" s="12">
        <f>I3+I12</f>
        <v/>
      </c>
      <c r="J16" s="12">
        <f>J3+J12</f>
        <v/>
      </c>
      <c r="K16" s="12">
        <f>K3+K12</f>
        <v/>
      </c>
      <c r="L16" s="12">
        <f>L3+L12</f>
        <v/>
      </c>
      <c r="M16" s="12">
        <f>M3+M12</f>
        <v/>
      </c>
      <c r="N16" s="12">
        <f>SUM(B16:M16)</f>
        <v/>
      </c>
    </row>
    <row r="17"/>
    <row r="18">
      <c r="A18" s="13" t="inlineStr">
        <is>
          <t>(-) Custo de Pessoal</t>
        </is>
      </c>
      <c r="B18" s="12">
        <f>B19+B20+B21+B22</f>
        <v/>
      </c>
      <c r="C18" s="12">
        <f>C19+C20+C21+C22</f>
        <v/>
      </c>
      <c r="D18" s="12">
        <f>D19+D20+D21+D22</f>
        <v/>
      </c>
      <c r="E18" s="12">
        <f>E19+E20+E21+E22</f>
        <v/>
      </c>
      <c r="F18" s="12">
        <f>F19+F20+F21+F22</f>
        <v/>
      </c>
      <c r="G18" s="12">
        <f>G19+G20+G21+G22</f>
        <v/>
      </c>
      <c r="H18" s="12">
        <f>H19+H20+H21+H22</f>
        <v/>
      </c>
      <c r="I18" s="12">
        <f>I19+I20+I21+I22</f>
        <v/>
      </c>
      <c r="J18" s="12">
        <f>J19+J20+J21+J22</f>
        <v/>
      </c>
      <c r="K18" s="12">
        <f>K19+K20+K21+K22</f>
        <v/>
      </c>
      <c r="L18" s="12">
        <f>L19+L20+L21+L22</f>
        <v/>
      </c>
      <c r="M18" s="12">
        <f>M19+M20+M21+M22</f>
        <v/>
      </c>
      <c r="N18" s="12">
        <f>SUM(B18:M18)</f>
        <v/>
      </c>
      <c r="O18" s="15">
        <f>IFERROR(N18/N3,0)</f>
        <v/>
      </c>
    </row>
    <row r="19">
      <c r="A19" s="14" t="inlineStr">
        <is>
          <t xml:space="preserve">  Marco</t>
        </is>
      </c>
      <c r="B19" s="4">
        <f>SUMIFS('[Controle_Financeiro_2026.xlsx]Lançamentos'!$H:$H,'[Controle_Financeiro_2026.xlsx]Lançamentos'!$F:$F,"Marco",'[Controle_Financeiro_2026.xlsx]Lançamentos'!$B:$B,1,'[Controle_Financeiro_2026.xlsx]Lançamentos'!$C:$C,2026,'[Controle_Financeiro_2026.xlsx]Lançamentos'!$D:$D,"Studio",'[Controle_Financeiro_2026.xlsx]Lançamentos'!$G:$G,"Despesa")</f>
        <v/>
      </c>
      <c r="C19" s="4">
        <f>SUMIFS('[Controle_Financeiro_2026.xlsx]Lançamentos'!$H:$H,'[Controle_Financeiro_2026.xlsx]Lançamentos'!$F:$F,"Marco",'[Controle_Financeiro_2026.xlsx]Lançamentos'!$B:$B,2,'[Controle_Financeiro_2026.xlsx]Lançamentos'!$C:$C,2026,'[Controle_Financeiro_2026.xlsx]Lançamentos'!$D:$D,"Studio",'[Controle_Financeiro_2026.xlsx]Lançamentos'!$G:$G,"Despesa")</f>
        <v/>
      </c>
      <c r="D19" s="4">
        <f>SUMIFS('[Controle_Financeiro_2026.xlsx]Lançamentos'!$H:$H,'[Controle_Financeiro_2026.xlsx]Lançamentos'!$F:$F,"Marco",'[Controle_Financeiro_2026.xlsx]Lançamentos'!$B:$B,3,'[Controle_Financeiro_2026.xlsx]Lançamentos'!$C:$C,2026,'[Controle_Financeiro_2026.xlsx]Lançamentos'!$D:$D,"Studio",'[Controle_Financeiro_2026.xlsx]Lançamentos'!$G:$G,"Despesa")</f>
        <v/>
      </c>
      <c r="E19" s="4">
        <f>SUMIFS('[Controle_Financeiro_2026.xlsx]Lançamentos'!$H:$H,'[Controle_Financeiro_2026.xlsx]Lançamentos'!$F:$F,"Marco",'[Controle_Financeiro_2026.xlsx]Lançamentos'!$B:$B,4,'[Controle_Financeiro_2026.xlsx]Lançamentos'!$C:$C,2026,'[Controle_Financeiro_2026.xlsx]Lançamentos'!$D:$D,"Studio",'[Controle_Financeiro_2026.xlsx]Lançamentos'!$G:$G,"Despesa")</f>
        <v/>
      </c>
      <c r="F19" s="4">
        <f>SUMIFS('[Controle_Financeiro_2026.xlsx]Lançamentos'!$H:$H,'[Controle_Financeiro_2026.xlsx]Lançamentos'!$F:$F,"Marco",'[Controle_Financeiro_2026.xlsx]Lançamentos'!$B:$B,5,'[Controle_Financeiro_2026.xlsx]Lançamentos'!$C:$C,2026,'[Controle_Financeiro_2026.xlsx]Lançamentos'!$D:$D,"Studio",'[Controle_Financeiro_2026.xlsx]Lançamentos'!$G:$G,"Despesa")</f>
        <v/>
      </c>
      <c r="G19" s="4">
        <f>SUMIFS('[Controle_Financeiro_2026.xlsx]Lançamentos'!$H:$H,'[Controle_Financeiro_2026.xlsx]Lançamentos'!$F:$F,"Marco",'[Controle_Financeiro_2026.xlsx]Lançamentos'!$B:$B,6,'[Controle_Financeiro_2026.xlsx]Lançamentos'!$C:$C,2026,'[Controle_Financeiro_2026.xlsx]Lançamentos'!$D:$D,"Studio",'[Controle_Financeiro_2026.xlsx]Lançamentos'!$G:$G,"Despesa")</f>
        <v/>
      </c>
      <c r="H19" s="5">
        <f>IFERROR(AVERAGEIF(B19:G19,"&lt;&gt;0"),0)</f>
        <v/>
      </c>
      <c r="I19" s="5">
        <f>IFERROR(AVERAGEIF(B19:G19,"&lt;&gt;0"),0)</f>
        <v/>
      </c>
      <c r="J19" s="5">
        <f>IFERROR(AVERAGEIF(B19:G19,"&lt;&gt;0"),0)</f>
        <v/>
      </c>
      <c r="K19" s="5">
        <f>IFERROR(AVERAGEIF(B19:G19,"&lt;&gt;0"),0)</f>
        <v/>
      </c>
      <c r="L19" s="5">
        <f>IFERROR(AVERAGEIF(B19:G19,"&lt;&gt;0"),0)</f>
        <v/>
      </c>
      <c r="M19" s="5">
        <f>IFERROR(AVERAGEIF(B19:G19,"&lt;&gt;0"),0)</f>
        <v/>
      </c>
      <c r="N19" s="6">
        <f>SUM(B19:M19)</f>
        <v/>
      </c>
      <c r="O19" t="inlineStr">
        <is>
          <t>—</t>
        </is>
      </c>
    </row>
    <row r="20">
      <c r="A20" s="14" t="inlineStr">
        <is>
          <t xml:space="preserve">  Eliane</t>
        </is>
      </c>
      <c r="B20" s="4">
        <f>SUMIFS('[Controle_Financeiro_2026.xlsx]Lançamentos'!$H:$H,'[Controle_Financeiro_2026.xlsx]Lançamentos'!$F:$F,"Eliane",'[Controle_Financeiro_2026.xlsx]Lançamentos'!$B:$B,1,'[Controle_Financeiro_2026.xlsx]Lançamentos'!$C:$C,2026,'[Controle_Financeiro_2026.xlsx]Lançamentos'!$D:$D,"Studio",'[Controle_Financeiro_2026.xlsx]Lançamentos'!$G:$G,"Despesa")</f>
        <v/>
      </c>
      <c r="C20" s="4">
        <f>SUMIFS('[Controle_Financeiro_2026.xlsx]Lançamentos'!$H:$H,'[Controle_Financeiro_2026.xlsx]Lançamentos'!$F:$F,"Eliane",'[Controle_Financeiro_2026.xlsx]Lançamentos'!$B:$B,2,'[Controle_Financeiro_2026.xlsx]Lançamentos'!$C:$C,2026,'[Controle_Financeiro_2026.xlsx]Lançamentos'!$D:$D,"Studio",'[Controle_Financeiro_2026.xlsx]Lançamentos'!$G:$G,"Despesa")</f>
        <v/>
      </c>
      <c r="D20" s="4">
        <f>SUMIFS('[Controle_Financeiro_2026.xlsx]Lançamentos'!$H:$H,'[Controle_Financeiro_2026.xlsx]Lançamentos'!$F:$F,"Eliane",'[Controle_Financeiro_2026.xlsx]Lançamentos'!$B:$B,3,'[Controle_Financeiro_2026.xlsx]Lançamentos'!$C:$C,2026,'[Controle_Financeiro_2026.xlsx]Lançamentos'!$D:$D,"Studio",'[Controle_Financeiro_2026.xlsx]Lançamentos'!$G:$G,"Despesa")</f>
        <v/>
      </c>
      <c r="E20" s="4">
        <f>SUMIFS('[Controle_Financeiro_2026.xlsx]Lançamentos'!$H:$H,'[Controle_Financeiro_2026.xlsx]Lançamentos'!$F:$F,"Eliane",'[Controle_Financeiro_2026.xlsx]Lançamentos'!$B:$B,4,'[Controle_Financeiro_2026.xlsx]Lançamentos'!$C:$C,2026,'[Controle_Financeiro_2026.xlsx]Lançamentos'!$D:$D,"Studio",'[Controle_Financeiro_2026.xlsx]Lançamentos'!$G:$G,"Despesa")</f>
        <v/>
      </c>
      <c r="F20" s="4">
        <f>SUMIFS('[Controle_Financeiro_2026.xlsx]Lançamentos'!$H:$H,'[Controle_Financeiro_2026.xlsx]Lançamentos'!$F:$F,"Eliane",'[Controle_Financeiro_2026.xlsx]Lançamentos'!$B:$B,5,'[Controle_Financeiro_2026.xlsx]Lançamentos'!$C:$C,2026,'[Controle_Financeiro_2026.xlsx]Lançamentos'!$D:$D,"Studio",'[Controle_Financeiro_2026.xlsx]Lançamentos'!$G:$G,"Despesa")</f>
        <v/>
      </c>
      <c r="G20" s="4">
        <f>SUMIFS('[Controle_Financeiro_2026.xlsx]Lançamentos'!$H:$H,'[Controle_Financeiro_2026.xlsx]Lançamentos'!$F:$F,"Eliane",'[Controle_Financeiro_2026.xlsx]Lançamentos'!$B:$B,6,'[Controle_Financeiro_2026.xlsx]Lançamentos'!$C:$C,2026,'[Controle_Financeiro_2026.xlsx]Lançamentos'!$D:$D,"Studio",'[Controle_Financeiro_2026.xlsx]Lançamentos'!$G:$G,"Despesa")</f>
        <v/>
      </c>
      <c r="H20" s="5">
        <f>IFERROR(AVERAGEIF(B20:G20,"&lt;&gt;0"),0)</f>
        <v/>
      </c>
      <c r="I20" s="5">
        <f>IFERROR(AVERAGEIF(B20:G20,"&lt;&gt;0"),0)</f>
        <v/>
      </c>
      <c r="J20" s="5">
        <f>IFERROR(AVERAGEIF(B20:G20,"&lt;&gt;0"),0)</f>
        <v/>
      </c>
      <c r="K20" s="5">
        <f>IFERROR(AVERAGEIF(B20:G20,"&lt;&gt;0"),0)</f>
        <v/>
      </c>
      <c r="L20" s="5">
        <f>IFERROR(AVERAGEIF(B20:G20,"&lt;&gt;0"),0)</f>
        <v/>
      </c>
      <c r="M20" s="5">
        <f>IFERROR(AVERAGEIF(B20:G20,"&lt;&gt;0"),0)</f>
        <v/>
      </c>
      <c r="N20" s="6">
        <f>SUM(B20:M20)</f>
        <v/>
      </c>
      <c r="O20" t="inlineStr">
        <is>
          <t>—</t>
        </is>
      </c>
    </row>
    <row r="21">
      <c r="A21" s="14" t="inlineStr">
        <is>
          <t xml:space="preserve">  Analice</t>
        </is>
      </c>
      <c r="B21" s="4">
        <f>SUMIFS('[Controle_Financeiro_2026.xlsx]Lançamentos'!$H:$H,'[Controle_Financeiro_2026.xlsx]Lançamentos'!$F:$F,"Analice",'[Controle_Financeiro_2026.xlsx]Lançamentos'!$B:$B,1,'[Controle_Financeiro_2026.xlsx]Lançamentos'!$C:$C,2026,'[Controle_Financeiro_2026.xlsx]Lançamentos'!$D:$D,"Studio",'[Controle_Financeiro_2026.xlsx]Lançamentos'!$G:$G,"Despesa")</f>
        <v/>
      </c>
      <c r="C21" s="4">
        <f>SUMIFS('[Controle_Financeiro_2026.xlsx]Lançamentos'!$H:$H,'[Controle_Financeiro_2026.xlsx]Lançamentos'!$F:$F,"Analice",'[Controle_Financeiro_2026.xlsx]Lançamentos'!$B:$B,2,'[Controle_Financeiro_2026.xlsx]Lançamentos'!$C:$C,2026,'[Controle_Financeiro_2026.xlsx]Lançamentos'!$D:$D,"Studio",'[Controle_Financeiro_2026.xlsx]Lançamentos'!$G:$G,"Despesa")</f>
        <v/>
      </c>
      <c r="D21" s="4">
        <f>SUMIFS('[Controle_Financeiro_2026.xlsx]Lançamentos'!$H:$H,'[Controle_Financeiro_2026.xlsx]Lançamentos'!$F:$F,"Analice",'[Controle_Financeiro_2026.xlsx]Lançamentos'!$B:$B,3,'[Controle_Financeiro_2026.xlsx]Lançamentos'!$C:$C,2026,'[Controle_Financeiro_2026.xlsx]Lançamentos'!$D:$D,"Studio",'[Controle_Financeiro_2026.xlsx]Lançamentos'!$G:$G,"Despesa")</f>
        <v/>
      </c>
      <c r="E21" s="4">
        <f>SUMIFS('[Controle_Financeiro_2026.xlsx]Lançamentos'!$H:$H,'[Controle_Financeiro_2026.xlsx]Lançamentos'!$F:$F,"Analice",'[Controle_Financeiro_2026.xlsx]Lançamentos'!$B:$B,4,'[Controle_Financeiro_2026.xlsx]Lançamentos'!$C:$C,2026,'[Controle_Financeiro_2026.xlsx]Lançamentos'!$D:$D,"Studio",'[Controle_Financeiro_2026.xlsx]Lançamentos'!$G:$G,"Despesa")</f>
        <v/>
      </c>
      <c r="F21" s="4">
        <f>SUMIFS('[Controle_Financeiro_2026.xlsx]Lançamentos'!$H:$H,'[Controle_Financeiro_2026.xlsx]Lançamentos'!$F:$F,"Analice",'[Controle_Financeiro_2026.xlsx]Lançamentos'!$B:$B,5,'[Controle_Financeiro_2026.xlsx]Lançamentos'!$C:$C,2026,'[Controle_Financeiro_2026.xlsx]Lançamentos'!$D:$D,"Studio",'[Controle_Financeiro_2026.xlsx]Lançamentos'!$G:$G,"Despesa")</f>
        <v/>
      </c>
      <c r="G21" s="4">
        <f>SUMIFS('[Controle_Financeiro_2026.xlsx]Lançamentos'!$H:$H,'[Controle_Financeiro_2026.xlsx]Lançamentos'!$F:$F,"Analice",'[Controle_Financeiro_2026.xlsx]Lançamentos'!$B:$B,6,'[Controle_Financeiro_2026.xlsx]Lançamentos'!$C:$C,2026,'[Controle_Financeiro_2026.xlsx]Lançamentos'!$D:$D,"Studio",'[Controle_Financeiro_2026.xlsx]Lançamentos'!$G:$G,"Despesa")</f>
        <v/>
      </c>
      <c r="H21" s="5">
        <f>IFERROR(AVERAGEIF(B21:G21,"&lt;&gt;0"),0)</f>
        <v/>
      </c>
      <c r="I21" s="5">
        <f>IFERROR(AVERAGEIF(B21:G21,"&lt;&gt;0"),0)</f>
        <v/>
      </c>
      <c r="J21" s="5">
        <f>IFERROR(AVERAGEIF(B21:G21,"&lt;&gt;0"),0)</f>
        <v/>
      </c>
      <c r="K21" s="5">
        <f>IFERROR(AVERAGEIF(B21:G21,"&lt;&gt;0"),0)</f>
        <v/>
      </c>
      <c r="L21" s="5">
        <f>IFERROR(AVERAGEIF(B21:G21,"&lt;&gt;0"),0)</f>
        <v/>
      </c>
      <c r="M21" s="5">
        <f>IFERROR(AVERAGEIF(B21:G21,"&lt;&gt;0"),0)</f>
        <v/>
      </c>
      <c r="N21" s="6">
        <f>SUM(B21:M21)</f>
        <v/>
      </c>
      <c r="O21" t="inlineStr">
        <is>
          <t>—</t>
        </is>
      </c>
    </row>
    <row r="22">
      <c r="A22" s="14" t="inlineStr">
        <is>
          <t xml:space="preserve">  Neemias</t>
        </is>
      </c>
      <c r="B22" s="4">
        <f>SUMIFS('[Controle_Financeiro_2026.xlsx]Lançamentos'!$H:$H,'[Controle_Financeiro_2026.xlsx]Lançamentos'!$F:$F,"Neemias",'[Controle_Financeiro_2026.xlsx]Lançamentos'!$B:$B,1,'[Controle_Financeiro_2026.xlsx]Lançamentos'!$C:$C,2026,'[Controle_Financeiro_2026.xlsx]Lançamentos'!$D:$D,"Studio",'[Controle_Financeiro_2026.xlsx]Lançamentos'!$G:$G,"Despesa")</f>
        <v/>
      </c>
      <c r="C22" s="4">
        <f>SUMIFS('[Controle_Financeiro_2026.xlsx]Lançamentos'!$H:$H,'[Controle_Financeiro_2026.xlsx]Lançamentos'!$F:$F,"Neemias",'[Controle_Financeiro_2026.xlsx]Lançamentos'!$B:$B,2,'[Controle_Financeiro_2026.xlsx]Lançamentos'!$C:$C,2026,'[Controle_Financeiro_2026.xlsx]Lançamentos'!$D:$D,"Studio",'[Controle_Financeiro_2026.xlsx]Lançamentos'!$G:$G,"Despesa")</f>
        <v/>
      </c>
      <c r="D22" s="4">
        <f>SUMIFS('[Controle_Financeiro_2026.xlsx]Lançamentos'!$H:$H,'[Controle_Financeiro_2026.xlsx]Lançamentos'!$F:$F,"Neemias",'[Controle_Financeiro_2026.xlsx]Lançamentos'!$B:$B,3,'[Controle_Financeiro_2026.xlsx]Lançamentos'!$C:$C,2026,'[Controle_Financeiro_2026.xlsx]Lançamentos'!$D:$D,"Studio",'[Controle_Financeiro_2026.xlsx]Lançamentos'!$G:$G,"Despesa")</f>
        <v/>
      </c>
      <c r="E22" s="4">
        <f>SUMIFS('[Controle_Financeiro_2026.xlsx]Lançamentos'!$H:$H,'[Controle_Financeiro_2026.xlsx]Lançamentos'!$F:$F,"Neemias",'[Controle_Financeiro_2026.xlsx]Lançamentos'!$B:$B,4,'[Controle_Financeiro_2026.xlsx]Lançamentos'!$C:$C,2026,'[Controle_Financeiro_2026.xlsx]Lançamentos'!$D:$D,"Studio",'[Controle_Financeiro_2026.xlsx]Lançamentos'!$G:$G,"Despesa")</f>
        <v/>
      </c>
      <c r="F22" s="4">
        <f>SUMIFS('[Controle_Financeiro_2026.xlsx]Lançamentos'!$H:$H,'[Controle_Financeiro_2026.xlsx]Lançamentos'!$F:$F,"Neemias",'[Controle_Financeiro_2026.xlsx]Lançamentos'!$B:$B,5,'[Controle_Financeiro_2026.xlsx]Lançamentos'!$C:$C,2026,'[Controle_Financeiro_2026.xlsx]Lançamentos'!$D:$D,"Studio",'[Controle_Financeiro_2026.xlsx]Lançamentos'!$G:$G,"Despesa")</f>
        <v/>
      </c>
      <c r="G22" s="4">
        <f>SUMIFS('[Controle_Financeiro_2026.xlsx]Lançamentos'!$H:$H,'[Controle_Financeiro_2026.xlsx]Lançamentos'!$F:$F,"Neemias",'[Controle_Financeiro_2026.xlsx]Lançamentos'!$B:$B,6,'[Controle_Financeiro_2026.xlsx]Lançamentos'!$C:$C,2026,'[Controle_Financeiro_2026.xlsx]Lançamentos'!$D:$D,"Studio",'[Controle_Financeiro_2026.xlsx]Lançamentos'!$G:$G,"Despesa")</f>
        <v/>
      </c>
      <c r="H22" s="5">
        <f>IFERROR(AVERAGEIF(B22:G22,"&lt;&gt;0"),0)</f>
        <v/>
      </c>
      <c r="I22" s="5">
        <f>IFERROR(AVERAGEIF(B22:G22,"&lt;&gt;0"),0)</f>
        <v/>
      </c>
      <c r="J22" s="5">
        <f>IFERROR(AVERAGEIF(B22:G22,"&lt;&gt;0"),0)</f>
        <v/>
      </c>
      <c r="K22" s="5">
        <f>IFERROR(AVERAGEIF(B22:G22,"&lt;&gt;0"),0)</f>
        <v/>
      </c>
      <c r="L22" s="5">
        <f>IFERROR(AVERAGEIF(B22:G22,"&lt;&gt;0"),0)</f>
        <v/>
      </c>
      <c r="M22" s="5">
        <f>IFERROR(AVERAGEIF(B22:G22,"&lt;&gt;0"),0)</f>
        <v/>
      </c>
      <c r="N22" s="6">
        <f>SUM(B22:M22)</f>
        <v/>
      </c>
      <c r="O22" t="inlineStr">
        <is>
          <t>—</t>
        </is>
      </c>
    </row>
    <row r="23"/>
    <row r="24">
      <c r="A24" s="13" t="inlineStr">
        <is>
          <t>(=) MARGEM BRUTA</t>
        </is>
      </c>
      <c r="B24" s="12">
        <f>B16+B18</f>
        <v/>
      </c>
      <c r="C24" s="12">
        <f>C16+C18</f>
        <v/>
      </c>
      <c r="D24" s="12">
        <f>D16+D18</f>
        <v/>
      </c>
      <c r="E24" s="12">
        <f>E16+E18</f>
        <v/>
      </c>
      <c r="F24" s="12">
        <f>F16+F18</f>
        <v/>
      </c>
      <c r="G24" s="12">
        <f>G16+G18</f>
        <v/>
      </c>
      <c r="H24" s="12">
        <f>H16+H18</f>
        <v/>
      </c>
      <c r="I24" s="12">
        <f>I16+I18</f>
        <v/>
      </c>
      <c r="J24" s="12">
        <f>J16+J18</f>
        <v/>
      </c>
      <c r="K24" s="12">
        <f>K16+K18</f>
        <v/>
      </c>
      <c r="L24" s="12">
        <f>L16+L18</f>
        <v/>
      </c>
      <c r="M24" s="12">
        <f>M16+M18</f>
        <v/>
      </c>
      <c r="N24" s="12">
        <f>SUM(B24:M24)</f>
        <v/>
      </c>
    </row>
    <row r="25"/>
    <row r="26">
      <c r="A26" s="13" t="inlineStr">
        <is>
          <t>(-) Despesas Fixas Studio</t>
        </is>
      </c>
      <c r="B26" s="12">
        <f>B27+B28+B29+B30</f>
        <v/>
      </c>
      <c r="C26" s="12">
        <f>C27+C28+C29+C30</f>
        <v/>
      </c>
      <c r="D26" s="12">
        <f>D27+D28+D29+D30</f>
        <v/>
      </c>
      <c r="E26" s="12">
        <f>E27+E28+E29+E30</f>
        <v/>
      </c>
      <c r="F26" s="12">
        <f>F27+F28+F29+F30</f>
        <v/>
      </c>
      <c r="G26" s="12">
        <f>G27+G28+G29+G30</f>
        <v/>
      </c>
      <c r="H26" s="12">
        <f>H27+H28+H29+H30</f>
        <v/>
      </c>
      <c r="I26" s="12">
        <f>I27+I28+I29+I30</f>
        <v/>
      </c>
      <c r="J26" s="12">
        <f>J27+J28+J29+J30</f>
        <v/>
      </c>
      <c r="K26" s="12">
        <f>K27+K28+K29+K30</f>
        <v/>
      </c>
      <c r="L26" s="12">
        <f>L27+L28+L29+L30</f>
        <v/>
      </c>
      <c r="M26" s="12">
        <f>M27+M28+M29+M30</f>
        <v/>
      </c>
      <c r="N26" s="12">
        <f>SUM(B26:M26)</f>
        <v/>
      </c>
      <c r="O26" s="15">
        <f>IFERROR(N26/N3,0)</f>
        <v/>
      </c>
    </row>
    <row r="27">
      <c r="A27" s="14" t="inlineStr">
        <is>
          <t xml:space="preserve">  Condomínio</t>
        </is>
      </c>
      <c r="B27" s="4">
        <f>SUMIFS('[Controle_Financeiro_2026.xlsx]Lançamentos'!$H:$H,'[Controle_Financeiro_2026.xlsx]Lançamentos'!$F:$F,"Condomínio",'[Controle_Financeiro_2026.xlsx]Lançamentos'!$B:$B,1,'[Controle_Financeiro_2026.xlsx]Lançamentos'!$C:$C,2026,'[Controle_Financeiro_2026.xlsx]Lançamentos'!$D:$D,"Studio",'[Controle_Financeiro_2026.xlsx]Lançamentos'!$G:$G,"Despesa")</f>
        <v/>
      </c>
      <c r="C27" s="4">
        <f>SUMIFS('[Controle_Financeiro_2026.xlsx]Lançamentos'!$H:$H,'[Controle_Financeiro_2026.xlsx]Lançamentos'!$F:$F,"Condomínio",'[Controle_Financeiro_2026.xlsx]Lançamentos'!$B:$B,2,'[Controle_Financeiro_2026.xlsx]Lançamentos'!$C:$C,2026,'[Controle_Financeiro_2026.xlsx]Lançamentos'!$D:$D,"Studio",'[Controle_Financeiro_2026.xlsx]Lançamentos'!$G:$G,"Despesa")</f>
        <v/>
      </c>
      <c r="D27" s="4">
        <f>SUMIFS('[Controle_Financeiro_2026.xlsx]Lançamentos'!$H:$H,'[Controle_Financeiro_2026.xlsx]Lançamentos'!$F:$F,"Condomínio",'[Controle_Financeiro_2026.xlsx]Lançamentos'!$B:$B,3,'[Controle_Financeiro_2026.xlsx]Lançamentos'!$C:$C,2026,'[Controle_Financeiro_2026.xlsx]Lançamentos'!$D:$D,"Studio",'[Controle_Financeiro_2026.xlsx]Lançamentos'!$G:$G,"Despesa")</f>
        <v/>
      </c>
      <c r="E27" s="4">
        <f>SUMIFS('[Controle_Financeiro_2026.xlsx]Lançamentos'!$H:$H,'[Controle_Financeiro_2026.xlsx]Lançamentos'!$F:$F,"Condomínio",'[Controle_Financeiro_2026.xlsx]Lançamentos'!$B:$B,4,'[Controle_Financeiro_2026.xlsx]Lançamentos'!$C:$C,2026,'[Controle_Financeiro_2026.xlsx]Lançamentos'!$D:$D,"Studio",'[Controle_Financeiro_2026.xlsx]Lançamentos'!$G:$G,"Despesa")</f>
        <v/>
      </c>
      <c r="F27" s="4">
        <f>SUMIFS('[Controle_Financeiro_2026.xlsx]Lançamentos'!$H:$H,'[Controle_Financeiro_2026.xlsx]Lançamentos'!$F:$F,"Condomínio",'[Controle_Financeiro_2026.xlsx]Lançamentos'!$B:$B,5,'[Controle_Financeiro_2026.xlsx]Lançamentos'!$C:$C,2026,'[Controle_Financeiro_2026.xlsx]Lançamentos'!$D:$D,"Studio",'[Controle_Financeiro_2026.xlsx]Lançamentos'!$G:$G,"Despesa")</f>
        <v/>
      </c>
      <c r="G27" s="4">
        <f>SUMIFS('[Controle_Financeiro_2026.xlsx]Lançamentos'!$H:$H,'[Controle_Financeiro_2026.xlsx]Lançamentos'!$F:$F,"Condomínio",'[Controle_Financeiro_2026.xlsx]Lançamentos'!$B:$B,6,'[Controle_Financeiro_2026.xlsx]Lançamentos'!$C:$C,2026,'[Controle_Financeiro_2026.xlsx]Lançamentos'!$D:$D,"Studio",'[Controle_Financeiro_2026.xlsx]Lançamentos'!$G:$G,"Despesa")</f>
        <v/>
      </c>
      <c r="H27" s="5">
        <f>IFERROR(AVERAGEIF(B27:G27,"&lt;&gt;0"),0)</f>
        <v/>
      </c>
      <c r="I27" s="5">
        <f>IFERROR(AVERAGEIF(B27:G27,"&lt;&gt;0"),0)</f>
        <v/>
      </c>
      <c r="J27" s="5">
        <f>IFERROR(AVERAGEIF(B27:G27,"&lt;&gt;0"),0)</f>
        <v/>
      </c>
      <c r="K27" s="5">
        <f>IFERROR(AVERAGEIF(B27:G27,"&lt;&gt;0"),0)</f>
        <v/>
      </c>
      <c r="L27" s="5">
        <f>IFERROR(AVERAGEIF(B27:G27,"&lt;&gt;0"),0)</f>
        <v/>
      </c>
      <c r="M27" s="5">
        <f>IFERROR(AVERAGEIF(B27:G27,"&lt;&gt;0"),0)</f>
        <v/>
      </c>
      <c r="N27" s="6">
        <f>SUM(B27:M27)</f>
        <v/>
      </c>
      <c r="O27" t="inlineStr">
        <is>
          <t>—</t>
        </is>
      </c>
    </row>
    <row r="28">
      <c r="A28" s="14" t="inlineStr">
        <is>
          <t xml:space="preserve">  Estacionamento Studio</t>
        </is>
      </c>
      <c r="B28" s="4">
        <f>SUMIFS('[Controle_Financeiro_2026.xlsx]Lançamentos'!$H:$H,'[Controle_Financeiro_2026.xlsx]Lançamentos'!$F:$F,"Estacionamento Studio",'[Controle_Financeiro_2026.xlsx]Lançamentos'!$B:$B,1,'[Controle_Financeiro_2026.xlsx]Lançamentos'!$C:$C,2026,'[Controle_Financeiro_2026.xlsx]Lançamentos'!$D:$D,"Studio",'[Controle_Financeiro_2026.xlsx]Lançamentos'!$G:$G,"Despesa")</f>
        <v/>
      </c>
      <c r="C28" s="4">
        <f>SUMIFS('[Controle_Financeiro_2026.xlsx]Lançamentos'!$H:$H,'[Controle_Financeiro_2026.xlsx]Lançamentos'!$F:$F,"Estacionamento Studio",'[Controle_Financeiro_2026.xlsx]Lançamentos'!$B:$B,2,'[Controle_Financeiro_2026.xlsx]Lançamentos'!$C:$C,2026,'[Controle_Financeiro_2026.xlsx]Lançamentos'!$D:$D,"Studio",'[Controle_Financeiro_2026.xlsx]Lançamentos'!$G:$G,"Despesa")</f>
        <v/>
      </c>
      <c r="D28" s="4">
        <f>SUMIFS('[Controle_Financeiro_2026.xlsx]Lançamentos'!$H:$H,'[Controle_Financeiro_2026.xlsx]Lançamentos'!$F:$F,"Estacionamento Studio",'[Controle_Financeiro_2026.xlsx]Lançamentos'!$B:$B,3,'[Controle_Financeiro_2026.xlsx]Lançamentos'!$C:$C,2026,'[Controle_Financeiro_2026.xlsx]Lançamentos'!$D:$D,"Studio",'[Controle_Financeiro_2026.xlsx]Lançamentos'!$G:$G,"Despesa")</f>
        <v/>
      </c>
      <c r="E28" s="4">
        <f>SUMIFS('[Controle_Financeiro_2026.xlsx]Lançamentos'!$H:$H,'[Controle_Financeiro_2026.xlsx]Lançamentos'!$F:$F,"Estacionamento Studio",'[Controle_Financeiro_2026.xlsx]Lançamentos'!$B:$B,4,'[Controle_Financeiro_2026.xlsx]Lançamentos'!$C:$C,2026,'[Controle_Financeiro_2026.xlsx]Lançamentos'!$D:$D,"Studio",'[Controle_Financeiro_2026.xlsx]Lançamentos'!$G:$G,"Despesa")</f>
        <v/>
      </c>
      <c r="F28" s="4">
        <f>SUMIFS('[Controle_Financeiro_2026.xlsx]Lançamentos'!$H:$H,'[Controle_Financeiro_2026.xlsx]Lançamentos'!$F:$F,"Estacionamento Studio",'[Controle_Financeiro_2026.xlsx]Lançamentos'!$B:$B,5,'[Controle_Financeiro_2026.xlsx]Lançamentos'!$C:$C,2026,'[Controle_Financeiro_2026.xlsx]Lançamentos'!$D:$D,"Studio",'[Controle_Financeiro_2026.xlsx]Lançamentos'!$G:$G,"Despesa")</f>
        <v/>
      </c>
      <c r="G28" s="4">
        <f>SUMIFS('[Controle_Financeiro_2026.xlsx]Lançamentos'!$H:$H,'[Controle_Financeiro_2026.xlsx]Lançamentos'!$F:$F,"Estacionamento Studio",'[Controle_Financeiro_2026.xlsx]Lançamentos'!$B:$B,6,'[Controle_Financeiro_2026.xlsx]Lançamentos'!$C:$C,2026,'[Controle_Financeiro_2026.xlsx]Lançamentos'!$D:$D,"Studio",'[Controle_Financeiro_2026.xlsx]Lançamentos'!$G:$G,"Despesa")</f>
        <v/>
      </c>
      <c r="H28" s="5">
        <f>IFERROR(AVERAGEIF(B28:G28,"&lt;&gt;0"),0)</f>
        <v/>
      </c>
      <c r="I28" s="5">
        <f>IFERROR(AVERAGEIF(B28:G28,"&lt;&gt;0"),0)</f>
        <v/>
      </c>
      <c r="J28" s="5">
        <f>IFERROR(AVERAGEIF(B28:G28,"&lt;&gt;0"),0)</f>
        <v/>
      </c>
      <c r="K28" s="5">
        <f>IFERROR(AVERAGEIF(B28:G28,"&lt;&gt;0"),0)</f>
        <v/>
      </c>
      <c r="L28" s="5">
        <f>IFERROR(AVERAGEIF(B28:G28,"&lt;&gt;0"),0)</f>
        <v/>
      </c>
      <c r="M28" s="5">
        <f>IFERROR(AVERAGEIF(B28:G28,"&lt;&gt;0"),0)</f>
        <v/>
      </c>
      <c r="N28" s="6">
        <f>SUM(B28:M28)</f>
        <v/>
      </c>
      <c r="O28" t="inlineStr">
        <is>
          <t>—</t>
        </is>
      </c>
    </row>
    <row r="29">
      <c r="A29" s="14" t="inlineStr">
        <is>
          <t xml:space="preserve">  Hospedagem / Site</t>
        </is>
      </c>
      <c r="B29" s="4">
        <f>SUMIFS('[Controle_Financeiro_2026.xlsx]Lançamentos'!$H:$H,'[Controle_Financeiro_2026.xlsx]Lançamentos'!$F:$F,"Hospedagem / Site",'[Controle_Financeiro_2026.xlsx]Lançamentos'!$B:$B,1,'[Controle_Financeiro_2026.xlsx]Lançamentos'!$C:$C,2026,'[Controle_Financeiro_2026.xlsx]Lançamentos'!$D:$D,"Studio",'[Controle_Financeiro_2026.xlsx]Lançamentos'!$G:$G,"Despesa")</f>
        <v/>
      </c>
      <c r="C29" s="4">
        <f>SUMIFS('[Controle_Financeiro_2026.xlsx]Lançamentos'!$H:$H,'[Controle_Financeiro_2026.xlsx]Lançamentos'!$F:$F,"Hospedagem / Site",'[Controle_Financeiro_2026.xlsx]Lançamentos'!$B:$B,2,'[Controle_Financeiro_2026.xlsx]Lançamentos'!$C:$C,2026,'[Controle_Financeiro_2026.xlsx]Lançamentos'!$D:$D,"Studio",'[Controle_Financeiro_2026.xlsx]Lançamentos'!$G:$G,"Despesa")</f>
        <v/>
      </c>
      <c r="D29" s="4">
        <f>SUMIFS('[Controle_Financeiro_2026.xlsx]Lançamentos'!$H:$H,'[Controle_Financeiro_2026.xlsx]Lançamentos'!$F:$F,"Hospedagem / Site",'[Controle_Financeiro_2026.xlsx]Lançamentos'!$B:$B,3,'[Controle_Financeiro_2026.xlsx]Lançamentos'!$C:$C,2026,'[Controle_Financeiro_2026.xlsx]Lançamentos'!$D:$D,"Studio",'[Controle_Financeiro_2026.xlsx]Lançamentos'!$G:$G,"Despesa")</f>
        <v/>
      </c>
      <c r="E29" s="4">
        <f>SUMIFS('[Controle_Financeiro_2026.xlsx]Lançamentos'!$H:$H,'[Controle_Financeiro_2026.xlsx]Lançamentos'!$F:$F,"Hospedagem / Site",'[Controle_Financeiro_2026.xlsx]Lançamentos'!$B:$B,4,'[Controle_Financeiro_2026.xlsx]Lançamentos'!$C:$C,2026,'[Controle_Financeiro_2026.xlsx]Lançamentos'!$D:$D,"Studio",'[Controle_Financeiro_2026.xlsx]Lançamentos'!$G:$G,"Despesa")</f>
        <v/>
      </c>
      <c r="F29" s="4">
        <f>SUMIFS('[Controle_Financeiro_2026.xlsx]Lançamentos'!$H:$H,'[Controle_Financeiro_2026.xlsx]Lançamentos'!$F:$F,"Hospedagem / Site",'[Controle_Financeiro_2026.xlsx]Lançamentos'!$B:$B,5,'[Controle_Financeiro_2026.xlsx]Lançamentos'!$C:$C,2026,'[Controle_Financeiro_2026.xlsx]Lançamentos'!$D:$D,"Studio",'[Controle_Financeiro_2026.xlsx]Lançamentos'!$G:$G,"Despesa")</f>
        <v/>
      </c>
      <c r="G29" s="4">
        <f>SUMIFS('[Controle_Financeiro_2026.xlsx]Lançamentos'!$H:$H,'[Controle_Financeiro_2026.xlsx]Lançamentos'!$F:$F,"Hospedagem / Site",'[Controle_Financeiro_2026.xlsx]Lançamentos'!$B:$B,6,'[Controle_Financeiro_2026.xlsx]Lançamentos'!$C:$C,2026,'[Controle_Financeiro_2026.xlsx]Lançamentos'!$D:$D,"Studio",'[Controle_Financeiro_2026.xlsx]Lançamentos'!$G:$G,"Despesa")</f>
        <v/>
      </c>
      <c r="H29" s="5">
        <f>IFERROR(AVERAGEIF(B29:G29,"&lt;&gt;0"),0)</f>
        <v/>
      </c>
      <c r="I29" s="5">
        <f>IFERROR(AVERAGEIF(B29:G29,"&lt;&gt;0"),0)</f>
        <v/>
      </c>
      <c r="J29" s="5">
        <f>IFERROR(AVERAGEIF(B29:G29,"&lt;&gt;0"),0)</f>
        <v/>
      </c>
      <c r="K29" s="5">
        <f>IFERROR(AVERAGEIF(B29:G29,"&lt;&gt;0"),0)</f>
        <v/>
      </c>
      <c r="L29" s="5">
        <f>IFERROR(AVERAGEIF(B29:G29,"&lt;&gt;0"),0)</f>
        <v/>
      </c>
      <c r="M29" s="5">
        <f>IFERROR(AVERAGEIF(B29:G29,"&lt;&gt;0"),0)</f>
        <v/>
      </c>
      <c r="N29" s="6">
        <f>SUM(B29:M29)</f>
        <v/>
      </c>
      <c r="O29" t="inlineStr">
        <is>
          <t>—</t>
        </is>
      </c>
    </row>
    <row r="30">
      <c r="A30" s="14" t="inlineStr">
        <is>
          <t xml:space="preserve">  Internet / Telecom</t>
        </is>
      </c>
      <c r="B30" s="4">
        <f>SUMIFS('[Controle_Financeiro_2026.xlsx]Lançamentos'!$H:$H,'[Controle_Financeiro_2026.xlsx]Lançamentos'!$F:$F,"Internet / Telecom",'[Controle_Financeiro_2026.xlsx]Lançamentos'!$B:$B,1,'[Controle_Financeiro_2026.xlsx]Lançamentos'!$C:$C,2026,'[Controle_Financeiro_2026.xlsx]Lançamentos'!$D:$D,"Studio",'[Controle_Financeiro_2026.xlsx]Lançamentos'!$G:$G,"Despesa")</f>
        <v/>
      </c>
      <c r="C30" s="4">
        <f>SUMIFS('[Controle_Financeiro_2026.xlsx]Lançamentos'!$H:$H,'[Controle_Financeiro_2026.xlsx]Lançamentos'!$F:$F,"Internet / Telecom",'[Controle_Financeiro_2026.xlsx]Lançamentos'!$B:$B,2,'[Controle_Financeiro_2026.xlsx]Lançamentos'!$C:$C,2026,'[Controle_Financeiro_2026.xlsx]Lançamentos'!$D:$D,"Studio",'[Controle_Financeiro_2026.xlsx]Lançamentos'!$G:$G,"Despesa")</f>
        <v/>
      </c>
      <c r="D30" s="4">
        <f>SUMIFS('[Controle_Financeiro_2026.xlsx]Lançamentos'!$H:$H,'[Controle_Financeiro_2026.xlsx]Lançamentos'!$F:$F,"Internet / Telecom",'[Controle_Financeiro_2026.xlsx]Lançamentos'!$B:$B,3,'[Controle_Financeiro_2026.xlsx]Lançamentos'!$C:$C,2026,'[Controle_Financeiro_2026.xlsx]Lançamentos'!$D:$D,"Studio",'[Controle_Financeiro_2026.xlsx]Lançamentos'!$G:$G,"Despesa")</f>
        <v/>
      </c>
      <c r="E30" s="4">
        <f>SUMIFS('[Controle_Financeiro_2026.xlsx]Lançamentos'!$H:$H,'[Controle_Financeiro_2026.xlsx]Lançamentos'!$F:$F,"Internet / Telecom",'[Controle_Financeiro_2026.xlsx]Lançamentos'!$B:$B,4,'[Controle_Financeiro_2026.xlsx]Lançamentos'!$C:$C,2026,'[Controle_Financeiro_2026.xlsx]Lançamentos'!$D:$D,"Studio",'[Controle_Financeiro_2026.xlsx]Lançamentos'!$G:$G,"Despesa")</f>
        <v/>
      </c>
      <c r="F30" s="4">
        <f>SUMIFS('[Controle_Financeiro_2026.xlsx]Lançamentos'!$H:$H,'[Controle_Financeiro_2026.xlsx]Lançamentos'!$F:$F,"Internet / Telecom",'[Controle_Financeiro_2026.xlsx]Lançamentos'!$B:$B,5,'[Controle_Financeiro_2026.xlsx]Lançamentos'!$C:$C,2026,'[Controle_Financeiro_2026.xlsx]Lançamentos'!$D:$D,"Studio",'[Controle_Financeiro_2026.xlsx]Lançamentos'!$G:$G,"Despesa")</f>
        <v/>
      </c>
      <c r="G30" s="4">
        <f>SUMIFS('[Controle_Financeiro_2026.xlsx]Lançamentos'!$H:$H,'[Controle_Financeiro_2026.xlsx]Lançamentos'!$F:$F,"Internet / Telecom",'[Controle_Financeiro_2026.xlsx]Lançamentos'!$B:$B,6,'[Controle_Financeiro_2026.xlsx]Lançamentos'!$C:$C,2026,'[Controle_Financeiro_2026.xlsx]Lançamentos'!$D:$D,"Studio",'[Controle_Financeiro_2026.xlsx]Lançamentos'!$G:$G,"Despesa")</f>
        <v/>
      </c>
      <c r="H30" s="5">
        <f>IFERROR(AVERAGEIF(B30:G30,"&lt;&gt;0"),0)</f>
        <v/>
      </c>
      <c r="I30" s="5">
        <f>IFERROR(AVERAGEIF(B30:G30,"&lt;&gt;0"),0)</f>
        <v/>
      </c>
      <c r="J30" s="5">
        <f>IFERROR(AVERAGEIF(B30:G30,"&lt;&gt;0"),0)</f>
        <v/>
      </c>
      <c r="K30" s="5">
        <f>IFERROR(AVERAGEIF(B30:G30,"&lt;&gt;0"),0)</f>
        <v/>
      </c>
      <c r="L30" s="5">
        <f>IFERROR(AVERAGEIF(B30:G30,"&lt;&gt;0"),0)</f>
        <v/>
      </c>
      <c r="M30" s="5">
        <f>IFERROR(AVERAGEIF(B30:G30,"&lt;&gt;0"),0)</f>
        <v/>
      </c>
      <c r="N30" s="6">
        <f>SUM(B30:M30)</f>
        <v/>
      </c>
      <c r="O30" t="inlineStr">
        <is>
          <t>—</t>
        </is>
      </c>
    </row>
    <row r="31"/>
    <row r="32">
      <c r="A32" s="13" t="inlineStr">
        <is>
          <t>(-) Despesas Variáveis Studio</t>
        </is>
      </c>
      <c r="B32" s="12">
        <f>B33+B34+B35+B36</f>
        <v/>
      </c>
      <c r="C32" s="12">
        <f>C33+C34+C35+C36</f>
        <v/>
      </c>
      <c r="D32" s="12">
        <f>D33+D34+D35+D36</f>
        <v/>
      </c>
      <c r="E32" s="12">
        <f>E33+E34+E35+E36</f>
        <v/>
      </c>
      <c r="F32" s="12">
        <f>F33+F34+F35+F36</f>
        <v/>
      </c>
      <c r="G32" s="12">
        <f>G33+G34+G35+G36</f>
        <v/>
      </c>
      <c r="H32" s="12">
        <f>H33+H34+H35+H36</f>
        <v/>
      </c>
      <c r="I32" s="12">
        <f>I33+I34+I35+I36</f>
        <v/>
      </c>
      <c r="J32" s="12">
        <f>J33+J34+J35+J36</f>
        <v/>
      </c>
      <c r="K32" s="12">
        <f>K33+K34+K35+K36</f>
        <v/>
      </c>
      <c r="L32" s="12">
        <f>L33+L34+L35+L36</f>
        <v/>
      </c>
      <c r="M32" s="12">
        <f>M33+M34+M35+M36</f>
        <v/>
      </c>
      <c r="N32" s="12">
        <f>SUM(B32:M32)</f>
        <v/>
      </c>
      <c r="O32" s="15">
        <f>IFERROR(N32/N3,0)</f>
        <v/>
      </c>
    </row>
    <row r="33">
      <c r="A33" s="14" t="inlineStr">
        <is>
          <t xml:space="preserve">  Facebook / Meta Ads</t>
        </is>
      </c>
      <c r="B33" s="4">
        <f>SUMIFS('[Controle_Financeiro_2026.xlsx]Lançamentos'!$H:$H,'[Controle_Financeiro_2026.xlsx]Lançamentos'!$F:$F,"Facebook / Meta Ads",'[Controle_Financeiro_2026.xlsx]Lançamentos'!$B:$B,1,'[Controle_Financeiro_2026.xlsx]Lançamentos'!$C:$C,2026,'[Controle_Financeiro_2026.xlsx]Lançamentos'!$D:$D,"Studio",'[Controle_Financeiro_2026.xlsx]Lançamentos'!$G:$G,"Despesa")</f>
        <v/>
      </c>
      <c r="C33" s="4">
        <f>SUMIFS('[Controle_Financeiro_2026.xlsx]Lançamentos'!$H:$H,'[Controle_Financeiro_2026.xlsx]Lançamentos'!$F:$F,"Facebook / Meta Ads",'[Controle_Financeiro_2026.xlsx]Lançamentos'!$B:$B,2,'[Controle_Financeiro_2026.xlsx]Lançamentos'!$C:$C,2026,'[Controle_Financeiro_2026.xlsx]Lançamentos'!$D:$D,"Studio",'[Controle_Financeiro_2026.xlsx]Lançamentos'!$G:$G,"Despesa")</f>
        <v/>
      </c>
      <c r="D33" s="4">
        <f>SUMIFS('[Controle_Financeiro_2026.xlsx]Lançamentos'!$H:$H,'[Controle_Financeiro_2026.xlsx]Lançamentos'!$F:$F,"Facebook / Meta Ads",'[Controle_Financeiro_2026.xlsx]Lançamentos'!$B:$B,3,'[Controle_Financeiro_2026.xlsx]Lançamentos'!$C:$C,2026,'[Controle_Financeiro_2026.xlsx]Lançamentos'!$D:$D,"Studio",'[Controle_Financeiro_2026.xlsx]Lançamentos'!$G:$G,"Despesa")</f>
        <v/>
      </c>
      <c r="E33" s="4">
        <f>SUMIFS('[Controle_Financeiro_2026.xlsx]Lançamentos'!$H:$H,'[Controle_Financeiro_2026.xlsx]Lançamentos'!$F:$F,"Facebook / Meta Ads",'[Controle_Financeiro_2026.xlsx]Lançamentos'!$B:$B,4,'[Controle_Financeiro_2026.xlsx]Lançamentos'!$C:$C,2026,'[Controle_Financeiro_2026.xlsx]Lançamentos'!$D:$D,"Studio",'[Controle_Financeiro_2026.xlsx]Lançamentos'!$G:$G,"Despesa")</f>
        <v/>
      </c>
      <c r="F33" s="4">
        <f>SUMIFS('[Controle_Financeiro_2026.xlsx]Lançamentos'!$H:$H,'[Controle_Financeiro_2026.xlsx]Lançamentos'!$F:$F,"Facebook / Meta Ads",'[Controle_Financeiro_2026.xlsx]Lançamentos'!$B:$B,5,'[Controle_Financeiro_2026.xlsx]Lançamentos'!$C:$C,2026,'[Controle_Financeiro_2026.xlsx]Lançamentos'!$D:$D,"Studio",'[Controle_Financeiro_2026.xlsx]Lançamentos'!$G:$G,"Despesa")</f>
        <v/>
      </c>
      <c r="G33" s="4">
        <f>SUMIFS('[Controle_Financeiro_2026.xlsx]Lançamentos'!$H:$H,'[Controle_Financeiro_2026.xlsx]Lançamentos'!$F:$F,"Facebook / Meta Ads",'[Controle_Financeiro_2026.xlsx]Lançamentos'!$B:$B,6,'[Controle_Financeiro_2026.xlsx]Lançamentos'!$C:$C,2026,'[Controle_Financeiro_2026.xlsx]Lançamentos'!$D:$D,"Studio",'[Controle_Financeiro_2026.xlsx]Lançamentos'!$G:$G,"Despesa")</f>
        <v/>
      </c>
      <c r="H33" s="5">
        <f>IFERROR(AVERAGEIF(B33:G33,"&lt;&gt;0"),0)</f>
        <v/>
      </c>
      <c r="I33" s="5">
        <f>IFERROR(AVERAGEIF(B33:G33,"&lt;&gt;0"),0)</f>
        <v/>
      </c>
      <c r="J33" s="5">
        <f>IFERROR(AVERAGEIF(B33:G33,"&lt;&gt;0"),0)</f>
        <v/>
      </c>
      <c r="K33" s="5">
        <f>IFERROR(AVERAGEIF(B33:G33,"&lt;&gt;0"),0)</f>
        <v/>
      </c>
      <c r="L33" s="5">
        <f>IFERROR(AVERAGEIF(B33:G33,"&lt;&gt;0"),0)</f>
        <v/>
      </c>
      <c r="M33" s="5">
        <f>IFERROR(AVERAGEIF(B33:G33,"&lt;&gt;0"),0)</f>
        <v/>
      </c>
      <c r="N33" s="6">
        <f>SUM(B33:M33)</f>
        <v/>
      </c>
      <c r="O33" t="inlineStr">
        <is>
          <t>—</t>
        </is>
      </c>
    </row>
    <row r="34">
      <c r="A34" s="14" t="inlineStr">
        <is>
          <t xml:space="preserve">  Google Ads / Google</t>
        </is>
      </c>
      <c r="B34" s="4">
        <f>SUMIFS('[Controle_Financeiro_2026.xlsx]Lançamentos'!$H:$H,'[Controle_Financeiro_2026.xlsx]Lançamentos'!$F:$F,"Google Ads / Google",'[Controle_Financeiro_2026.xlsx]Lançamentos'!$B:$B,1,'[Controle_Financeiro_2026.xlsx]Lançamentos'!$C:$C,2026,'[Controle_Financeiro_2026.xlsx]Lançamentos'!$D:$D,"Studio",'[Controle_Financeiro_2026.xlsx]Lançamentos'!$G:$G,"Despesa")</f>
        <v/>
      </c>
      <c r="C34" s="4">
        <f>SUMIFS('[Controle_Financeiro_2026.xlsx]Lançamentos'!$H:$H,'[Controle_Financeiro_2026.xlsx]Lançamentos'!$F:$F,"Google Ads / Google",'[Controle_Financeiro_2026.xlsx]Lançamentos'!$B:$B,2,'[Controle_Financeiro_2026.xlsx]Lançamentos'!$C:$C,2026,'[Controle_Financeiro_2026.xlsx]Lançamentos'!$D:$D,"Studio",'[Controle_Financeiro_2026.xlsx]Lançamentos'!$G:$G,"Despesa")</f>
        <v/>
      </c>
      <c r="D34" s="4">
        <f>SUMIFS('[Controle_Financeiro_2026.xlsx]Lançamentos'!$H:$H,'[Controle_Financeiro_2026.xlsx]Lançamentos'!$F:$F,"Google Ads / Google",'[Controle_Financeiro_2026.xlsx]Lançamentos'!$B:$B,3,'[Controle_Financeiro_2026.xlsx]Lançamentos'!$C:$C,2026,'[Controle_Financeiro_2026.xlsx]Lançamentos'!$D:$D,"Studio",'[Controle_Financeiro_2026.xlsx]Lançamentos'!$G:$G,"Despesa")</f>
        <v/>
      </c>
      <c r="E34" s="4">
        <f>SUMIFS('[Controle_Financeiro_2026.xlsx]Lançamentos'!$H:$H,'[Controle_Financeiro_2026.xlsx]Lançamentos'!$F:$F,"Google Ads / Google",'[Controle_Financeiro_2026.xlsx]Lançamentos'!$B:$B,4,'[Controle_Financeiro_2026.xlsx]Lançamentos'!$C:$C,2026,'[Controle_Financeiro_2026.xlsx]Lançamentos'!$D:$D,"Studio",'[Controle_Financeiro_2026.xlsx]Lançamentos'!$G:$G,"Despesa")</f>
        <v/>
      </c>
      <c r="F34" s="4">
        <f>SUMIFS('[Controle_Financeiro_2026.xlsx]Lançamentos'!$H:$H,'[Controle_Financeiro_2026.xlsx]Lançamentos'!$F:$F,"Google Ads / Google",'[Controle_Financeiro_2026.xlsx]Lançamentos'!$B:$B,5,'[Controle_Financeiro_2026.xlsx]Lançamentos'!$C:$C,2026,'[Controle_Financeiro_2026.xlsx]Lançamentos'!$D:$D,"Studio",'[Controle_Financeiro_2026.xlsx]Lançamentos'!$G:$G,"Despesa")</f>
        <v/>
      </c>
      <c r="G34" s="4">
        <f>SUMIFS('[Controle_Financeiro_2026.xlsx]Lançamentos'!$H:$H,'[Controle_Financeiro_2026.xlsx]Lançamentos'!$F:$F,"Google Ads / Google",'[Controle_Financeiro_2026.xlsx]Lançamentos'!$B:$B,6,'[Controle_Financeiro_2026.xlsx]Lançamentos'!$C:$C,2026,'[Controle_Financeiro_2026.xlsx]Lançamentos'!$D:$D,"Studio",'[Controle_Financeiro_2026.xlsx]Lançamentos'!$G:$G,"Despesa")</f>
        <v/>
      </c>
      <c r="H34" s="5">
        <f>IFERROR(AVERAGEIF(B34:G34,"&lt;&gt;0"),0)</f>
        <v/>
      </c>
      <c r="I34" s="5">
        <f>IFERROR(AVERAGEIF(B34:G34,"&lt;&gt;0"),0)</f>
        <v/>
      </c>
      <c r="J34" s="5">
        <f>IFERROR(AVERAGEIF(B34:G34,"&lt;&gt;0"),0)</f>
        <v/>
      </c>
      <c r="K34" s="5">
        <f>IFERROR(AVERAGEIF(B34:G34,"&lt;&gt;0"),0)</f>
        <v/>
      </c>
      <c r="L34" s="5">
        <f>IFERROR(AVERAGEIF(B34:G34,"&lt;&gt;0"),0)</f>
        <v/>
      </c>
      <c r="M34" s="5">
        <f>IFERROR(AVERAGEIF(B34:G34,"&lt;&gt;0"),0)</f>
        <v/>
      </c>
      <c r="N34" s="6">
        <f>SUM(B34:M34)</f>
        <v/>
      </c>
      <c r="O34" t="inlineStr">
        <is>
          <t>—</t>
        </is>
      </c>
    </row>
    <row r="35">
      <c r="A35" s="14" t="inlineStr">
        <is>
          <t xml:space="preserve">  Serviços Online / Domínio</t>
        </is>
      </c>
      <c r="B35" s="4">
        <f>SUMIFS('[Controle_Financeiro_2026.xlsx]Lançamentos'!$H:$H,'[Controle_Financeiro_2026.xlsx]Lançamentos'!$F:$F,"Serviços Online / Domínio",'[Controle_Financeiro_2026.xlsx]Lançamentos'!$B:$B,1,'[Controle_Financeiro_2026.xlsx]Lançamentos'!$C:$C,2026,'[Controle_Financeiro_2026.xlsx]Lançamentos'!$D:$D,"Studio",'[Controle_Financeiro_2026.xlsx]Lançamentos'!$G:$G,"Despesa")</f>
        <v/>
      </c>
      <c r="C35" s="4">
        <f>SUMIFS('[Controle_Financeiro_2026.xlsx]Lançamentos'!$H:$H,'[Controle_Financeiro_2026.xlsx]Lançamentos'!$F:$F,"Serviços Online / Domínio",'[Controle_Financeiro_2026.xlsx]Lançamentos'!$B:$B,2,'[Controle_Financeiro_2026.xlsx]Lançamentos'!$C:$C,2026,'[Controle_Financeiro_2026.xlsx]Lançamentos'!$D:$D,"Studio",'[Controle_Financeiro_2026.xlsx]Lançamentos'!$G:$G,"Despesa")</f>
        <v/>
      </c>
      <c r="D35" s="4">
        <f>SUMIFS('[Controle_Financeiro_2026.xlsx]Lançamentos'!$H:$H,'[Controle_Financeiro_2026.xlsx]Lançamentos'!$F:$F,"Serviços Online / Domínio",'[Controle_Financeiro_2026.xlsx]Lançamentos'!$B:$B,3,'[Controle_Financeiro_2026.xlsx]Lançamentos'!$C:$C,2026,'[Controle_Financeiro_2026.xlsx]Lançamentos'!$D:$D,"Studio",'[Controle_Financeiro_2026.xlsx]Lançamentos'!$G:$G,"Despesa")</f>
        <v/>
      </c>
      <c r="E35" s="4">
        <f>SUMIFS('[Controle_Financeiro_2026.xlsx]Lançamentos'!$H:$H,'[Controle_Financeiro_2026.xlsx]Lançamentos'!$F:$F,"Serviços Online / Domínio",'[Controle_Financeiro_2026.xlsx]Lançamentos'!$B:$B,4,'[Controle_Financeiro_2026.xlsx]Lançamentos'!$C:$C,2026,'[Controle_Financeiro_2026.xlsx]Lançamentos'!$D:$D,"Studio",'[Controle_Financeiro_2026.xlsx]Lançamentos'!$G:$G,"Despesa")</f>
        <v/>
      </c>
      <c r="F35" s="4">
        <f>SUMIFS('[Controle_Financeiro_2026.xlsx]Lançamentos'!$H:$H,'[Controle_Financeiro_2026.xlsx]Lançamentos'!$F:$F,"Serviços Online / Domínio",'[Controle_Financeiro_2026.xlsx]Lançamentos'!$B:$B,5,'[Controle_Financeiro_2026.xlsx]Lançamentos'!$C:$C,2026,'[Controle_Financeiro_2026.xlsx]Lançamentos'!$D:$D,"Studio",'[Controle_Financeiro_2026.xlsx]Lançamentos'!$G:$G,"Despesa")</f>
        <v/>
      </c>
      <c r="G35" s="4">
        <f>SUMIFS('[Controle_Financeiro_2026.xlsx]Lançamentos'!$H:$H,'[Controle_Financeiro_2026.xlsx]Lançamentos'!$F:$F,"Serviços Online / Domínio",'[Controle_Financeiro_2026.xlsx]Lançamentos'!$B:$B,6,'[Controle_Financeiro_2026.xlsx]Lançamentos'!$C:$C,2026,'[Controle_Financeiro_2026.xlsx]Lançamentos'!$D:$D,"Studio",'[Controle_Financeiro_2026.xlsx]Lançamentos'!$G:$G,"Despesa")</f>
        <v/>
      </c>
      <c r="H35" s="5">
        <f>IFERROR(AVERAGEIF(B35:G35,"&lt;&gt;0"),0)</f>
        <v/>
      </c>
      <c r="I35" s="5">
        <f>IFERROR(AVERAGEIF(B35:G35,"&lt;&gt;0"),0)</f>
        <v/>
      </c>
      <c r="J35" s="5">
        <f>IFERROR(AVERAGEIF(B35:G35,"&lt;&gt;0"),0)</f>
        <v/>
      </c>
      <c r="K35" s="5">
        <f>IFERROR(AVERAGEIF(B35:G35,"&lt;&gt;0"),0)</f>
        <v/>
      </c>
      <c r="L35" s="5">
        <f>IFERROR(AVERAGEIF(B35:G35,"&lt;&gt;0"),0)</f>
        <v/>
      </c>
      <c r="M35" s="5">
        <f>IFERROR(AVERAGEIF(B35:G35,"&lt;&gt;0"),0)</f>
        <v/>
      </c>
      <c r="N35" s="6">
        <f>SUM(B35:M35)</f>
        <v/>
      </c>
      <c r="O35" t="inlineStr">
        <is>
          <t>—</t>
        </is>
      </c>
    </row>
    <row r="36">
      <c r="A36" s="14" t="inlineStr">
        <is>
          <t xml:space="preserve">  Pagar.me (boleto)</t>
        </is>
      </c>
      <c r="B36" s="4">
        <f>SUMIFS('[Controle_Financeiro_2026.xlsx]Lançamentos'!$H:$H,'[Controle_Financeiro_2026.xlsx]Lançamentos'!$F:$F,"Pagar.me (boleto)",'[Controle_Financeiro_2026.xlsx]Lançamentos'!$B:$B,1,'[Controle_Financeiro_2026.xlsx]Lançamentos'!$C:$C,2026,'[Controle_Financeiro_2026.xlsx]Lançamentos'!$D:$D,"Studio",'[Controle_Financeiro_2026.xlsx]Lançamentos'!$G:$G,"Despesa")</f>
        <v/>
      </c>
      <c r="C36" s="4">
        <f>SUMIFS('[Controle_Financeiro_2026.xlsx]Lançamentos'!$H:$H,'[Controle_Financeiro_2026.xlsx]Lançamentos'!$F:$F,"Pagar.me (boleto)",'[Controle_Financeiro_2026.xlsx]Lançamentos'!$B:$B,2,'[Controle_Financeiro_2026.xlsx]Lançamentos'!$C:$C,2026,'[Controle_Financeiro_2026.xlsx]Lançamentos'!$D:$D,"Studio",'[Controle_Financeiro_2026.xlsx]Lançamentos'!$G:$G,"Despesa")</f>
        <v/>
      </c>
      <c r="D36" s="4">
        <f>SUMIFS('[Controle_Financeiro_2026.xlsx]Lançamentos'!$H:$H,'[Controle_Financeiro_2026.xlsx]Lançamentos'!$F:$F,"Pagar.me (boleto)",'[Controle_Financeiro_2026.xlsx]Lançamentos'!$B:$B,3,'[Controle_Financeiro_2026.xlsx]Lançamentos'!$C:$C,2026,'[Controle_Financeiro_2026.xlsx]Lançamentos'!$D:$D,"Studio",'[Controle_Financeiro_2026.xlsx]Lançamentos'!$G:$G,"Despesa")</f>
        <v/>
      </c>
      <c r="E36" s="4">
        <f>SUMIFS('[Controle_Financeiro_2026.xlsx]Lançamentos'!$H:$H,'[Controle_Financeiro_2026.xlsx]Lançamentos'!$F:$F,"Pagar.me (boleto)",'[Controle_Financeiro_2026.xlsx]Lançamentos'!$B:$B,4,'[Controle_Financeiro_2026.xlsx]Lançamentos'!$C:$C,2026,'[Controle_Financeiro_2026.xlsx]Lançamentos'!$D:$D,"Studio",'[Controle_Financeiro_2026.xlsx]Lançamentos'!$G:$G,"Despesa")</f>
        <v/>
      </c>
      <c r="F36" s="4">
        <f>SUMIFS('[Controle_Financeiro_2026.xlsx]Lançamentos'!$H:$H,'[Controle_Financeiro_2026.xlsx]Lançamentos'!$F:$F,"Pagar.me (boleto)",'[Controle_Financeiro_2026.xlsx]Lançamentos'!$B:$B,5,'[Controle_Financeiro_2026.xlsx]Lançamentos'!$C:$C,2026,'[Controle_Financeiro_2026.xlsx]Lançamentos'!$D:$D,"Studio",'[Controle_Financeiro_2026.xlsx]Lançamentos'!$G:$G,"Despesa")</f>
        <v/>
      </c>
      <c r="G36" s="4">
        <f>SUMIFS('[Controle_Financeiro_2026.xlsx]Lançamentos'!$H:$H,'[Controle_Financeiro_2026.xlsx]Lançamentos'!$F:$F,"Pagar.me (boleto)",'[Controle_Financeiro_2026.xlsx]Lançamentos'!$B:$B,6,'[Controle_Financeiro_2026.xlsx]Lançamentos'!$C:$C,2026,'[Controle_Financeiro_2026.xlsx]Lançamentos'!$D:$D,"Studio",'[Controle_Financeiro_2026.xlsx]Lançamentos'!$G:$G,"Despesa")</f>
        <v/>
      </c>
      <c r="H36" s="5">
        <f>IFERROR(AVERAGEIF(B36:G36,"&lt;&gt;0"),0)</f>
        <v/>
      </c>
      <c r="I36" s="5">
        <f>IFERROR(AVERAGEIF(B36:G36,"&lt;&gt;0"),0)</f>
        <v/>
      </c>
      <c r="J36" s="5">
        <f>IFERROR(AVERAGEIF(B36:G36,"&lt;&gt;0"),0)</f>
        <v/>
      </c>
      <c r="K36" s="5">
        <f>IFERROR(AVERAGEIF(B36:G36,"&lt;&gt;0"),0)</f>
        <v/>
      </c>
      <c r="L36" s="5">
        <f>IFERROR(AVERAGEIF(B36:G36,"&lt;&gt;0"),0)</f>
        <v/>
      </c>
      <c r="M36" s="5">
        <f>IFERROR(AVERAGEIF(B36:G36,"&lt;&gt;0"),0)</f>
        <v/>
      </c>
      <c r="N36" s="6">
        <f>SUM(B36:M36)</f>
        <v/>
      </c>
      <c r="O36" t="inlineStr">
        <is>
          <t>—</t>
        </is>
      </c>
    </row>
    <row r="37"/>
    <row r="38">
      <c r="A38" s="13" t="inlineStr">
        <is>
          <t>(-) Outros Studio (Cartões/Pagamentos)</t>
        </is>
      </c>
      <c r="B38" s="12">
        <f>B39+B40+B41+B42</f>
        <v/>
      </c>
      <c r="C38" s="12">
        <f>C39+C40+C41+C42</f>
        <v/>
      </c>
      <c r="D38" s="12">
        <f>D39+D40+D41+D42</f>
        <v/>
      </c>
      <c r="E38" s="12">
        <f>E39+E40+E41+E42</f>
        <v/>
      </c>
      <c r="F38" s="12">
        <f>F39+F40+F41+F42</f>
        <v/>
      </c>
      <c r="G38" s="12">
        <f>G39+G40+G41+G42</f>
        <v/>
      </c>
      <c r="H38" s="12">
        <f>H39+H40+H41+H42</f>
        <v/>
      </c>
      <c r="I38" s="12">
        <f>I39+I40+I41+I42</f>
        <v/>
      </c>
      <c r="J38" s="12">
        <f>J39+J40+J41+J42</f>
        <v/>
      </c>
      <c r="K38" s="12">
        <f>K39+K40+K41+K42</f>
        <v/>
      </c>
      <c r="L38" s="12">
        <f>L39+L40+L41+L42</f>
        <v/>
      </c>
      <c r="M38" s="12">
        <f>M39+M40+M41+M42</f>
        <v/>
      </c>
      <c r="N38" s="12">
        <f>SUM(B38:M38)</f>
        <v/>
      </c>
      <c r="O38" s="15">
        <f>IFERROR(N38/N3,0)</f>
        <v/>
      </c>
    </row>
    <row r="39">
      <c r="A39" s="14" t="inlineStr">
        <is>
          <t xml:space="preserve">  Pagamento Cartão Bradesco</t>
        </is>
      </c>
      <c r="B39" s="4">
        <f>SUMIFS('[Controle_Financeiro_2026.xlsx]Lançamentos'!$H:$H,'[Controle_Financeiro_2026.xlsx]Lançamentos'!$F:$F,"Pagamento Cartão Bradesco",'[Controle_Financeiro_2026.xlsx]Lançamentos'!$B:$B,1,'[Controle_Financeiro_2026.xlsx]Lançamentos'!$C:$C,2026,'[Controle_Financeiro_2026.xlsx]Lançamentos'!$D:$D,"Studio",'[Controle_Financeiro_2026.xlsx]Lançamentos'!$G:$G,"Despesa")</f>
        <v/>
      </c>
      <c r="C39" s="4">
        <f>SUMIFS('[Controle_Financeiro_2026.xlsx]Lançamentos'!$H:$H,'[Controle_Financeiro_2026.xlsx]Lançamentos'!$F:$F,"Pagamento Cartão Bradesco",'[Controle_Financeiro_2026.xlsx]Lançamentos'!$B:$B,2,'[Controle_Financeiro_2026.xlsx]Lançamentos'!$C:$C,2026,'[Controle_Financeiro_2026.xlsx]Lançamentos'!$D:$D,"Studio",'[Controle_Financeiro_2026.xlsx]Lançamentos'!$G:$G,"Despesa")</f>
        <v/>
      </c>
      <c r="D39" s="4">
        <f>SUMIFS('[Controle_Financeiro_2026.xlsx]Lançamentos'!$H:$H,'[Controle_Financeiro_2026.xlsx]Lançamentos'!$F:$F,"Pagamento Cartão Bradesco",'[Controle_Financeiro_2026.xlsx]Lançamentos'!$B:$B,3,'[Controle_Financeiro_2026.xlsx]Lançamentos'!$C:$C,2026,'[Controle_Financeiro_2026.xlsx]Lançamentos'!$D:$D,"Studio",'[Controle_Financeiro_2026.xlsx]Lançamentos'!$G:$G,"Despesa")</f>
        <v/>
      </c>
      <c r="E39" s="4">
        <f>SUMIFS('[Controle_Financeiro_2026.xlsx]Lançamentos'!$H:$H,'[Controle_Financeiro_2026.xlsx]Lançamentos'!$F:$F,"Pagamento Cartão Bradesco",'[Controle_Financeiro_2026.xlsx]Lançamentos'!$B:$B,4,'[Controle_Financeiro_2026.xlsx]Lançamentos'!$C:$C,2026,'[Controle_Financeiro_2026.xlsx]Lançamentos'!$D:$D,"Studio",'[Controle_Financeiro_2026.xlsx]Lançamentos'!$G:$G,"Despesa")</f>
        <v/>
      </c>
      <c r="F39" s="4">
        <f>SUMIFS('[Controle_Financeiro_2026.xlsx]Lançamentos'!$H:$H,'[Controle_Financeiro_2026.xlsx]Lançamentos'!$F:$F,"Pagamento Cartão Bradesco",'[Controle_Financeiro_2026.xlsx]Lançamentos'!$B:$B,5,'[Controle_Financeiro_2026.xlsx]Lançamentos'!$C:$C,2026,'[Controle_Financeiro_2026.xlsx]Lançamentos'!$D:$D,"Studio",'[Controle_Financeiro_2026.xlsx]Lançamentos'!$G:$G,"Despesa")</f>
        <v/>
      </c>
      <c r="G39" s="4">
        <f>SUMIFS('[Controle_Financeiro_2026.xlsx]Lançamentos'!$H:$H,'[Controle_Financeiro_2026.xlsx]Lançamentos'!$F:$F,"Pagamento Cartão Bradesco",'[Controle_Financeiro_2026.xlsx]Lançamentos'!$B:$B,6,'[Controle_Financeiro_2026.xlsx]Lançamentos'!$C:$C,2026,'[Controle_Financeiro_2026.xlsx]Lançamentos'!$D:$D,"Studio",'[Controle_Financeiro_2026.xlsx]Lançamentos'!$G:$G,"Despesa")</f>
        <v/>
      </c>
      <c r="H39" s="5">
        <f>IFERROR(AVERAGEIF(B39:G39,"&lt;&gt;0"),0)</f>
        <v/>
      </c>
      <c r="I39" s="5">
        <f>IFERROR(AVERAGEIF(B39:G39,"&lt;&gt;0"),0)</f>
        <v/>
      </c>
      <c r="J39" s="5">
        <f>IFERROR(AVERAGEIF(B39:G39,"&lt;&gt;0"),0)</f>
        <v/>
      </c>
      <c r="K39" s="5">
        <f>IFERROR(AVERAGEIF(B39:G39,"&lt;&gt;0"),0)</f>
        <v/>
      </c>
      <c r="L39" s="5">
        <f>IFERROR(AVERAGEIF(B39:G39,"&lt;&gt;0"),0)</f>
        <v/>
      </c>
      <c r="M39" s="5">
        <f>IFERROR(AVERAGEIF(B39:G39,"&lt;&gt;0"),0)</f>
        <v/>
      </c>
      <c r="N39" s="6">
        <f>SUM(B39:M39)</f>
        <v/>
      </c>
      <c r="O39" t="inlineStr">
        <is>
          <t>—</t>
        </is>
      </c>
    </row>
    <row r="40">
      <c r="A40" s="14" t="inlineStr">
        <is>
          <t xml:space="preserve">  Pagamento Cartão Carrefour</t>
        </is>
      </c>
      <c r="B40" s="4">
        <f>SUMIFS('[Controle_Financeiro_2026.xlsx]Lançamentos'!$H:$H,'[Controle_Financeiro_2026.xlsx]Lançamentos'!$F:$F,"Pagamento Cartão Carrefour",'[Controle_Financeiro_2026.xlsx]Lançamentos'!$B:$B,1,'[Controle_Financeiro_2026.xlsx]Lançamentos'!$C:$C,2026,'[Controle_Financeiro_2026.xlsx]Lançamentos'!$D:$D,"Studio",'[Controle_Financeiro_2026.xlsx]Lançamentos'!$G:$G,"Despesa")</f>
        <v/>
      </c>
      <c r="C40" s="4">
        <f>SUMIFS('[Controle_Financeiro_2026.xlsx]Lançamentos'!$H:$H,'[Controle_Financeiro_2026.xlsx]Lançamentos'!$F:$F,"Pagamento Cartão Carrefour",'[Controle_Financeiro_2026.xlsx]Lançamentos'!$B:$B,2,'[Controle_Financeiro_2026.xlsx]Lançamentos'!$C:$C,2026,'[Controle_Financeiro_2026.xlsx]Lançamentos'!$D:$D,"Studio",'[Controle_Financeiro_2026.xlsx]Lançamentos'!$G:$G,"Despesa")</f>
        <v/>
      </c>
      <c r="D40" s="4">
        <f>SUMIFS('[Controle_Financeiro_2026.xlsx]Lançamentos'!$H:$H,'[Controle_Financeiro_2026.xlsx]Lançamentos'!$F:$F,"Pagamento Cartão Carrefour",'[Controle_Financeiro_2026.xlsx]Lançamentos'!$B:$B,3,'[Controle_Financeiro_2026.xlsx]Lançamentos'!$C:$C,2026,'[Controle_Financeiro_2026.xlsx]Lançamentos'!$D:$D,"Studio",'[Controle_Financeiro_2026.xlsx]Lançamentos'!$G:$G,"Despesa")</f>
        <v/>
      </c>
      <c r="E40" s="4">
        <f>SUMIFS('[Controle_Financeiro_2026.xlsx]Lançamentos'!$H:$H,'[Controle_Financeiro_2026.xlsx]Lançamentos'!$F:$F,"Pagamento Cartão Carrefour",'[Controle_Financeiro_2026.xlsx]Lançamentos'!$B:$B,4,'[Controle_Financeiro_2026.xlsx]Lançamentos'!$C:$C,2026,'[Controle_Financeiro_2026.xlsx]Lançamentos'!$D:$D,"Studio",'[Controle_Financeiro_2026.xlsx]Lançamentos'!$G:$G,"Despesa")</f>
        <v/>
      </c>
      <c r="F40" s="4">
        <f>SUMIFS('[Controle_Financeiro_2026.xlsx]Lançamentos'!$H:$H,'[Controle_Financeiro_2026.xlsx]Lançamentos'!$F:$F,"Pagamento Cartão Carrefour",'[Controle_Financeiro_2026.xlsx]Lançamentos'!$B:$B,5,'[Controle_Financeiro_2026.xlsx]Lançamentos'!$C:$C,2026,'[Controle_Financeiro_2026.xlsx]Lançamentos'!$D:$D,"Studio",'[Controle_Financeiro_2026.xlsx]Lançamentos'!$G:$G,"Despesa")</f>
        <v/>
      </c>
      <c r="G40" s="4">
        <f>SUMIFS('[Controle_Financeiro_2026.xlsx]Lançamentos'!$H:$H,'[Controle_Financeiro_2026.xlsx]Lançamentos'!$F:$F,"Pagamento Cartão Carrefour",'[Controle_Financeiro_2026.xlsx]Lançamentos'!$B:$B,6,'[Controle_Financeiro_2026.xlsx]Lançamentos'!$C:$C,2026,'[Controle_Financeiro_2026.xlsx]Lançamentos'!$D:$D,"Studio",'[Controle_Financeiro_2026.xlsx]Lançamentos'!$G:$G,"Despesa")</f>
        <v/>
      </c>
      <c r="H40" s="5">
        <f>IFERROR(AVERAGEIF(B40:G40,"&lt;&gt;0"),0)</f>
        <v/>
      </c>
      <c r="I40" s="5">
        <f>IFERROR(AVERAGEIF(B40:G40,"&lt;&gt;0"),0)</f>
        <v/>
      </c>
      <c r="J40" s="5">
        <f>IFERROR(AVERAGEIF(B40:G40,"&lt;&gt;0"),0)</f>
        <v/>
      </c>
      <c r="K40" s="5">
        <f>IFERROR(AVERAGEIF(B40:G40,"&lt;&gt;0"),0)</f>
        <v/>
      </c>
      <c r="L40" s="5">
        <f>IFERROR(AVERAGEIF(B40:G40,"&lt;&gt;0"),0)</f>
        <v/>
      </c>
      <c r="M40" s="5">
        <f>IFERROR(AVERAGEIF(B40:G40,"&lt;&gt;0"),0)</f>
        <v/>
      </c>
      <c r="N40" s="6">
        <f>SUM(B40:M40)</f>
        <v/>
      </c>
      <c r="O40" t="inlineStr">
        <is>
          <t>—</t>
        </is>
      </c>
    </row>
    <row r="41">
      <c r="A41" s="14" t="inlineStr">
        <is>
          <t xml:space="preserve">  Pagamento Cartão Nubank</t>
        </is>
      </c>
      <c r="B41" s="4">
        <f>SUMIFS('[Controle_Financeiro_2026.xlsx]Lançamentos'!$H:$H,'[Controle_Financeiro_2026.xlsx]Lançamentos'!$F:$F,"Pagamento Cartão Nubank",'[Controle_Financeiro_2026.xlsx]Lançamentos'!$B:$B,1,'[Controle_Financeiro_2026.xlsx]Lançamentos'!$C:$C,2026,'[Controle_Financeiro_2026.xlsx]Lançamentos'!$D:$D,"Studio",'[Controle_Financeiro_2026.xlsx]Lançamentos'!$G:$G,"Despesa")</f>
        <v/>
      </c>
      <c r="C41" s="4">
        <f>SUMIFS('[Controle_Financeiro_2026.xlsx]Lançamentos'!$H:$H,'[Controle_Financeiro_2026.xlsx]Lançamentos'!$F:$F,"Pagamento Cartão Nubank",'[Controle_Financeiro_2026.xlsx]Lançamentos'!$B:$B,2,'[Controle_Financeiro_2026.xlsx]Lançamentos'!$C:$C,2026,'[Controle_Financeiro_2026.xlsx]Lançamentos'!$D:$D,"Studio",'[Controle_Financeiro_2026.xlsx]Lançamentos'!$G:$G,"Despesa")</f>
        <v/>
      </c>
      <c r="D41" s="4">
        <f>SUMIFS('[Controle_Financeiro_2026.xlsx]Lançamentos'!$H:$H,'[Controle_Financeiro_2026.xlsx]Lançamentos'!$F:$F,"Pagamento Cartão Nubank",'[Controle_Financeiro_2026.xlsx]Lançamentos'!$B:$B,3,'[Controle_Financeiro_2026.xlsx]Lançamentos'!$C:$C,2026,'[Controle_Financeiro_2026.xlsx]Lançamentos'!$D:$D,"Studio",'[Controle_Financeiro_2026.xlsx]Lançamentos'!$G:$G,"Despesa")</f>
        <v/>
      </c>
      <c r="E41" s="4">
        <f>SUMIFS('[Controle_Financeiro_2026.xlsx]Lançamentos'!$H:$H,'[Controle_Financeiro_2026.xlsx]Lançamentos'!$F:$F,"Pagamento Cartão Nubank",'[Controle_Financeiro_2026.xlsx]Lançamentos'!$B:$B,4,'[Controle_Financeiro_2026.xlsx]Lançamentos'!$C:$C,2026,'[Controle_Financeiro_2026.xlsx]Lançamentos'!$D:$D,"Studio",'[Controle_Financeiro_2026.xlsx]Lançamentos'!$G:$G,"Despesa")</f>
        <v/>
      </c>
      <c r="F41" s="4">
        <f>SUMIFS('[Controle_Financeiro_2026.xlsx]Lançamentos'!$H:$H,'[Controle_Financeiro_2026.xlsx]Lançamentos'!$F:$F,"Pagamento Cartão Nubank",'[Controle_Financeiro_2026.xlsx]Lançamentos'!$B:$B,5,'[Controle_Financeiro_2026.xlsx]Lançamentos'!$C:$C,2026,'[Controle_Financeiro_2026.xlsx]Lançamentos'!$D:$D,"Studio",'[Controle_Financeiro_2026.xlsx]Lançamentos'!$G:$G,"Despesa")</f>
        <v/>
      </c>
      <c r="G41" s="4">
        <f>SUMIFS('[Controle_Financeiro_2026.xlsx]Lançamentos'!$H:$H,'[Controle_Financeiro_2026.xlsx]Lançamentos'!$F:$F,"Pagamento Cartão Nubank",'[Controle_Financeiro_2026.xlsx]Lançamentos'!$B:$B,6,'[Controle_Financeiro_2026.xlsx]Lançamentos'!$C:$C,2026,'[Controle_Financeiro_2026.xlsx]Lançamentos'!$D:$D,"Studio",'[Controle_Financeiro_2026.xlsx]Lançamentos'!$G:$G,"Despesa")</f>
        <v/>
      </c>
      <c r="H41" s="5">
        <f>IFERROR(AVERAGEIF(B41:G41,"&lt;&gt;0"),0)</f>
        <v/>
      </c>
      <c r="I41" s="5">
        <f>IFERROR(AVERAGEIF(B41:G41,"&lt;&gt;0"),0)</f>
        <v/>
      </c>
      <c r="J41" s="5">
        <f>IFERROR(AVERAGEIF(B41:G41,"&lt;&gt;0"),0)</f>
        <v/>
      </c>
      <c r="K41" s="5">
        <f>IFERROR(AVERAGEIF(B41:G41,"&lt;&gt;0"),0)</f>
        <v/>
      </c>
      <c r="L41" s="5">
        <f>IFERROR(AVERAGEIF(B41:G41,"&lt;&gt;0"),0)</f>
        <v/>
      </c>
      <c r="M41" s="5">
        <f>IFERROR(AVERAGEIF(B41:G41,"&lt;&gt;0"),0)</f>
        <v/>
      </c>
      <c r="N41" s="6">
        <f>SUM(B41:M41)</f>
        <v/>
      </c>
      <c r="O41" t="inlineStr">
        <is>
          <t>—</t>
        </is>
      </c>
    </row>
    <row r="42">
      <c r="A42" s="14" t="inlineStr">
        <is>
          <t xml:space="preserve">  Pagamento Cartão Santander</t>
        </is>
      </c>
      <c r="B42" s="4">
        <f>SUMIFS('[Controle_Financeiro_2026.xlsx]Lançamentos'!$H:$H,'[Controle_Financeiro_2026.xlsx]Lançamentos'!$F:$F,"Pagamento Cartão Santander",'[Controle_Financeiro_2026.xlsx]Lançamentos'!$B:$B,1,'[Controle_Financeiro_2026.xlsx]Lançamentos'!$C:$C,2026,'[Controle_Financeiro_2026.xlsx]Lançamentos'!$D:$D,"Studio",'[Controle_Financeiro_2026.xlsx]Lançamentos'!$G:$G,"Despesa")</f>
        <v/>
      </c>
      <c r="C42" s="4">
        <f>SUMIFS('[Controle_Financeiro_2026.xlsx]Lançamentos'!$H:$H,'[Controle_Financeiro_2026.xlsx]Lançamentos'!$F:$F,"Pagamento Cartão Santander",'[Controle_Financeiro_2026.xlsx]Lançamentos'!$B:$B,2,'[Controle_Financeiro_2026.xlsx]Lançamentos'!$C:$C,2026,'[Controle_Financeiro_2026.xlsx]Lançamentos'!$D:$D,"Studio",'[Controle_Financeiro_2026.xlsx]Lançamentos'!$G:$G,"Despesa")</f>
        <v/>
      </c>
      <c r="D42" s="4">
        <f>SUMIFS('[Controle_Financeiro_2026.xlsx]Lançamentos'!$H:$H,'[Controle_Financeiro_2026.xlsx]Lançamentos'!$F:$F,"Pagamento Cartão Santander",'[Controle_Financeiro_2026.xlsx]Lançamentos'!$B:$B,3,'[Controle_Financeiro_2026.xlsx]Lançamentos'!$C:$C,2026,'[Controle_Financeiro_2026.xlsx]Lançamentos'!$D:$D,"Studio",'[Controle_Financeiro_2026.xlsx]Lançamentos'!$G:$G,"Despesa")</f>
        <v/>
      </c>
      <c r="E42" s="4">
        <f>SUMIFS('[Controle_Financeiro_2026.xlsx]Lançamentos'!$H:$H,'[Controle_Financeiro_2026.xlsx]Lançamentos'!$F:$F,"Pagamento Cartão Santander",'[Controle_Financeiro_2026.xlsx]Lançamentos'!$B:$B,4,'[Controle_Financeiro_2026.xlsx]Lançamentos'!$C:$C,2026,'[Controle_Financeiro_2026.xlsx]Lançamentos'!$D:$D,"Studio",'[Controle_Financeiro_2026.xlsx]Lançamentos'!$G:$G,"Despesa")</f>
        <v/>
      </c>
      <c r="F42" s="4">
        <f>SUMIFS('[Controle_Financeiro_2026.xlsx]Lançamentos'!$H:$H,'[Controle_Financeiro_2026.xlsx]Lançamentos'!$F:$F,"Pagamento Cartão Santander",'[Controle_Financeiro_2026.xlsx]Lançamentos'!$B:$B,5,'[Controle_Financeiro_2026.xlsx]Lançamentos'!$C:$C,2026,'[Controle_Financeiro_2026.xlsx]Lançamentos'!$D:$D,"Studio",'[Controle_Financeiro_2026.xlsx]Lançamentos'!$G:$G,"Despesa")</f>
        <v/>
      </c>
      <c r="G42" s="4">
        <f>SUMIFS('[Controle_Financeiro_2026.xlsx]Lançamentos'!$H:$H,'[Controle_Financeiro_2026.xlsx]Lançamentos'!$F:$F,"Pagamento Cartão Santander",'[Controle_Financeiro_2026.xlsx]Lançamentos'!$B:$B,6,'[Controle_Financeiro_2026.xlsx]Lançamentos'!$C:$C,2026,'[Controle_Financeiro_2026.xlsx]Lançamentos'!$D:$D,"Studio",'[Controle_Financeiro_2026.xlsx]Lançamentos'!$G:$G,"Despesa")</f>
        <v/>
      </c>
      <c r="H42" s="5">
        <f>IFERROR(AVERAGEIF(B42:G42,"&lt;&gt;0"),0)</f>
        <v/>
      </c>
      <c r="I42" s="5">
        <f>IFERROR(AVERAGEIF(B42:G42,"&lt;&gt;0"),0)</f>
        <v/>
      </c>
      <c r="J42" s="5">
        <f>IFERROR(AVERAGEIF(B42:G42,"&lt;&gt;0"),0)</f>
        <v/>
      </c>
      <c r="K42" s="5">
        <f>IFERROR(AVERAGEIF(B42:G42,"&lt;&gt;0"),0)</f>
        <v/>
      </c>
      <c r="L42" s="5">
        <f>IFERROR(AVERAGEIF(B42:G42,"&lt;&gt;0"),0)</f>
        <v/>
      </c>
      <c r="M42" s="5">
        <f>IFERROR(AVERAGEIF(B42:G42,"&lt;&gt;0"),0)</f>
        <v/>
      </c>
      <c r="N42" s="6">
        <f>SUM(B42:M42)</f>
        <v/>
      </c>
      <c r="O42" t="inlineStr">
        <is>
          <t>—</t>
        </is>
      </c>
    </row>
    <row r="43"/>
    <row r="44">
      <c r="A44" s="13" t="inlineStr">
        <is>
          <t>(=) RESULTADO OPERACIONAL</t>
        </is>
      </c>
      <c r="B44" s="12">
        <f>B24+B26+B32+B38</f>
        <v/>
      </c>
      <c r="C44" s="12">
        <f>C24+C26+C32+C38</f>
        <v/>
      </c>
      <c r="D44" s="12">
        <f>D24+D26+D32+D38</f>
        <v/>
      </c>
      <c r="E44" s="12">
        <f>E24+E26+E32+E38</f>
        <v/>
      </c>
      <c r="F44" s="12">
        <f>F24+F26+F32+F38</f>
        <v/>
      </c>
      <c r="G44" s="12">
        <f>G24+G26+G32+G38</f>
        <v/>
      </c>
      <c r="H44" s="12">
        <f>H24+H26+H32+H38</f>
        <v/>
      </c>
      <c r="I44" s="12">
        <f>I24+I26+I32+I38</f>
        <v/>
      </c>
      <c r="J44" s="12">
        <f>J24+J26+J32+J38</f>
        <v/>
      </c>
      <c r="K44" s="12">
        <f>K24+K26+K32+K38</f>
        <v/>
      </c>
      <c r="L44" s="12">
        <f>L24+L26+L32+L38</f>
        <v/>
      </c>
      <c r="M44" s="12">
        <f>M24+M26+M32+M38</f>
        <v/>
      </c>
      <c r="N44" s="12">
        <f>SUM(B44:M44)</f>
        <v/>
      </c>
    </row>
    <row r="45"/>
    <row r="46">
      <c r="A46" s="13" t="inlineStr">
        <is>
          <t>(-) Retiradas / Pró-labore</t>
        </is>
      </c>
      <c r="B46" s="12">
        <f>B47+B48</f>
        <v/>
      </c>
      <c r="C46" s="12">
        <f>C47+C48</f>
        <v/>
      </c>
      <c r="D46" s="12">
        <f>D47+D48</f>
        <v/>
      </c>
      <c r="E46" s="12">
        <f>E47+E48</f>
        <v/>
      </c>
      <c r="F46" s="12">
        <f>F47+F48</f>
        <v/>
      </c>
      <c r="G46" s="12">
        <f>G47+G48</f>
        <v/>
      </c>
      <c r="H46" s="12">
        <f>H47+H48</f>
        <v/>
      </c>
      <c r="I46" s="12">
        <f>I47+I48</f>
        <v/>
      </c>
      <c r="J46" s="12">
        <f>J47+J48</f>
        <v/>
      </c>
      <c r="K46" s="12">
        <f>K47+K48</f>
        <v/>
      </c>
      <c r="L46" s="12">
        <f>L47+L48</f>
        <v/>
      </c>
      <c r="M46" s="12">
        <f>M47+M48</f>
        <v/>
      </c>
      <c r="N46" s="12">
        <f>SUM(B46:M46)</f>
        <v/>
      </c>
      <c r="O46" s="15">
        <f>IFERROR(N46/N3,0)</f>
        <v/>
      </c>
    </row>
    <row r="47">
      <c r="A47" s="14" t="inlineStr">
        <is>
          <t xml:space="preserve">  Bruno Luiz (familiar)</t>
        </is>
      </c>
      <c r="B47" s="4">
        <f>SUMIFS('[Controle_Financeiro_2026.xlsx]Lançamentos'!$H:$H,'[Controle_Financeiro_2026.xlsx]Lançamentos'!$F:$F,"Bruno Luiz (familiar)",'[Controle_Financeiro_2026.xlsx]Lançamentos'!$B:$B,1,'[Controle_Financeiro_2026.xlsx]Lançamentos'!$C:$C,2026,'[Controle_Financeiro_2026.xlsx]Lançamentos'!$D:$D,"Geral",'[Controle_Financeiro_2026.xlsx]Lançamentos'!$G:$G,"Despesa")</f>
        <v/>
      </c>
      <c r="C47" s="4">
        <f>SUMIFS('[Controle_Financeiro_2026.xlsx]Lançamentos'!$H:$H,'[Controle_Financeiro_2026.xlsx]Lançamentos'!$F:$F,"Bruno Luiz (familiar)",'[Controle_Financeiro_2026.xlsx]Lançamentos'!$B:$B,2,'[Controle_Financeiro_2026.xlsx]Lançamentos'!$C:$C,2026,'[Controle_Financeiro_2026.xlsx]Lançamentos'!$D:$D,"Geral",'[Controle_Financeiro_2026.xlsx]Lançamentos'!$G:$G,"Despesa")</f>
        <v/>
      </c>
      <c r="D47" s="4">
        <f>SUMIFS('[Controle_Financeiro_2026.xlsx]Lançamentos'!$H:$H,'[Controle_Financeiro_2026.xlsx]Lançamentos'!$F:$F,"Bruno Luiz (familiar)",'[Controle_Financeiro_2026.xlsx]Lançamentos'!$B:$B,3,'[Controle_Financeiro_2026.xlsx]Lançamentos'!$C:$C,2026,'[Controle_Financeiro_2026.xlsx]Lançamentos'!$D:$D,"Geral",'[Controle_Financeiro_2026.xlsx]Lançamentos'!$G:$G,"Despesa")</f>
        <v/>
      </c>
      <c r="E47" s="4">
        <f>SUMIFS('[Controle_Financeiro_2026.xlsx]Lançamentos'!$H:$H,'[Controle_Financeiro_2026.xlsx]Lançamentos'!$F:$F,"Bruno Luiz (familiar)",'[Controle_Financeiro_2026.xlsx]Lançamentos'!$B:$B,4,'[Controle_Financeiro_2026.xlsx]Lançamentos'!$C:$C,2026,'[Controle_Financeiro_2026.xlsx]Lançamentos'!$D:$D,"Geral",'[Controle_Financeiro_2026.xlsx]Lançamentos'!$G:$G,"Despesa")</f>
        <v/>
      </c>
      <c r="F47" s="4">
        <f>SUMIFS('[Controle_Financeiro_2026.xlsx]Lançamentos'!$H:$H,'[Controle_Financeiro_2026.xlsx]Lançamentos'!$F:$F,"Bruno Luiz (familiar)",'[Controle_Financeiro_2026.xlsx]Lançamentos'!$B:$B,5,'[Controle_Financeiro_2026.xlsx]Lançamentos'!$C:$C,2026,'[Controle_Financeiro_2026.xlsx]Lançamentos'!$D:$D,"Geral",'[Controle_Financeiro_2026.xlsx]Lançamentos'!$G:$G,"Despesa")</f>
        <v/>
      </c>
      <c r="G47" s="4">
        <f>SUMIFS('[Controle_Financeiro_2026.xlsx]Lançamentos'!$H:$H,'[Controle_Financeiro_2026.xlsx]Lançamentos'!$F:$F,"Bruno Luiz (familiar)",'[Controle_Financeiro_2026.xlsx]Lançamentos'!$B:$B,6,'[Controle_Financeiro_2026.xlsx]Lançamentos'!$C:$C,2026,'[Controle_Financeiro_2026.xlsx]Lançamentos'!$D:$D,"Geral",'[Controle_Financeiro_2026.xlsx]Lançamentos'!$G:$G,"Despesa")</f>
        <v/>
      </c>
      <c r="H47" s="5">
        <f>IFERROR(AVERAGEIF(B47:G47,"&lt;&gt;0"),0)</f>
        <v/>
      </c>
      <c r="I47" s="5">
        <f>IFERROR(AVERAGEIF(B47:G47,"&lt;&gt;0"),0)</f>
        <v/>
      </c>
      <c r="J47" s="5">
        <f>IFERROR(AVERAGEIF(B47:G47,"&lt;&gt;0"),0)</f>
        <v/>
      </c>
      <c r="K47" s="5">
        <f>IFERROR(AVERAGEIF(B47:G47,"&lt;&gt;0"),0)</f>
        <v/>
      </c>
      <c r="L47" s="5">
        <f>IFERROR(AVERAGEIF(B47:G47,"&lt;&gt;0"),0)</f>
        <v/>
      </c>
      <c r="M47" s="5">
        <f>IFERROR(AVERAGEIF(B47:G47,"&lt;&gt;0"),0)</f>
        <v/>
      </c>
      <c r="N47" s="6">
        <f>SUM(B47:M47)</f>
        <v/>
      </c>
      <c r="O47" t="inlineStr">
        <is>
          <t>—</t>
        </is>
      </c>
    </row>
    <row r="48">
      <c r="A48" s="14" t="inlineStr">
        <is>
          <t xml:space="preserve">  Pix Bruno→Denise (pessoal)</t>
        </is>
      </c>
      <c r="B48" s="4">
        <f>SUMIFS('[Controle_Financeiro_2026.xlsx]Lançamentos'!$H:$H,'[Controle_Financeiro_2026.xlsx]Lançamentos'!$F:$F,"Pix Bruno→Denise",'[Controle_Financeiro_2026.xlsx]Lançamentos'!$B:$B,1,'[Controle_Financeiro_2026.xlsx]Lançamentos'!$C:$C,2026,'[Controle_Financeiro_2026.xlsx]Lançamentos'!$D:$D,"Geral",'[Controle_Financeiro_2026.xlsx]Lançamentos'!$G:$G,"Despesa")</f>
        <v/>
      </c>
      <c r="C48" s="4">
        <f>SUMIFS('[Controle_Financeiro_2026.xlsx]Lançamentos'!$H:$H,'[Controle_Financeiro_2026.xlsx]Lançamentos'!$F:$F,"Pix Bruno→Denise",'[Controle_Financeiro_2026.xlsx]Lançamentos'!$B:$B,2,'[Controle_Financeiro_2026.xlsx]Lançamentos'!$C:$C,2026,'[Controle_Financeiro_2026.xlsx]Lançamentos'!$D:$D,"Geral",'[Controle_Financeiro_2026.xlsx]Lançamentos'!$G:$G,"Despesa")</f>
        <v/>
      </c>
      <c r="D48" s="4">
        <f>SUMIFS('[Controle_Financeiro_2026.xlsx]Lançamentos'!$H:$H,'[Controle_Financeiro_2026.xlsx]Lançamentos'!$F:$F,"Pix Bruno→Denise",'[Controle_Financeiro_2026.xlsx]Lançamentos'!$B:$B,3,'[Controle_Financeiro_2026.xlsx]Lançamentos'!$C:$C,2026,'[Controle_Financeiro_2026.xlsx]Lançamentos'!$D:$D,"Geral",'[Controle_Financeiro_2026.xlsx]Lançamentos'!$G:$G,"Despesa")</f>
        <v/>
      </c>
      <c r="E48" s="4">
        <f>SUMIFS('[Controle_Financeiro_2026.xlsx]Lançamentos'!$H:$H,'[Controle_Financeiro_2026.xlsx]Lançamentos'!$F:$F,"Pix Bruno→Denise",'[Controle_Financeiro_2026.xlsx]Lançamentos'!$B:$B,4,'[Controle_Financeiro_2026.xlsx]Lançamentos'!$C:$C,2026,'[Controle_Financeiro_2026.xlsx]Lançamentos'!$D:$D,"Geral",'[Controle_Financeiro_2026.xlsx]Lançamentos'!$G:$G,"Despesa")</f>
        <v/>
      </c>
      <c r="F48" s="4">
        <f>SUMIFS('[Controle_Financeiro_2026.xlsx]Lançamentos'!$H:$H,'[Controle_Financeiro_2026.xlsx]Lançamentos'!$F:$F,"Pix Bruno→Denise",'[Controle_Financeiro_2026.xlsx]Lançamentos'!$B:$B,5,'[Controle_Financeiro_2026.xlsx]Lançamentos'!$C:$C,2026,'[Controle_Financeiro_2026.xlsx]Lançamentos'!$D:$D,"Geral",'[Controle_Financeiro_2026.xlsx]Lançamentos'!$G:$G,"Despesa")</f>
        <v/>
      </c>
      <c r="G48" s="4">
        <f>SUMIFS('[Controle_Financeiro_2026.xlsx]Lançamentos'!$H:$H,'[Controle_Financeiro_2026.xlsx]Lançamentos'!$F:$F,"Pix Bruno→Denise",'[Controle_Financeiro_2026.xlsx]Lançamentos'!$B:$B,6,'[Controle_Financeiro_2026.xlsx]Lançamentos'!$C:$C,2026,'[Controle_Financeiro_2026.xlsx]Lançamentos'!$D:$D,"Geral",'[Controle_Financeiro_2026.xlsx]Lançamentos'!$G:$G,"Despesa")</f>
        <v/>
      </c>
      <c r="H48" s="5">
        <f>IFERROR(AVERAGEIF(B48:G48,"&lt;&gt;0"),0)</f>
        <v/>
      </c>
      <c r="I48" s="5">
        <f>IFERROR(AVERAGEIF(B48:G48,"&lt;&gt;0"),0)</f>
        <v/>
      </c>
      <c r="J48" s="5">
        <f>IFERROR(AVERAGEIF(B48:G48,"&lt;&gt;0"),0)</f>
        <v/>
      </c>
      <c r="K48" s="5">
        <f>IFERROR(AVERAGEIF(B48:G48,"&lt;&gt;0"),0)</f>
        <v/>
      </c>
      <c r="L48" s="5">
        <f>IFERROR(AVERAGEIF(B48:G48,"&lt;&gt;0"),0)</f>
        <v/>
      </c>
      <c r="M48" s="5">
        <f>IFERROR(AVERAGEIF(B48:G48,"&lt;&gt;0"),0)</f>
        <v/>
      </c>
      <c r="N48" s="6">
        <f>SUM(B48:M48)</f>
        <v/>
      </c>
      <c r="O48" t="inlineStr">
        <is>
          <t>—</t>
        </is>
      </c>
    </row>
    <row r="49"/>
    <row r="50">
      <c r="A50" s="13" t="inlineStr">
        <is>
          <t>(=) RESULTADO LÍQUIDO</t>
        </is>
      </c>
      <c r="B50" s="12">
        <f>B44+B46</f>
        <v/>
      </c>
      <c r="C50" s="12">
        <f>C44+C46</f>
        <v/>
      </c>
      <c r="D50" s="12">
        <f>D44+D46</f>
        <v/>
      </c>
      <c r="E50" s="12">
        <f>E44+E46</f>
        <v/>
      </c>
      <c r="F50" s="12">
        <f>F44+F46</f>
        <v/>
      </c>
      <c r="G50" s="12">
        <f>G44+G46</f>
        <v/>
      </c>
      <c r="H50" s="12">
        <f>H44+H46</f>
        <v/>
      </c>
      <c r="I50" s="12">
        <f>I44+I46</f>
        <v/>
      </c>
      <c r="J50" s="12">
        <f>J44+J46</f>
        <v/>
      </c>
      <c r="K50" s="12">
        <f>K44+K46</f>
        <v/>
      </c>
      <c r="L50" s="12">
        <f>L44+L46</f>
        <v/>
      </c>
      <c r="M50" s="12">
        <f>M44+M46</f>
        <v/>
      </c>
      <c r="N50" s="12">
        <f>SUM(B50:M50)</f>
        <v/>
      </c>
    </row>
    <row r="51"/>
    <row r="52">
      <c r="A52" s="16" t="inlineStr">
        <is>
          <t>Margem Operacional (%)</t>
        </is>
      </c>
      <c r="B52" s="17">
        <f>IFERROR(B44/B3,0)</f>
        <v/>
      </c>
      <c r="C52" s="17">
        <f>IFERROR(C44/C3,0)</f>
        <v/>
      </c>
      <c r="D52" s="17">
        <f>IFERROR(D44/D3,0)</f>
        <v/>
      </c>
      <c r="E52" s="17">
        <f>IFERROR(E44/E3,0)</f>
        <v/>
      </c>
      <c r="F52" s="17">
        <f>IFERROR(F44/F3,0)</f>
        <v/>
      </c>
      <c r="G52" s="17">
        <f>IFERROR(G44/G3,0)</f>
        <v/>
      </c>
      <c r="H52" s="17">
        <f>IFERROR(H44/H3,0)</f>
        <v/>
      </c>
      <c r="I52" s="17">
        <f>IFERROR(I44/I3,0)</f>
        <v/>
      </c>
      <c r="J52" s="17">
        <f>IFERROR(J44/J3,0)</f>
        <v/>
      </c>
      <c r="K52" s="17">
        <f>IFERROR(K44/K3,0)</f>
        <v/>
      </c>
      <c r="L52" s="17">
        <f>IFERROR(L44/L3,0)</f>
        <v/>
      </c>
      <c r="M52" s="17">
        <f>IFERROR(M44/M3,0)</f>
        <v/>
      </c>
      <c r="N52" s="17">
        <f>IFERROR(N44/N3,0)</f>
        <v/>
      </c>
    </row>
    <row r="53"/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2026-06-06T03:53:53Z</dcterms:created>
  <dcterms:modified xsi:type="dcterms:W3CDTF">2026-06-06T03:53:53Z</dcterms:modified>
</cp:coreProperties>
</file>