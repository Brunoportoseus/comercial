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esumo Executivo" sheetId="1" state="visible" r:id="rId1"/>
    <sheet name="2. Premissas" sheetId="2" state="visible" r:id="rId2"/>
    <sheet name="3. Pesquisa Mercado" sheetId="3" state="visible" r:id="rId3"/>
    <sheet name="4. Custos Fixos" sheetId="4" state="visible" r:id="rId4"/>
    <sheet name="5. Custos Variáveis" sheetId="5" state="visible" r:id="rId5"/>
    <sheet name="6. Capacidade" sheetId="6" state="visible" r:id="rId6"/>
    <sheet name="7. Preço 48 Horas" sheetId="7" state="visible" r:id="rId7"/>
    <sheet name="8. Personalizados" sheetId="8" state="visible" r:id="rId8"/>
    <sheet name="9. Suporte" sheetId="9" state="visible" r:id="rId9"/>
    <sheet name="10. Parceria" sheetId="10" state="visible" r:id="rId10"/>
    <sheet name="11. Tráfego Pago" sheetId="11" state="visible" r:id="rId11"/>
    <sheet name="12. Cenários" sheetId="12" state="visible" r:id="rId12"/>
    <sheet name="13. DRE" sheetId="13" state="visible" r:id="rId13"/>
    <sheet name="14. Fluxo de Caixa" sheetId="14" state="visible" r:id="rId14"/>
    <sheet name="15. Ponto Equilíbrio" sheetId="15" state="visible" r:id="rId15"/>
    <sheet name="16. Indicadores" sheetId="16" state="visible" r:id="rId16"/>
    <sheet name="17. Análise Especialistas" sheetId="17" state="visible" r:id="rId17"/>
    <sheet name="18. Análise Crítica" sheetId="18" state="visible" r:id="rId18"/>
    <sheet name="19. Recomendações" sheetId="19" state="visible" r:id="rId19"/>
    <sheet name="20. Plano 90 Dia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;[Red]-R$ #,##0"/>
    <numFmt numFmtId="165" formatCode="0.0%"/>
    <numFmt numFmtId="166" formatCode="R$ #,##0.00;[Red]-R$ #,##0.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3864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sz val="10"/>
    </font>
    <font>
      <name val="Calibri"/>
      <color rgb="00595959"/>
      <sz val="10"/>
    </font>
    <font>
      <b val="1"/>
      <i val="1"/>
      <color rgb="00C00000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i val="1"/>
      <color rgb="001F3864"/>
      <sz val="1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95959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5D9F1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8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10" fontId="6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center" vertical="center" wrapText="1"/>
    </xf>
    <xf numFmtId="166" fontId="7" fillId="3" borderId="1" applyAlignment="1" pivotButton="0" quotePrefix="0" xfId="0">
      <alignment horizontal="center" vertical="center" wrapText="1"/>
    </xf>
    <xf numFmtId="10" fontId="6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top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0" fillId="6" borderId="1" pivotButton="0" quotePrefix="0" xfId="0"/>
    <xf numFmtId="164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7" fillId="2" borderId="1" applyAlignment="1" pivotButton="0" quotePrefix="0" xfId="0">
      <alignment horizontal="left" vertical="center" wrapText="1"/>
    </xf>
    <xf numFmtId="164" fontId="7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1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3" fontId="6" fillId="0" borderId="1" applyAlignment="1" pivotButton="0" quotePrefix="0" xfId="0">
      <alignment horizontal="center" vertical="center" wrapText="1"/>
    </xf>
    <xf numFmtId="0" fontId="4" fillId="5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4" fillId="8" borderId="1" pivotButton="0" quotePrefix="0" xfId="0"/>
    <xf numFmtId="166" fontId="0" fillId="8" borderId="1" applyAlignment="1" pivotButton="0" quotePrefix="0" xfId="0">
      <alignment horizontal="center" vertical="center" wrapText="1"/>
    </xf>
    <xf numFmtId="0" fontId="4" fillId="7" borderId="1" pivotButton="0" quotePrefix="0" xfId="0"/>
    <xf numFmtId="166" fontId="4" fillId="7" borderId="1" applyAlignment="1" pivotButton="0" quotePrefix="0" xfId="0">
      <alignment horizontal="center" vertical="center" wrapText="1"/>
    </xf>
    <xf numFmtId="0" fontId="4" fillId="6" borderId="1" pivotButton="0" quotePrefix="0" xfId="0"/>
    <xf numFmtId="166" fontId="0" fillId="6" borderId="1" applyAlignment="1" pivotButton="0" quotePrefix="0" xfId="0">
      <alignment horizontal="center" vertical="center" wrapText="1"/>
    </xf>
    <xf numFmtId="0" fontId="3" fillId="3" borderId="1" pivotButton="0" quotePrefix="0" xfId="0"/>
    <xf numFmtId="10" fontId="0" fillId="0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4" fillId="8" borderId="1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center" wrapText="1" indent="1"/>
    </xf>
    <xf numFmtId="0" fontId="0" fillId="8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3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7" fillId="2" borderId="1" pivotButton="0" quotePrefix="0" xfId="0"/>
    <xf numFmtId="0" fontId="3" fillId="6" borderId="0" applyAlignment="1" pivotButton="0" quotePrefix="0" xfId="0">
      <alignment horizontal="left" vertical="center" wrapText="1" indent="1"/>
    </xf>
    <xf numFmtId="0" fontId="0" fillId="6" borderId="0" pivotButton="0" quotePrefix="0" xfId="0"/>
    <xf numFmtId="0" fontId="3" fillId="7" borderId="0" applyAlignment="1" pivotButton="0" quotePrefix="0" xfId="0">
      <alignment horizontal="left" vertical="center" wrapText="1" indent="1"/>
    </xf>
    <xf numFmtId="0" fontId="0" fillId="7" borderId="0" pivotButton="0" quotePrefix="0" xfId="0"/>
    <xf numFmtId="0" fontId="11" fillId="2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center" vertical="center" wrapText="1"/>
    </xf>
    <xf numFmtId="164" fontId="4" fillId="0" borderId="1" pivotButton="0" quotePrefix="0" xfId="0"/>
    <xf numFmtId="164" fontId="4" fillId="7" borderId="1" pivotButton="0" quotePrefix="0" xfId="0"/>
    <xf numFmtId="164" fontId="4" fillId="8" borderId="1" pivotButton="0" quotePrefix="0" xfId="0"/>
    <xf numFmtId="164" fontId="3" fillId="3" borderId="1" pivotButton="0" quotePrefix="0" xfId="0"/>
    <xf numFmtId="164" fontId="12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left" vertical="center" indent="1"/>
    </xf>
    <xf numFmtId="0" fontId="13" fillId="4" borderId="1" applyAlignment="1" pivotButton="0" quotePrefix="0" xfId="0">
      <alignment horizontal="left" vertical="top" wrapText="1"/>
    </xf>
    <xf numFmtId="0" fontId="11" fillId="10" borderId="0" applyAlignment="1" pivotButton="0" quotePrefix="0" xfId="0">
      <alignment horizontal="left" vertical="center" indent="1"/>
    </xf>
    <xf numFmtId="0" fontId="11" fillId="11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horizontal="left" vertical="center" indent="1"/>
    </xf>
    <xf numFmtId="0" fontId="11" fillId="1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/>
    </xf>
    <xf numFmtId="0" fontId="11" fillId="2" borderId="0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</cols>
  <sheetData>
    <row r="1" ht="28" customHeight="1">
      <c r="A1" s="1" t="inlineStr">
        <is>
          <t>IMPULSO — PLANO DE NEGÓCIOS COMPLETO</t>
        </is>
      </c>
    </row>
    <row r="2">
      <c r="B2" s="2" t="inlineStr">
        <is>
          <t>Agência boutique de implementação de e-commerce e sites institucionais — análise da banca de especialistas</t>
        </is>
      </c>
    </row>
    <row r="4" ht="22" customHeight="1">
      <c r="A4" s="3" t="inlineStr">
        <is>
          <t>IDENTIDADE DA EMPRESA</t>
        </is>
      </c>
    </row>
    <row r="5" ht="36" customHeight="1">
      <c r="B5" s="4" t="inlineStr">
        <is>
          <t>Nome da empresa</t>
        </is>
      </c>
      <c r="C5" s="5" t="inlineStr">
        <is>
          <t>Impulso</t>
        </is>
      </c>
    </row>
    <row r="6" ht="36" customHeight="1">
      <c r="B6" s="4" t="inlineStr">
        <is>
          <t>Posicionamento</t>
        </is>
      </c>
      <c r="C6" s="5" t="inlineStr">
        <is>
          <t>Implementação rápida e profissional de lojas virtuais e sites institucionais para PMEs e empreendedores digitais</t>
        </is>
      </c>
    </row>
    <row r="7" ht="36" customHeight="1">
      <c r="B7" s="4" t="inlineStr">
        <is>
          <t>Público-alvo (ICP)</t>
        </is>
      </c>
      <c r="C7" s="5" t="inlineStr">
        <is>
          <t>PMEs físicas migrando para digital (Carla); empreendedores DTC em validação (Rodrigo); B2B PME catálogo digital (Mariana)</t>
        </is>
      </c>
    </row>
    <row r="8" ht="36" customHeight="1">
      <c r="B8" s="4" t="inlineStr">
        <is>
          <t>Proposta de valor</t>
        </is>
      </c>
      <c r="C8" s="5" t="inlineStr">
        <is>
          <t>"Sua loja online profissional no ar em 48 horas — pronta para vender — com método, suporte e crescimento contínuo, sem freelancer sumido nem agência que demora 3 meses."</t>
        </is>
      </c>
    </row>
    <row r="9" ht="36" customHeight="1">
      <c r="B9" s="4" t="inlineStr">
        <is>
          <t>Diferenciais</t>
        </is>
      </c>
      <c r="C9" s="5" t="inlineStr">
        <is>
          <t>Método Impulso 48h proprietário (checklist + biblioteca de blocos + integrações pré-configuradas + kit IA); especialização vertical; conversão projeto→recorrência</t>
        </is>
      </c>
    </row>
    <row r="10" ht="36" customHeight="1">
      <c r="B10" s="4" t="inlineStr">
        <is>
          <t>Serviços</t>
        </is>
      </c>
      <c r="C10" s="5" t="inlineStr">
        <is>
          <t>1) Projeto 48 Horas (Start/Pro/Premium) | 2) Projetos personalizados | 3) Planos mensais de suporte (Essencial/Pro/Growth) | 4) Receita de parceria com plataformas (20% MRR) | 5) Gestão de tráfego pago</t>
        </is>
      </c>
    </row>
    <row r="11" ht="36" customHeight="1">
      <c r="B11" s="4" t="inlineStr">
        <is>
          <t>Modelo de receita</t>
        </is>
      </c>
      <c r="C11" s="5" t="inlineStr">
        <is>
          <t>Mix transacional (projetos) + recorrente (suporte + parceria + gestão). Meta 24 meses: 50% receita recorrente</t>
        </is>
      </c>
    </row>
    <row r="12" ht="36" customHeight="1">
      <c r="B12" s="4" t="inlineStr">
        <is>
          <t>Regime tributário</t>
        </is>
      </c>
      <c r="C12" s="5" t="inlineStr">
        <is>
          <t>Simples Nacional, Anexo III com Fator R ≥ 28% (pró-labore é a alavanca). Premissa de 12% é conservadora — efetivo real é 6-8,4% até R$ 30k/mês</t>
        </is>
      </c>
    </row>
    <row r="13" ht="36" customHeight="1">
      <c r="B13" s="4" t="inlineStr">
        <is>
          <t>Operação</t>
        </is>
      </c>
      <c r="C13" s="5" t="inlineStr">
        <is>
          <t>Home office, 2 sócios sêniors, capacidade combinada ~180h/mês de execução pura</t>
        </is>
      </c>
    </row>
    <row r="15" ht="22" customHeight="1">
      <c r="A15" s="3" t="inlineStr">
        <is>
          <t>PRINCIPAIS PREMISSAS</t>
        </is>
      </c>
    </row>
    <row r="16">
      <c r="B16" s="6" t="inlineStr">
        <is>
          <t>Premissa</t>
        </is>
      </c>
      <c r="C16" s="6" t="inlineStr">
        <is>
          <t>Valor</t>
        </is>
      </c>
      <c r="D16" s="6" t="inlineStr">
        <is>
          <t>Origem</t>
        </is>
      </c>
    </row>
    <row r="17" ht="22" customHeight="1">
      <c r="B17" s="7" t="inlineStr">
        <is>
          <t>Número de sócios operacionais</t>
        </is>
      </c>
      <c r="C17" s="8">
        <f>'2. Premissas'!C5</f>
        <v/>
      </c>
      <c r="E17" s="9" t="inlineStr">
        <is>
          <t>Definido pelo usuário</t>
        </is>
      </c>
    </row>
    <row r="18" ht="22" customHeight="1">
      <c r="B18" s="7" t="inlineStr">
        <is>
          <t>Pró-labore por sócio (mensal)</t>
        </is>
      </c>
      <c r="C18" s="10">
        <f>'2. Premissas'!C7</f>
        <v/>
      </c>
      <c r="E18" s="9" t="inlineStr">
        <is>
          <t>Definido pelo usuário</t>
        </is>
      </c>
    </row>
    <row r="19" ht="22" customHeight="1">
      <c r="B19" s="7" t="inlineStr">
        <is>
          <t>Pró-labore total mensal</t>
        </is>
      </c>
      <c r="C19" s="10">
        <f>'2. Premissas'!C9</f>
        <v/>
      </c>
      <c r="E19" s="9">
        <f> 2 sócios × R$ 4.000</f>
        <v/>
      </c>
    </row>
    <row r="20" ht="22" customHeight="1">
      <c r="B20" s="7" t="inlineStr">
        <is>
          <t>Pró-labore anual total</t>
        </is>
      </c>
      <c r="C20" s="10">
        <f>'2. Premissas'!C10</f>
        <v/>
      </c>
      <c r="E20" s="9">
        <f> mensal × 12</f>
        <v/>
      </c>
    </row>
    <row r="21" ht="22" customHeight="1">
      <c r="B21" s="7" t="inlineStr">
        <is>
          <t>Horas produtivas mensais (2 sócios)</t>
        </is>
      </c>
      <c r="C21" s="8">
        <f>'2. Premissas'!C19</f>
        <v/>
      </c>
      <c r="E21" s="9" t="inlineStr">
        <is>
          <t>Análise operacional</t>
        </is>
      </c>
    </row>
    <row r="22" ht="22" customHeight="1">
      <c r="B22" s="7" t="inlineStr">
        <is>
          <t>Custo/hora interno (R$)</t>
        </is>
      </c>
      <c r="C22" s="10">
        <f>'2. Premissas'!C68</f>
        <v/>
      </c>
      <c r="E22" s="9">
        <f> (CF total) / horas produtivas</f>
        <v/>
      </c>
    </row>
    <row r="23" ht="22" customHeight="1">
      <c r="B23" s="7" t="inlineStr">
        <is>
          <t>Margem recomendada</t>
        </is>
      </c>
      <c r="C23" s="11">
        <f>'2. Premissas'!C27</f>
        <v/>
      </c>
      <c r="E23" s="9" t="inlineStr">
        <is>
          <t>Editável</t>
        </is>
      </c>
    </row>
    <row r="24" ht="22" customHeight="1">
      <c r="B24" s="7" t="inlineStr">
        <is>
          <t>Imposto Simples efetivo (premissa)</t>
        </is>
      </c>
      <c r="C24" s="11">
        <f>'2. Premissas'!C31</f>
        <v/>
      </c>
      <c r="E24" s="9" t="inlineStr">
        <is>
          <t>Editável — confer. Anexo III</t>
        </is>
      </c>
    </row>
    <row r="25" ht="22" customHeight="1">
      <c r="B25" s="7" t="inlineStr">
        <is>
          <t>Reserva de capital de giro recomendada</t>
        </is>
      </c>
      <c r="C25" s="10">
        <f>'2. Premissas'!C65</f>
        <v/>
      </c>
      <c r="E25" s="9" t="inlineStr">
        <is>
          <t>6× burn (recomendação CFO)</t>
        </is>
      </c>
    </row>
    <row r="27" ht="22" customHeight="1">
      <c r="A27" s="3" t="inlineStr">
        <is>
          <t>INDICADORES-CHAVE DOS 3 CENÁRIOS (linkados à aba 12)</t>
        </is>
      </c>
    </row>
    <row r="28">
      <c r="B28" s="6" t="inlineStr">
        <is>
          <t>Indicador</t>
        </is>
      </c>
      <c r="C28" s="6" t="inlineStr">
        <is>
          <t>Pessimista</t>
        </is>
      </c>
      <c r="D28" s="6" t="inlineStr">
        <is>
          <t>Realista</t>
        </is>
      </c>
      <c r="E28" s="6" t="inlineStr">
        <is>
          <t>Otimista</t>
        </is>
      </c>
      <c r="F28" s="6" t="inlineStr">
        <is>
          <t>Como é calculado</t>
        </is>
      </c>
    </row>
    <row r="29" ht="22" customHeight="1">
      <c r="B29" s="7" t="inlineStr">
        <is>
          <t>Receita bruta anual</t>
        </is>
      </c>
      <c r="C29" s="12">
        <f>'12. Cenários'!P11</f>
        <v/>
      </c>
      <c r="D29" s="12">
        <f>'12. Cenários'!P38</f>
        <v/>
      </c>
      <c r="E29" s="12">
        <f>'12. Cenários'!P65</f>
        <v/>
      </c>
      <c r="F29" s="9" t="inlineStr">
        <is>
          <t>Soma 12 meses de cada cenário</t>
        </is>
      </c>
    </row>
    <row r="30" ht="22" customHeight="1">
      <c r="B30" s="7" t="inlineStr">
        <is>
          <t>Receita média mensal</t>
        </is>
      </c>
      <c r="C30" s="12">
        <f>'12. Cenários'!P11/12</f>
        <v/>
      </c>
      <c r="D30" s="12">
        <f>'12. Cenários'!P38/12</f>
        <v/>
      </c>
      <c r="E30" s="12">
        <f>'12. Cenários'!P65/12</f>
        <v/>
      </c>
      <c r="F30" s="9" t="inlineStr">
        <is>
          <t>Anual ÷ 12</t>
        </is>
      </c>
    </row>
    <row r="31" ht="22" customHeight="1">
      <c r="B31" s="7" t="inlineStr">
        <is>
          <t>Lucro líquido anual</t>
        </is>
      </c>
      <c r="C31" s="12">
        <f>'12. Cenários'!P17</f>
        <v/>
      </c>
      <c r="D31" s="12">
        <f>'12. Cenários'!P44</f>
        <v/>
      </c>
      <c r="E31" s="12">
        <f>'12. Cenários'!P71</f>
        <v/>
      </c>
      <c r="F31" s="9" t="inlineStr">
        <is>
          <t>Soma do lucro líquido 12m</t>
        </is>
      </c>
    </row>
    <row r="32" ht="22" customHeight="1">
      <c r="B32" s="7" t="inlineStr">
        <is>
          <t>Margem líquida média</t>
        </is>
      </c>
      <c r="C32" s="13">
        <f>'12. Cenários'!P18</f>
        <v/>
      </c>
      <c r="D32" s="13">
        <f>'12. Cenários'!P45</f>
        <v/>
      </c>
      <c r="E32" s="13">
        <f>'12. Cenários'!P72</f>
        <v/>
      </c>
      <c r="F32" s="9" t="inlineStr">
        <is>
          <t>Lucro anual ÷ Receita anual</t>
        </is>
      </c>
    </row>
    <row r="33" ht="22" customHeight="1">
      <c r="B33" s="7" t="inlineStr">
        <is>
          <t>Caixa acumulado mês 12</t>
        </is>
      </c>
      <c r="C33" s="12">
        <f>'12. Cenários'!O19</f>
        <v/>
      </c>
      <c r="D33" s="12">
        <f>'12. Cenários'!O46</f>
        <v/>
      </c>
      <c r="E33" s="12">
        <f>'12. Cenários'!O73</f>
        <v/>
      </c>
      <c r="F33" s="9" t="inlineStr">
        <is>
          <t>Caixa final do mês 12</t>
        </is>
      </c>
    </row>
    <row r="34" ht="22" customHeight="1">
      <c r="B34" s="7" t="inlineStr">
        <is>
          <t>Ponto de equilíbrio mensal</t>
        </is>
      </c>
      <c r="C34" s="12">
        <f>'15. Ponto Equilíbrio'!C12</f>
        <v/>
      </c>
      <c r="D34" s="12">
        <f>'15. Ponto Equilíbrio'!C12</f>
        <v/>
      </c>
      <c r="E34" s="12">
        <f>'15. Ponto Equilíbrio'!C12</f>
        <v/>
      </c>
      <c r="F34" s="9" t="inlineStr">
        <is>
          <t>CF ÷ (1 − deduções variáveis)</t>
        </is>
      </c>
    </row>
    <row r="35" ht="22" customHeight="1">
      <c r="B35" s="7" t="inlineStr">
        <is>
          <t>Pró-labore total mensal</t>
        </is>
      </c>
      <c r="C35" s="12">
        <f>'2. Premissas'!C9</f>
        <v/>
      </c>
      <c r="D35" s="12">
        <f>'2. Premissas'!C9</f>
        <v/>
      </c>
      <c r="E35" s="12">
        <f>'2. Premissas'!C9</f>
        <v/>
      </c>
      <c r="F35" s="9" t="inlineStr">
        <is>
          <t>Premissa editável</t>
        </is>
      </c>
    </row>
    <row r="36" ht="22" customHeight="1">
      <c r="B36" s="7" t="inlineStr">
        <is>
          <t>Custos fixos mensais (sem pró-labore)</t>
        </is>
      </c>
      <c r="C36" s="12">
        <f>'2. Premissas'!C62</f>
        <v/>
      </c>
      <c r="D36" s="12">
        <f>'2. Premissas'!C62</f>
        <v/>
      </c>
      <c r="E36" s="12">
        <f>'2. Premissas'!C62</f>
        <v/>
      </c>
      <c r="F36" s="9" t="inlineStr">
        <is>
          <t>Soma fixos da aba 2</t>
        </is>
      </c>
    </row>
    <row r="37" ht="22" customHeight="1">
      <c r="B37" s="7" t="inlineStr">
        <is>
          <t>Payback estimado</t>
        </is>
      </c>
      <c r="C37" s="14" t="inlineStr">
        <is>
          <t>Inviável s/ aporte</t>
        </is>
      </c>
      <c r="D37" s="14" t="inlineStr">
        <is>
          <t>~9 meses (caixa+ no mês 6)</t>
        </is>
      </c>
      <c r="E37" s="14" t="inlineStr">
        <is>
          <t>~4 meses</t>
        </is>
      </c>
      <c r="F37" s="9" t="inlineStr">
        <is>
          <t>Análise CFO</t>
        </is>
      </c>
    </row>
    <row r="39" ht="22" customHeight="1">
      <c r="A39" s="3" t="inlineStr">
        <is>
          <t>CONCLUSÃO EXECUTIVA DO SQUAD</t>
        </is>
      </c>
    </row>
    <row r="40">
      <c r="B40" s="15" t="inlineStr">
        <is>
          <t>🟢 VIÁVEL no Realista (margem líquida ~24%, payback ~9m) e robusto no Otimista (margem 44%). 🔴 Pessimista é inviável sem aporte ou ajuste de pró-labore.
Os 3 AJUSTES NÃO-NEGOCIÁVEIS identificados pelo squad:
  1) Pró-labore ESCALONADO — começar com R$ 3k/sócio (mês 1-3) → R$ 3,5k (4-6) → R$ 4k (7+) quando MRR &gt; R$ 10k. Sustenta o Fator R do Anexo III (28%) e protege o caixa.
  2) Escopo do 48h TAXATIVO — máximo 20 SKUs, 1 gateway, 1 frete, 4 páginas, plataformas Shopify/Nuvemshop/Tray. Woo fora do 48h. Sem isso, vira processo no PROCON (art. 30, 37 CDC).
  3) Foco comercial em MRR — meta de 50% de receita recorrente até 24 meses. Cada R$ 1 de MRR vale 3-5× R$ 1 de projeto.
⚠️ RISCO ESTRATÉGICO MAIOR (24-36 meses): comoditização do setup básico por IA generativa (Shopify Magic, Wix ADI). A tese precisa migrar de 'implementador' para 'operador de crescimento de PMEs digitais' — vender resultado de vendas, não apenas loja no ar.
✅ AÇÕES OBRIGATÓRIAS antes da 1ª venda: constituir LTDA + CNAEs corretos + Simples; contrato dual-track (B2B/B2C); Política do Projeto 48 Horas com aceite eletrônico; LGPD (DPA); registrar marca no INPI; reserva de R$ 50k de capital de giro.</t>
        </is>
      </c>
    </row>
    <row r="41"/>
    <row r="42"/>
    <row r="43"/>
    <row r="44"/>
    <row r="45"/>
    <row r="46"/>
    <row r="47"/>
    <row r="48"/>
    <row r="49"/>
  </sheetData>
  <mergeCells count="33">
    <mergeCell ref="C24:D24"/>
    <mergeCell ref="C8:F8"/>
    <mergeCell ref="E24:F24"/>
    <mergeCell ref="A4:G4"/>
    <mergeCell ref="C7:F7"/>
    <mergeCell ref="E23:F23"/>
    <mergeCell ref="E17:F17"/>
    <mergeCell ref="C13:F13"/>
    <mergeCell ref="C20:D20"/>
    <mergeCell ref="E20:F20"/>
    <mergeCell ref="C25:D25"/>
    <mergeCell ref="A39:G39"/>
    <mergeCell ref="E19:F19"/>
    <mergeCell ref="C6:F6"/>
    <mergeCell ref="A15:G15"/>
    <mergeCell ref="C22:D22"/>
    <mergeCell ref="C5:F5"/>
    <mergeCell ref="A1:G1"/>
    <mergeCell ref="C21:D21"/>
    <mergeCell ref="B40:F49"/>
    <mergeCell ref="C10:F10"/>
    <mergeCell ref="C17:D17"/>
    <mergeCell ref="C23:D23"/>
    <mergeCell ref="C9:F9"/>
    <mergeCell ref="A27:G27"/>
    <mergeCell ref="E25:F25"/>
    <mergeCell ref="C12:F12"/>
    <mergeCell ref="C19:D19"/>
    <mergeCell ref="E22:F22"/>
    <mergeCell ref="C11:F11"/>
    <mergeCell ref="C18:D18"/>
    <mergeCell ref="E18:F18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12" customWidth="1" min="4" max="4"/>
    <col width="50" customWidth="1" min="5" max="5"/>
    <col width="3" customWidth="1" min="6" max="6"/>
  </cols>
  <sheetData>
    <row r="1" ht="28" customHeight="1">
      <c r="A1" s="1" t="inlineStr">
        <is>
          <t>PREMISSAS GERAIS — EDITE AQUI E TODA A PLANILHA SE ATUALIZA</t>
        </is>
      </c>
    </row>
    <row r="2">
      <c r="B2" s="2" t="inlineStr">
        <is>
          <t>Células em AMARELO são premissas editáveis. Verde = fórmulas (não editar). Cinza = referência.</t>
        </is>
      </c>
      <c r="E2" s="16" t="inlineStr">
        <is>
          <t>REFERÊNCIAS-CHAVE: C9=Pró-labore total | C19=Horas produtivas | C62=Custos fixos s/PL | C63=CF total | C68=Custo/h | C70=Deduções var | C31=Imposto</t>
        </is>
      </c>
    </row>
    <row r="4" ht="22" customHeight="1">
      <c r="A4" s="3" t="inlineStr">
        <is>
          <t>SÓCIOS E PRÓ-LABORE</t>
        </is>
      </c>
    </row>
    <row r="5">
      <c r="A5" s="17" t="inlineStr"/>
      <c r="B5" s="17" t="inlineStr">
        <is>
          <t>Número de sócios operacionais</t>
        </is>
      </c>
      <c r="C5" s="18" t="n">
        <v>2</v>
      </c>
      <c r="D5" s="17" t="inlineStr">
        <is>
          <t>un</t>
        </is>
      </c>
      <c r="E5" s="17" t="inlineStr">
        <is>
          <t>Definição da operação</t>
        </is>
      </c>
      <c r="F5" s="17" t="inlineStr"/>
    </row>
    <row r="7">
      <c r="A7" s="17" t="inlineStr"/>
      <c r="B7" s="17" t="inlineStr">
        <is>
          <t>Pró-labore mensal por sócio (R$)</t>
        </is>
      </c>
      <c r="C7" s="19" t="n">
        <v>4000</v>
      </c>
      <c r="D7" s="17" t="inlineStr">
        <is>
          <t>R$/mês</t>
        </is>
      </c>
      <c r="E7" s="17" t="inlineStr">
        <is>
          <t>Premissa do usuário — R$ 4.000/sócio</t>
        </is>
      </c>
      <c r="F7" s="17" t="inlineStr"/>
    </row>
    <row r="8">
      <c r="A8" s="17" t="inlineStr"/>
      <c r="B8" s="17" t="inlineStr">
        <is>
          <t>INSS sócio (11% sobre pró-labore individual)</t>
        </is>
      </c>
      <c r="C8" s="20">
        <f>C7*0.11</f>
        <v/>
      </c>
      <c r="D8" s="17" t="inlineStr">
        <is>
          <t>R$/mês</t>
        </is>
      </c>
      <c r="E8" s="17" t="inlineStr">
        <is>
          <t>Art. 21 Lei 8.212/91 (até teto)</t>
        </is>
      </c>
      <c r="F8" s="17" t="inlineStr"/>
    </row>
    <row r="9">
      <c r="A9" s="17" t="inlineStr"/>
      <c r="B9" s="17" t="inlineStr">
        <is>
          <t>Pró-labore TOTAL mensal</t>
        </is>
      </c>
      <c r="C9" s="21">
        <f>C7*C5</f>
        <v/>
      </c>
      <c r="D9" s="17" t="inlineStr">
        <is>
          <t>R$/mês</t>
        </is>
      </c>
      <c r="E9" s="17" t="inlineStr">
        <is>
          <t>Fórmula = pró-labore × sócios</t>
        </is>
      </c>
      <c r="F9" s="17" t="inlineStr"/>
    </row>
    <row r="10">
      <c r="A10" s="17" t="inlineStr"/>
      <c r="B10" s="17" t="inlineStr">
        <is>
          <t>Pró-labore TOTAL anual</t>
        </is>
      </c>
      <c r="C10" s="21">
        <f>C9*12</f>
        <v/>
      </c>
      <c r="D10" s="17" t="inlineStr">
        <is>
          <t>R$/ano</t>
        </is>
      </c>
      <c r="E10" s="17" t="inlineStr">
        <is>
          <t>Fórmula = mensal × 12</t>
        </is>
      </c>
      <c r="F10" s="17" t="inlineStr"/>
    </row>
    <row r="11">
      <c r="A11" s="17" t="inlineStr"/>
      <c r="B11" s="17" t="inlineStr">
        <is>
          <t>INSS sócios TOTAL mensal</t>
        </is>
      </c>
      <c r="C11" s="20">
        <f>C8*C5</f>
        <v/>
      </c>
      <c r="D11" s="17" t="inlineStr">
        <is>
          <t>R$/mês</t>
        </is>
      </c>
      <c r="E11" s="17" t="inlineStr">
        <is>
          <t>Soma do INSS dos sócios</t>
        </is>
      </c>
      <c r="F11" s="17" t="inlineStr"/>
    </row>
    <row r="13" ht="22" customHeight="1">
      <c r="A13" s="3" t="inlineStr">
        <is>
          <t>CAPACIDADE OPERACIONAL</t>
        </is>
      </c>
    </row>
    <row r="14">
      <c r="A14" s="17" t="inlineStr"/>
      <c r="B14" s="17" t="inlineStr">
        <is>
          <t>Dias úteis por mês</t>
        </is>
      </c>
      <c r="C14" s="22" t="n">
        <v>22</v>
      </c>
      <c r="D14" s="17" t="inlineStr">
        <is>
          <t>dias</t>
        </is>
      </c>
      <c r="E14" s="17" t="inlineStr">
        <is>
          <t>Premissa padrão BR</t>
        </is>
      </c>
      <c r="F14" s="17" t="inlineStr"/>
    </row>
    <row r="15">
      <c r="A15" s="17" t="inlineStr"/>
      <c r="B15" s="17" t="inlineStr">
        <is>
          <t>Horas/dia por sócio</t>
        </is>
      </c>
      <c r="C15" s="22" t="n">
        <v>8</v>
      </c>
      <c r="D15" s="17" t="inlineStr">
        <is>
          <t>h</t>
        </is>
      </c>
      <c r="E15" s="17" t="inlineStr">
        <is>
          <t>Jornada</t>
        </is>
      </c>
      <c r="F15" s="17" t="inlineStr"/>
    </row>
    <row r="16">
      <c r="A16" s="17" t="inlineStr"/>
      <c r="B16" s="17" t="inlineStr">
        <is>
          <t>Horas BRUTAS mensais por sócio</t>
        </is>
      </c>
      <c r="C16" s="23">
        <f>C14*C15</f>
        <v/>
      </c>
      <c r="D16" s="17" t="inlineStr">
        <is>
          <t>h</t>
        </is>
      </c>
      <c r="E16" s="17" t="inlineStr">
        <is>
          <t>Fórmula = dias × horas/dia</t>
        </is>
      </c>
      <c r="F16" s="17" t="inlineStr"/>
    </row>
    <row r="17">
      <c r="A17" s="17" t="inlineStr"/>
      <c r="B17" s="17" t="inlineStr">
        <is>
          <t>Horas brutas mensais TOTAIS (2 sócios)</t>
        </is>
      </c>
      <c r="C17" s="23">
        <f>C16*C5</f>
        <v/>
      </c>
      <c r="D17" s="17" t="inlineStr">
        <is>
          <t>h</t>
        </is>
      </c>
      <c r="E17" s="17" t="inlineStr">
        <is>
          <t>Fórmula = horas/sócio × sócios</t>
        </is>
      </c>
      <c r="F17" s="17" t="inlineStr"/>
    </row>
    <row r="18">
      <c r="A18" s="17" t="inlineStr"/>
      <c r="B18" s="17" t="inlineStr">
        <is>
          <t>% de horas produtivas reais (descontado comercial, admin, atendimento)</t>
        </is>
      </c>
      <c r="C18" s="24" t="n">
        <v>0.5</v>
      </c>
      <c r="D18" s="17" t="inlineStr">
        <is>
          <t>%</t>
        </is>
      </c>
      <c r="E18" s="17" t="inlineStr">
        <is>
          <t>Análise operacional: ~50% (vendas 15% + atendimento 10% + pós-venda 10% + admin 8% + gestão 7%)</t>
        </is>
      </c>
      <c r="F18" s="17" t="inlineStr"/>
    </row>
    <row r="19">
      <c r="A19" s="17" t="inlineStr"/>
      <c r="B19" s="17" t="inlineStr">
        <is>
          <t>Horas PRODUTIVAS mensais (execução pura)</t>
        </is>
      </c>
      <c r="C19" s="25">
        <f>C17*C18</f>
        <v/>
      </c>
      <c r="D19" s="17" t="inlineStr">
        <is>
          <t>h</t>
        </is>
      </c>
      <c r="E19" s="17" t="inlineStr">
        <is>
          <t>Fórmula. Padrão de planejamento: 176h</t>
        </is>
      </c>
      <c r="F19" s="17" t="inlineStr"/>
    </row>
    <row r="20">
      <c r="A20" s="17" t="inlineStr"/>
      <c r="B20" s="17" t="inlineStr">
        <is>
          <t>Ganho médio de produtividade com IA (%)</t>
        </is>
      </c>
      <c r="C20" s="24" t="n">
        <v>0.25</v>
      </c>
      <c r="D20" s="17" t="inlineStr">
        <is>
          <t>%</t>
        </is>
      </c>
      <c r="E20" s="17" t="inlineStr">
        <is>
          <t>Análise operacional — ganho real médio (não 80%+ ilusório)</t>
        </is>
      </c>
      <c r="F20" s="17" t="inlineStr"/>
    </row>
    <row r="21">
      <c r="A21" s="17" t="inlineStr"/>
      <c r="B21" s="17" t="inlineStr">
        <is>
          <t>Capacidade-alvo (% de utilização sustentável)</t>
        </is>
      </c>
      <c r="C21" s="24" t="n">
        <v>0.8</v>
      </c>
      <c r="D21" s="17" t="inlineStr">
        <is>
          <t>%</t>
        </is>
      </c>
      <c r="E21" s="17" t="inlineStr">
        <is>
          <t>Operar ≤80% para evitar burnout</t>
        </is>
      </c>
      <c r="F21" s="17" t="inlineStr"/>
    </row>
    <row r="22">
      <c r="A22" s="17" t="inlineStr"/>
      <c r="B22" s="17" t="inlineStr">
        <is>
          <t>Horas FATURÁVEIS mensais (alvo)</t>
        </is>
      </c>
      <c r="C22" s="23">
        <f>C19*C21</f>
        <v/>
      </c>
      <c r="D22" s="17" t="inlineStr">
        <is>
          <t>h</t>
        </is>
      </c>
      <c r="E22" s="17" t="inlineStr">
        <is>
          <t>Horas produtivas × utilização alvo</t>
        </is>
      </c>
      <c r="F22" s="17" t="inlineStr"/>
    </row>
    <row r="24" ht="22" customHeight="1">
      <c r="A24" s="3" t="inlineStr">
        <is>
          <t>PRECIFICAÇÃO E MARGEM</t>
        </is>
      </c>
    </row>
    <row r="25">
      <c r="A25" s="17" t="inlineStr"/>
      <c r="B25" s="17" t="inlineStr">
        <is>
          <t>Valor/hora desejado (referência mercado)</t>
        </is>
      </c>
      <c r="C25" s="26" t="n">
        <v>250</v>
      </c>
      <c r="D25" s="17" t="inlineStr">
        <is>
          <t>R$/h</t>
        </is>
      </c>
      <c r="E25" s="17" t="inlineStr">
        <is>
          <t>Mercado: freela sênior R$ 150-400/h; agência R$ 200-600/h</t>
        </is>
      </c>
      <c r="F25" s="17" t="inlineStr"/>
    </row>
    <row r="26">
      <c r="A26" s="17" t="inlineStr"/>
      <c r="B26" s="17" t="inlineStr">
        <is>
          <t>Margem MÍNIMA aceitável</t>
        </is>
      </c>
      <c r="C26" s="24" t="n">
        <v>0.2</v>
      </c>
      <c r="D26" s="17" t="inlineStr">
        <is>
          <t>%</t>
        </is>
      </c>
      <c r="E26" s="17" t="inlineStr">
        <is>
          <t>Piso para não vender no prejuízo</t>
        </is>
      </c>
      <c r="F26" s="17" t="inlineStr"/>
    </row>
    <row r="27">
      <c r="A27" s="17" t="inlineStr"/>
      <c r="B27" s="17" t="inlineStr">
        <is>
          <t>Margem RECOMENDADA</t>
        </is>
      </c>
      <c r="C27" s="24" t="n">
        <v>0.4</v>
      </c>
      <c r="D27" s="17" t="inlineStr">
        <is>
          <t>%</t>
        </is>
      </c>
      <c r="E27" s="17" t="inlineStr">
        <is>
          <t>Saudável para serviços</t>
        </is>
      </c>
      <c r="F27" s="17" t="inlineStr"/>
    </row>
    <row r="28">
      <c r="A28" s="17" t="inlineStr"/>
      <c r="B28" s="17" t="inlineStr">
        <is>
          <t>Margem PREMIUM (sem desconto)</t>
        </is>
      </c>
      <c r="C28" s="24" t="n">
        <v>0.55</v>
      </c>
      <c r="D28" s="17" t="inlineStr">
        <is>
          <t>%</t>
        </is>
      </c>
      <c r="E28" s="17" t="inlineStr">
        <is>
          <t>Preço de ancoragem</t>
        </is>
      </c>
      <c r="F28" s="17" t="inlineStr"/>
    </row>
    <row r="30" ht="22" customHeight="1">
      <c r="A30" s="3" t="inlineStr">
        <is>
          <t>IMPOSTOS E TAXAS DE PAGAMENTO</t>
        </is>
      </c>
    </row>
    <row r="31">
      <c r="A31" s="17" t="inlineStr"/>
      <c r="B31" s="17" t="inlineStr">
        <is>
          <t>Imposto Simples efetivo (premissa do projeto)</t>
        </is>
      </c>
      <c r="C31" s="24" t="n">
        <v>0.12</v>
      </c>
      <c r="D31" s="17" t="inlineStr">
        <is>
          <t>%</t>
        </is>
      </c>
      <c r="E31" s="17" t="inlineStr">
        <is>
          <t>Premissa do usuário. Real: 6% até R$ 180k; 8,4% até R$ 360k; 11% até R$ 720k (Anexo III)</t>
        </is>
      </c>
      <c r="F31" s="17" t="inlineStr"/>
    </row>
    <row r="32">
      <c r="A32" s="17" t="inlineStr"/>
      <c r="B32" s="17" t="inlineStr">
        <is>
          <t>Taxa PIX (gateway)</t>
        </is>
      </c>
      <c r="C32" s="27" t="n">
        <v>0.005</v>
      </c>
      <c r="D32" s="17" t="inlineStr">
        <is>
          <t>%</t>
        </is>
      </c>
      <c r="E32" s="17" t="inlineStr">
        <is>
          <t>InfinitePay 0%; PagBank até 1,89%</t>
        </is>
      </c>
      <c r="F32" s="17" t="inlineStr"/>
    </row>
    <row r="33">
      <c r="A33" s="17" t="inlineStr"/>
      <c r="B33" s="17" t="inlineStr">
        <is>
          <t>Taxa cartão à vista</t>
        </is>
      </c>
      <c r="C33" s="27" t="n">
        <v>0.035</v>
      </c>
      <c r="D33" s="17" t="inlineStr">
        <is>
          <t>%</t>
        </is>
      </c>
      <c r="E33" s="17" t="inlineStr">
        <is>
          <t>Stone 3,11%; PagBank D+30 3,19%; InfinitePay 2,69%</t>
        </is>
      </c>
      <c r="F33" s="17" t="inlineStr"/>
    </row>
    <row r="34">
      <c r="A34" s="17" t="inlineStr"/>
      <c r="B34" s="17" t="inlineStr">
        <is>
          <t>Taxa cartão 3x</t>
        </is>
      </c>
      <c r="C34" s="27" t="n">
        <v>0.045</v>
      </c>
      <c r="D34" s="17" t="inlineStr">
        <is>
          <t>%</t>
        </is>
      </c>
      <c r="E34" s="17" t="inlineStr">
        <is>
          <t>Stone parcelado start 5,41%; média 4-5%</t>
        </is>
      </c>
      <c r="F34" s="17" t="inlineStr"/>
    </row>
    <row r="35">
      <c r="A35" s="17" t="inlineStr"/>
      <c r="B35" s="17" t="inlineStr">
        <is>
          <t>Taxa cartão 6x</t>
        </is>
      </c>
      <c r="C35" s="27" t="n">
        <v>0.065</v>
      </c>
      <c r="D35" s="17" t="inlineStr">
        <is>
          <t>%</t>
        </is>
      </c>
      <c r="E35" s="17" t="inlineStr">
        <is>
          <t>Faixa intermediária</t>
        </is>
      </c>
      <c r="F35" s="17" t="inlineStr"/>
    </row>
    <row r="36">
      <c r="A36" s="17" t="inlineStr"/>
      <c r="B36" s="17" t="inlineStr">
        <is>
          <t>Taxa cartão 10x</t>
        </is>
      </c>
      <c r="C36" s="27" t="n">
        <v>0.095</v>
      </c>
      <c r="D36" s="17" t="inlineStr">
        <is>
          <t>%</t>
        </is>
      </c>
      <c r="E36" s="17" t="inlineStr">
        <is>
          <t>Mercado Pago D+1 ~12,49%; InfinitePay 12x 8,99%</t>
        </is>
      </c>
      <c r="F36" s="17" t="inlineStr"/>
    </row>
    <row r="37">
      <c r="A37" s="17" t="inlineStr"/>
      <c r="B37" s="17" t="inlineStr">
        <is>
          <t>Taxa cartão 12x</t>
        </is>
      </c>
      <c r="C37" s="27" t="n">
        <v>0.115</v>
      </c>
      <c r="D37" s="17" t="inlineStr">
        <is>
          <t>%</t>
        </is>
      </c>
      <c r="E37" s="17" t="inlineStr">
        <is>
          <t>Faixa iniciante MP até 22%; recomenda-se repassar juros &gt;6x</t>
        </is>
      </c>
      <c r="F37" s="17" t="inlineStr"/>
    </row>
    <row r="38">
      <c r="A38" s="17" t="inlineStr"/>
      <c r="B38" s="17" t="inlineStr">
        <is>
          <t>Inadimplência projetada (PCLD)</t>
        </is>
      </c>
      <c r="C38" s="24" t="n">
        <v>0.04</v>
      </c>
      <c r="D38" s="17" t="inlineStr">
        <is>
          <t>%</t>
        </is>
      </c>
      <c r="E38" s="17" t="inlineStr">
        <is>
          <t>B2B serviços BR — 4% conservador. Serasa: 55,2% inadimplência em serviços</t>
        </is>
      </c>
      <c r="F38" s="17" t="inlineStr"/>
    </row>
    <row r="40" ht="22" customHeight="1">
      <c r="A40" s="3" t="inlineStr">
        <is>
          <t>CUSTOS FIXOS MENSAIS (sem pró-labore)</t>
        </is>
      </c>
    </row>
    <row r="41">
      <c r="A41" s="17" t="inlineStr"/>
      <c r="B41" s="17" t="inlineStr">
        <is>
          <t>Internet empresarial (fibra 200-500 Mbps, 2 sócios)</t>
        </is>
      </c>
      <c r="C41" s="26" t="n">
        <v>200</v>
      </c>
      <c r="D41" s="17" t="inlineStr">
        <is>
          <t>R$/mês</t>
        </is>
      </c>
      <c r="E41" s="17" t="inlineStr">
        <is>
          <t>Vivo R$ 128,98; TIM R$ 119,99; média BR R$ 100-180</t>
        </is>
      </c>
      <c r="F41" s="17" t="inlineStr"/>
    </row>
    <row r="42">
      <c r="A42" s="17" t="inlineStr"/>
      <c r="B42" s="17" t="inlineStr">
        <is>
          <t>Energia adicional home office (2 sócios)</t>
        </is>
      </c>
      <c r="C42" s="26" t="n">
        <v>80</v>
      </c>
      <c r="D42" s="17" t="inlineStr">
        <is>
          <t>R$/mês</t>
        </is>
      </c>
      <c r="E42" s="17" t="inlineStr">
        <is>
          <t>Enel SP R$ 0,91/kWh × ~45 kWh/sócio (R$ 40/sócio)</t>
        </is>
      </c>
      <c r="F42" s="17" t="inlineStr"/>
    </row>
    <row r="43">
      <c r="A43" s="17" t="inlineStr"/>
      <c r="B43" s="17" t="inlineStr">
        <is>
          <t>Google Workspace Business Starter (2 usuários)</t>
        </is>
      </c>
      <c r="C43" s="26" t="n">
        <v>65</v>
      </c>
      <c r="D43" s="17" t="inlineStr">
        <is>
          <t>R$/mês</t>
        </is>
      </c>
      <c r="E43" s="17" t="inlineStr">
        <is>
          <t>R$ 32,72/user × 2 (anual)</t>
        </is>
      </c>
      <c r="F43" s="17" t="inlineStr"/>
    </row>
    <row r="44">
      <c r="A44" s="17" t="inlineStr"/>
      <c r="B44" s="17" t="inlineStr">
        <is>
          <t>Ferramentas IA (ChatGPT Plus + Claude Pro)</t>
        </is>
      </c>
      <c r="C44" s="26" t="n">
        <v>220</v>
      </c>
      <c r="D44" s="17" t="inlineStr">
        <is>
          <t>R$/mês</t>
        </is>
      </c>
      <c r="E44" s="17" t="inlineStr">
        <is>
          <t>US$ 20 × 2 ≈ R$ 108 × 2</t>
        </is>
      </c>
      <c r="F44" s="17" t="inlineStr"/>
    </row>
    <row r="45">
      <c r="A45" s="17" t="inlineStr"/>
      <c r="B45" s="17" t="inlineStr">
        <is>
          <t>Figma Professional (2 editores anual)</t>
        </is>
      </c>
      <c r="C45" s="26" t="n">
        <v>162</v>
      </c>
      <c r="D45" s="17" t="inlineStr">
        <is>
          <t>R$/mês</t>
        </is>
      </c>
      <c r="E45" s="17" t="inlineStr">
        <is>
          <t>US$ 15/editor × 2 ≈ R$ 81 × 2</t>
        </is>
      </c>
      <c r="F45" s="17" t="inlineStr"/>
    </row>
    <row r="46">
      <c r="A46" s="17" t="inlineStr"/>
      <c r="B46" s="17" t="inlineStr">
        <is>
          <t>Canva Pro Teams</t>
        </is>
      </c>
      <c r="C46" s="26" t="n">
        <v>39</v>
      </c>
      <c r="D46" s="17" t="inlineStr">
        <is>
          <t>R$/mês</t>
        </is>
      </c>
      <c r="E46" s="17" t="inlineStr">
        <is>
          <t>R$ 470/ano = R$ 39/mês</t>
        </is>
      </c>
      <c r="F46" s="17" t="inlineStr"/>
    </row>
    <row r="47">
      <c r="A47" s="17" t="inlineStr"/>
      <c r="B47" s="17" t="inlineStr">
        <is>
          <t>ClickUp Unlimited (2 users anual)</t>
        </is>
      </c>
      <c r="C47" s="26" t="n">
        <v>14</v>
      </c>
      <c r="D47" s="17" t="inlineStr">
        <is>
          <t>R$/mês</t>
        </is>
      </c>
      <c r="E47" s="17" t="inlineStr">
        <is>
          <t>R$ 7 × 2</t>
        </is>
      </c>
      <c r="F47" s="17" t="inlineStr"/>
    </row>
    <row r="48">
      <c r="A48" s="17" t="inlineStr"/>
      <c r="B48" s="17" t="inlineStr">
        <is>
          <t>HubSpot CRM Free</t>
        </is>
      </c>
      <c r="C48" s="26" t="n">
        <v>0</v>
      </c>
      <c r="D48" s="17" t="inlineStr">
        <is>
          <t>R$/mês</t>
        </is>
      </c>
      <c r="E48" s="17" t="inlineStr">
        <is>
          <t>Gratuito</t>
        </is>
      </c>
      <c r="F48" s="17" t="inlineStr"/>
    </row>
    <row r="49">
      <c r="A49" s="17" t="inlineStr"/>
      <c r="B49" s="17" t="inlineStr">
        <is>
          <t>Make Core / Zapier Starter</t>
        </is>
      </c>
      <c r="C49" s="26" t="n">
        <v>60</v>
      </c>
      <c r="D49" s="17" t="inlineStr">
        <is>
          <t>R$/mês</t>
        </is>
      </c>
      <c r="E49" s="17" t="inlineStr">
        <is>
          <t>Make US$ 10,59 ≈ R$ 57</t>
        </is>
      </c>
      <c r="F49" s="17" t="inlineStr"/>
    </row>
    <row r="50">
      <c r="A50" s="17" t="inlineStr"/>
      <c r="B50" s="17" t="inlineStr">
        <is>
          <t>Hospedagem site Impulso + domínio</t>
        </is>
      </c>
      <c r="C50" s="26" t="n">
        <v>50</v>
      </c>
      <c r="D50" s="17" t="inlineStr">
        <is>
          <t>R$/mês</t>
        </is>
      </c>
      <c r="E50" s="17" t="inlineStr">
        <is>
          <t>Hostinger Premium + .com.br Registro.br R$ 40/ano</t>
        </is>
      </c>
      <c r="F50" s="17" t="inlineStr"/>
    </row>
    <row r="51">
      <c r="A51" s="17" t="inlineStr"/>
      <c r="B51" s="17" t="inlineStr">
        <is>
          <t>Contabilidade especializada (recomendação contábil)</t>
        </is>
      </c>
      <c r="C51" s="26" t="n">
        <v>800</v>
      </c>
      <c r="D51" s="17" t="inlineStr">
        <is>
          <t>R$/mês</t>
        </is>
      </c>
      <c r="E51" s="17" t="inlineStr">
        <is>
          <t>Faixa: ME serviços R$ 400-1.200; especializada em TI R$ 700-1.200</t>
        </is>
      </c>
      <c r="F51" s="17" t="inlineStr"/>
    </row>
    <row r="52">
      <c r="A52" s="17" t="inlineStr"/>
      <c r="B52" s="17" t="inlineStr">
        <is>
          <t>Certificado Digital A1 (R$ 220/ano)</t>
        </is>
      </c>
      <c r="C52" s="26" t="n">
        <v>20</v>
      </c>
      <c r="D52" s="17" t="inlineStr">
        <is>
          <t>R$/mês</t>
        </is>
      </c>
      <c r="E52" s="17" t="inlineStr">
        <is>
          <t>Necessário p/ NFS-e nacional</t>
        </is>
      </c>
      <c r="F52" s="17" t="inlineStr"/>
    </row>
    <row r="53">
      <c r="A53" s="17" t="inlineStr"/>
      <c r="B53" s="17" t="inlineStr">
        <is>
          <t>Antivírus + backup nuvem</t>
        </is>
      </c>
      <c r="C53" s="26" t="n">
        <v>80</v>
      </c>
      <c r="D53" s="17" t="inlineStr">
        <is>
          <t>R$/mês</t>
        </is>
      </c>
      <c r="E53" s="17" t="inlineStr">
        <is>
          <t>Operacional</t>
        </is>
      </c>
      <c r="F53" s="17" t="inlineStr"/>
    </row>
    <row r="54">
      <c r="A54" s="17" t="inlineStr"/>
      <c r="B54" s="17" t="inlineStr">
        <is>
          <t>Seguro RC profissional (E&amp;O — recomendado)</t>
        </is>
      </c>
      <c r="C54" s="26" t="n">
        <v>150</v>
      </c>
      <c r="D54" s="17" t="inlineStr">
        <is>
          <t>R$/mês</t>
        </is>
      </c>
      <c r="E54" s="17" t="inlineStr">
        <is>
          <t>Proteção contra responsabilidade civil</t>
        </is>
      </c>
      <c r="F54" s="17" t="inlineStr"/>
    </row>
    <row r="55">
      <c r="A55" s="17" t="inlineStr"/>
      <c r="B55" s="17" t="inlineStr">
        <is>
          <t>Marketing próprio (mídia, conteúdo, ferramentas)</t>
        </is>
      </c>
      <c r="C55" s="26" t="n">
        <v>1200</v>
      </c>
      <c r="D55" s="17" t="inlineStr">
        <is>
          <t>R$/mês</t>
        </is>
      </c>
      <c r="E55" s="17" t="inlineStr">
        <is>
          <t>R$ 3-5k recomendado quando MRR estabiliza; piso R$ 1.200</t>
        </is>
      </c>
      <c r="F55" s="17" t="inlineStr"/>
    </row>
    <row r="56">
      <c r="A56" s="17" t="inlineStr"/>
      <c r="B56" s="17" t="inlineStr">
        <is>
          <t>CRM RD Station Basic (opcional)</t>
        </is>
      </c>
      <c r="C56" s="26" t="n">
        <v>49</v>
      </c>
      <c r="D56" s="17" t="inlineStr">
        <is>
          <t>R$/mês</t>
        </is>
      </c>
      <c r="E56" s="17" t="inlineStr">
        <is>
          <t>Pode iniciar com HubSpot Free</t>
        </is>
      </c>
      <c r="F56" s="17" t="inlineStr"/>
    </row>
    <row r="57">
      <c r="A57" s="17" t="inlineStr"/>
      <c r="B57" s="17" t="inlineStr">
        <is>
          <t>Outros custos administrativos / contingência</t>
        </is>
      </c>
      <c r="C57" s="26" t="n">
        <v>200</v>
      </c>
      <c r="D57" s="17" t="inlineStr">
        <is>
          <t>R$/mês</t>
        </is>
      </c>
      <c r="E57" s="17" t="inlineStr">
        <is>
          <t>Sindicato, taxas municipais, eventual</t>
        </is>
      </c>
      <c r="F57" s="17" t="inlineStr"/>
    </row>
    <row r="58">
      <c r="A58" s="28" t="inlineStr"/>
      <c r="B58" s="28" t="inlineStr">
        <is>
          <t>SUBTOTAL CUSTOS FIXOS (sem pró-labore)</t>
        </is>
      </c>
      <c r="C58" s="21">
        <f>SUM(C41:C57)</f>
        <v/>
      </c>
      <c r="D58" s="28" t="inlineStr">
        <is>
          <t>R$/mês</t>
        </is>
      </c>
      <c r="E58" s="28" t="inlineStr">
        <is>
          <t>Soma automática dos custos acima</t>
        </is>
      </c>
      <c r="F58" s="28" t="inlineStr"/>
    </row>
    <row r="59">
      <c r="A59" s="28" t="inlineStr"/>
      <c r="B59" s="28" t="inlineStr">
        <is>
          <t>CUSTO FIXO TOTAL (com pró-labore + INSS)</t>
        </is>
      </c>
      <c r="C59" s="29">
        <f>C58+C9+C11</f>
        <v/>
      </c>
      <c r="D59" s="28" t="inlineStr">
        <is>
          <t>R$/mês</t>
        </is>
      </c>
      <c r="E59" s="28" t="inlineStr">
        <is>
          <t>Subtotal + pró-labore + INSS</t>
        </is>
      </c>
      <c r="F59" s="28" t="inlineStr"/>
    </row>
    <row r="61" ht="22" customHeight="1">
      <c r="A61" s="3" t="inlineStr">
        <is>
          <t>CÁLCULOS DERIVADOS (não editar)</t>
        </is>
      </c>
    </row>
    <row r="62">
      <c r="A62" s="28" t="inlineStr"/>
      <c r="B62" s="28" t="inlineStr">
        <is>
          <t>(CF40) Subtotal Custos Fixos (sem pró-labore)</t>
        </is>
      </c>
      <c r="C62" s="21">
        <f>C58</f>
        <v/>
      </c>
      <c r="D62" s="28" t="inlineStr">
        <is>
          <t>R$/mês</t>
        </is>
      </c>
      <c r="E62" s="28" t="inlineStr">
        <is>
          <t>Referência usada em outras abas</t>
        </is>
      </c>
      <c r="F62" s="28" t="inlineStr"/>
    </row>
    <row r="63">
      <c r="A63" s="28" t="inlineStr"/>
      <c r="B63" s="28" t="inlineStr">
        <is>
          <t>Custo Fixo TOTAL (com pró-labore + INSS)</t>
        </is>
      </c>
      <c r="C63" s="21">
        <f>C62+C9+C11</f>
        <v/>
      </c>
      <c r="D63" s="28" t="inlineStr">
        <is>
          <t>R$/mês</t>
        </is>
      </c>
      <c r="E63" s="28" t="inlineStr">
        <is>
          <t>Base do ponto de equilíbrio</t>
        </is>
      </c>
      <c r="F63" s="28" t="inlineStr"/>
    </row>
    <row r="64">
      <c r="A64" s="17" t="inlineStr"/>
      <c r="B64" s="17" t="inlineStr">
        <is>
          <t>Reserva capital de giro mínima (3× burn)</t>
        </is>
      </c>
      <c r="C64" s="20">
        <f>C63*3</f>
        <v/>
      </c>
      <c r="D64" s="17" t="inlineStr">
        <is>
          <t>R$</t>
        </is>
      </c>
      <c r="E64" s="17" t="inlineStr">
        <is>
          <t>Recomendação CFO</t>
        </is>
      </c>
      <c r="F64" s="17" t="inlineStr"/>
    </row>
    <row r="65">
      <c r="A65" s="28" t="inlineStr"/>
      <c r="B65" s="28" t="inlineStr">
        <is>
          <t>Reserva capital de giro RECOMENDADA (6× burn)</t>
        </is>
      </c>
      <c r="C65" s="21">
        <f>C63*6</f>
        <v/>
      </c>
      <c r="D65" s="28" t="inlineStr">
        <is>
          <t>R$</t>
        </is>
      </c>
      <c r="E65" s="28" t="inlineStr">
        <is>
          <t>Recomendação CFO</t>
        </is>
      </c>
      <c r="F65" s="28" t="inlineStr"/>
    </row>
    <row r="66">
      <c r="A66" s="17" t="inlineStr"/>
      <c r="B66" s="17" t="inlineStr">
        <is>
          <t>Reserva conservadora (12× burn)</t>
        </is>
      </c>
      <c r="C66" s="20">
        <f>C63*12</f>
        <v/>
      </c>
      <c r="D66" s="17" t="inlineStr">
        <is>
          <t>R$</t>
        </is>
      </c>
      <c r="E66" s="17" t="inlineStr">
        <is>
          <t>Para cenário pessimista</t>
        </is>
      </c>
      <c r="F66" s="17" t="inlineStr"/>
    </row>
    <row r="68">
      <c r="A68" s="28" t="inlineStr"/>
      <c r="B68" s="28" t="inlineStr">
        <is>
          <t>CUSTO/HORA INTERNO (piso)</t>
        </is>
      </c>
      <c r="C68" s="30">
        <f>C63/C19</f>
        <v/>
      </c>
      <c r="D68" s="28" t="inlineStr">
        <is>
          <t>R$/h</t>
        </is>
      </c>
      <c r="E68" s="28">
        <f> Custo fixo total / horas produtivas. Vender abaixo = prejuízo certo.</f>
        <v/>
      </c>
      <c r="F68" s="28" t="inlineStr"/>
    </row>
    <row r="69">
      <c r="A69" s="17" t="inlineStr"/>
      <c r="B69" s="17" t="inlineStr">
        <is>
          <t>Taxa cartão MÉDIA (ponderada das 6 modalidades)</t>
        </is>
      </c>
      <c r="C69" s="31">
        <f>AVERAGE(C32:C37)</f>
        <v/>
      </c>
      <c r="D69" s="17" t="inlineStr">
        <is>
          <t>%</t>
        </is>
      </c>
      <c r="E69" s="17" t="inlineStr">
        <is>
          <t>Média simples; pode-se ponderar por mix real</t>
        </is>
      </c>
      <c r="F69" s="17" t="inlineStr"/>
    </row>
    <row r="70">
      <c r="A70" s="28" t="inlineStr"/>
      <c r="B70" s="28" t="inlineStr">
        <is>
          <t>Deduções variáveis totais (imposto + taxa média + inad)</t>
        </is>
      </c>
      <c r="C70" s="32">
        <f>C31+C69+C38</f>
        <v/>
      </c>
      <c r="D70" s="28" t="inlineStr">
        <is>
          <t>%</t>
        </is>
      </c>
      <c r="E70" s="28" t="inlineStr">
        <is>
          <t>Usado no ponto de equilíbrio</t>
        </is>
      </c>
      <c r="F70" s="28" t="inlineStr"/>
    </row>
  </sheetData>
  <mergeCells count="7">
    <mergeCell ref="A24:F24"/>
    <mergeCell ref="A13:F13"/>
    <mergeCell ref="A1:F1"/>
    <mergeCell ref="A61:F61"/>
    <mergeCell ref="A40:F40"/>
    <mergeCell ref="A4:F4"/>
    <mergeCell ref="A30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0" customWidth="1" min="3" max="3"/>
    <col width="20" customWidth="1" min="4" max="4"/>
    <col width="20" customWidth="1" min="5" max="5"/>
    <col width="14" customWidth="1" min="6" max="6"/>
    <col width="38" customWidth="1" min="7" max="7"/>
    <col width="3" customWidth="1" min="8" max="8"/>
  </cols>
  <sheetData>
    <row r="1" ht="28" customHeight="1">
      <c r="A1" s="1" t="inlineStr">
        <is>
          <t>PESQUISA DE MERCADO E REFERÊNCIAS REAIS</t>
        </is>
      </c>
    </row>
    <row r="2">
      <c r="B2" s="2" t="inlineStr">
        <is>
          <t>Dados consultados em 2026-06-10 — câmbio referência USD ≈ R$ 5,42 | EUR ≈ R$ 5,90</t>
        </is>
      </c>
    </row>
    <row r="4" ht="20" customHeight="1">
      <c r="A4" s="33" t="inlineStr">
        <is>
          <t>A. PLATAFORMAS DE E-COMMERCE (preço mensal BRL e programas de parceria)</t>
        </is>
      </c>
    </row>
    <row r="5">
      <c r="B5" s="6" t="inlineStr">
        <is>
          <t>Item</t>
        </is>
      </c>
      <c r="C5" s="6" t="inlineStr">
        <is>
          <t>Mínimo</t>
        </is>
      </c>
      <c r="D5" s="6" t="inlineStr">
        <is>
          <t>Médio</t>
        </is>
      </c>
      <c r="E5" s="6" t="inlineStr">
        <is>
          <t>Máximo</t>
        </is>
      </c>
      <c r="F5" s="6" t="inlineStr">
        <is>
          <t>Data</t>
        </is>
      </c>
      <c r="G5" s="6" t="inlineStr">
        <is>
          <t>Fonte / Observação</t>
        </is>
      </c>
    </row>
    <row r="6" ht="24" customHeight="1">
      <c r="B6" s="34" t="inlineStr">
        <is>
          <t>Shopify Basic (US$ 39 anual US$ 29)</t>
        </is>
      </c>
      <c r="C6" s="35" t="n">
        <v>157</v>
      </c>
      <c r="D6" s="35" t="n">
        <v>211</v>
      </c>
      <c r="E6" s="35" t="n">
        <v>211</v>
      </c>
      <c r="F6" s="36" t="inlineStr">
        <is>
          <t>2026-06-10</t>
        </is>
      </c>
      <c r="G6" s="37" t="inlineStr">
        <is>
          <t>shopify.com/pricing — IOF 6,38%</t>
        </is>
      </c>
    </row>
    <row r="7" ht="24" customHeight="1">
      <c r="B7" s="34" t="inlineStr">
        <is>
          <t>Shopify Grow (US$ 105 anual US$ 79)</t>
        </is>
      </c>
      <c r="C7" s="35" t="n">
        <v>428</v>
      </c>
      <c r="D7" s="35" t="n">
        <v>569</v>
      </c>
      <c r="E7" s="35" t="n">
        <v>569</v>
      </c>
      <c r="F7" s="36" t="inlineStr">
        <is>
          <t>2026-06-10</t>
        </is>
      </c>
      <c r="G7" s="37" t="inlineStr">
        <is>
          <t>shopify.com/pricing</t>
        </is>
      </c>
    </row>
    <row r="8" ht="24" customHeight="1">
      <c r="B8" s="34" t="inlineStr">
        <is>
          <t>Shopify Advanced (US$ 399 anual US$ 299)</t>
        </is>
      </c>
      <c r="C8" s="35" t="n">
        <v>1621</v>
      </c>
      <c r="D8" s="35" t="n">
        <v>2163</v>
      </c>
      <c r="E8" s="35" t="n">
        <v>2163</v>
      </c>
      <c r="F8" s="36" t="inlineStr">
        <is>
          <t>2026-06-10</t>
        </is>
      </c>
      <c r="G8" s="37" t="inlineStr">
        <is>
          <t>shopify.com/pricing</t>
        </is>
      </c>
    </row>
    <row r="9" ht="24" customHeight="1">
      <c r="B9" s="34" t="inlineStr">
        <is>
          <t>Shopify Partners — comissão recorrente</t>
        </is>
      </c>
      <c r="C9" s="36" t="n"/>
      <c r="D9" s="36" t="inlineStr">
        <is>
          <t>20%</t>
        </is>
      </c>
      <c r="E9" s="36" t="n"/>
      <c r="F9" s="36" t="inlineStr">
        <is>
          <t>2026-06-10</t>
        </is>
      </c>
      <c r="G9" s="37" t="inlineStr">
        <is>
          <t>help.shopify.com/en/partners/partner-program/how-to-earn</t>
        </is>
      </c>
    </row>
    <row r="10" ht="24" customHeight="1">
      <c r="B10" s="34" t="inlineStr">
        <is>
          <t>Tray — faixa de planos</t>
        </is>
      </c>
      <c r="C10" s="35" t="n">
        <v>19</v>
      </c>
      <c r="D10" s="35" t="n">
        <v>99</v>
      </c>
      <c r="E10" s="35" t="n">
        <v>449</v>
      </c>
      <c r="F10" s="36" t="inlineStr">
        <is>
          <t>2026-06-10</t>
        </is>
      </c>
      <c r="G10" s="37" t="inlineStr">
        <is>
          <t>tray.com.br/planos-precos</t>
        </is>
      </c>
    </row>
    <row r="11" ht="24" customHeight="1">
      <c r="B11" s="34" t="inlineStr">
        <is>
          <t>Tray Partners — comissão recorrente</t>
        </is>
      </c>
      <c r="C11" s="36" t="n"/>
      <c r="D11" s="36" t="inlineStr">
        <is>
          <t>20-30%</t>
        </is>
      </c>
      <c r="E11" s="36" t="n"/>
      <c r="F11" s="36" t="inlineStr">
        <is>
          <t>2026-06-10</t>
        </is>
      </c>
      <c r="G11" s="37" t="inlineStr">
        <is>
          <t>tray.com.br/partners</t>
        </is>
      </c>
    </row>
    <row r="12" ht="24" customHeight="1">
      <c r="B12" s="34" t="inlineStr">
        <is>
          <t>Nuvemshop Essencial</t>
        </is>
      </c>
      <c r="C12" s="35" t="n">
        <v>59</v>
      </c>
      <c r="D12" s="35" t="n">
        <v>59</v>
      </c>
      <c r="E12" s="35" t="n">
        <v>59</v>
      </c>
      <c r="F12" s="36" t="inlineStr">
        <is>
          <t>2026-06-10</t>
        </is>
      </c>
      <c r="G12" s="37" t="inlineStr">
        <is>
          <t>nuvemshop.com.br/planos-e-precos</t>
        </is>
      </c>
    </row>
    <row r="13" ht="24" customHeight="1">
      <c r="B13" s="34" t="inlineStr">
        <is>
          <t>Nuvemshop Impulso (plano homônimo)</t>
        </is>
      </c>
      <c r="C13" s="35" t="n">
        <v>139</v>
      </c>
      <c r="D13" s="35" t="n">
        <v>139</v>
      </c>
      <c r="E13" s="35" t="n">
        <v>139</v>
      </c>
      <c r="F13" s="36" t="inlineStr">
        <is>
          <t>2026-06-10</t>
        </is>
      </c>
      <c r="G13" s="37" t="inlineStr">
        <is>
          <t>nuvemshop.com.br/planos-e-precos</t>
        </is>
      </c>
    </row>
    <row r="14" ht="24" customHeight="1">
      <c r="B14" s="34" t="inlineStr">
        <is>
          <t>Nuvemshop Escala</t>
        </is>
      </c>
      <c r="C14" s="35" t="n">
        <v>389</v>
      </c>
      <c r="D14" s="35" t="n">
        <v>389</v>
      </c>
      <c r="E14" s="35" t="n">
        <v>389</v>
      </c>
      <c r="F14" s="36" t="inlineStr">
        <is>
          <t>2026-06-10</t>
        </is>
      </c>
      <c r="G14" s="37" t="inlineStr">
        <is>
          <t>nuvemshop.com.br/planos-e-precos</t>
        </is>
      </c>
    </row>
    <row r="15" ht="24" customHeight="1">
      <c r="B15" s="34" t="inlineStr">
        <is>
          <t>Nuvemshop Experts — comissão</t>
        </is>
      </c>
      <c r="C15" s="36" t="n"/>
      <c r="D15" s="36" t="inlineStr">
        <is>
          <t>20%</t>
        </is>
      </c>
      <c r="E15" s="36" t="n"/>
      <c r="F15" s="36" t="inlineStr">
        <is>
          <t>2026-06-10</t>
        </is>
      </c>
      <c r="G15" s="37" t="inlineStr">
        <is>
          <t>atendimento.nuvemshop.com.br — comissões vigentes</t>
        </is>
      </c>
    </row>
    <row r="16" ht="24" customHeight="1">
      <c r="B16" s="34" t="inlineStr">
        <is>
          <t>WooCommerce hospedagem entry (Hostinger/KingHost)</t>
        </is>
      </c>
      <c r="C16" s="35" t="n">
        <v>13</v>
      </c>
      <c r="D16" s="35" t="n">
        <v>30</v>
      </c>
      <c r="E16" s="35" t="n">
        <v>50</v>
      </c>
      <c r="F16" s="36" t="inlineStr">
        <is>
          <t>2026-06-10</t>
        </is>
      </c>
      <c r="G16" s="37" t="inlineStr">
        <is>
          <t>hostinger.com/br/tutoriais/wordpress-preco; site.king.host</t>
        </is>
      </c>
    </row>
    <row r="17" ht="24" customHeight="1">
      <c r="B17" s="34" t="inlineStr">
        <is>
          <t>WooCommerce TCO total (hosp+plugins)</t>
        </is>
      </c>
      <c r="C17" s="35" t="n">
        <v>100</v>
      </c>
      <c r="D17" s="35" t="n">
        <v>250</v>
      </c>
      <c r="E17" s="35" t="n">
        <v>500</v>
      </c>
      <c r="F17" s="36" t="inlineStr">
        <is>
          <t>2026-06-10</t>
        </is>
      </c>
      <c r="G17" s="37" t="inlineStr">
        <is>
          <t>Composição — estimativa de mercado</t>
        </is>
      </c>
    </row>
    <row r="18" ht="24" customHeight="1">
      <c r="B18" s="34" t="inlineStr">
        <is>
          <t>Wix Core eCommerce (US$ 29)</t>
        </is>
      </c>
      <c r="C18" s="35" t="n">
        <v>157</v>
      </c>
      <c r="D18" s="35" t="n">
        <v>157</v>
      </c>
      <c r="E18" s="35" t="n">
        <v>157</v>
      </c>
      <c r="F18" s="36" t="inlineStr">
        <is>
          <t>2026-06-10</t>
        </is>
      </c>
      <c r="G18" s="37" t="inlineStr">
        <is>
          <t>tooltester.com/wix</t>
        </is>
      </c>
    </row>
    <row r="19" ht="24" customHeight="1">
      <c r="B19" s="34" t="inlineStr">
        <is>
          <t>BigCommerce Core (US$ 39, cap US$ 50k/ano)</t>
        </is>
      </c>
      <c r="C19" s="35" t="n">
        <v>211</v>
      </c>
      <c r="D19" s="35" t="n">
        <v>211</v>
      </c>
      <c r="E19" s="35" t="n">
        <v>211</v>
      </c>
      <c r="F19" s="36" t="inlineStr">
        <is>
          <t>2026-06-10</t>
        </is>
      </c>
      <c r="G19" s="37" t="inlineStr">
        <is>
          <t>bigcommerce.com/essentials/pricing</t>
        </is>
      </c>
    </row>
    <row r="20" ht="24" customHeight="1">
      <c r="B20" s="34" t="inlineStr">
        <is>
          <t>VTEX Business (anual R$ 60k)</t>
        </is>
      </c>
      <c r="C20" s="35" t="n">
        <v>5000</v>
      </c>
      <c r="D20" s="35" t="n">
        <v>5000</v>
      </c>
      <c r="E20" s="35" t="n">
        <v>5000</v>
      </c>
      <c r="F20" s="36" t="inlineStr">
        <is>
          <t>2026-06-10</t>
        </is>
      </c>
      <c r="G20" s="37" t="inlineStr">
        <is>
          <t>assine.vtex.com/vtex-commerce-suite-new-business</t>
        </is>
      </c>
    </row>
    <row r="22" ht="20" customHeight="1">
      <c r="A22" s="33" t="inlineStr">
        <is>
          <t>B. PREÇOS DE SERVIÇOS — REFERÊNCIAS DE MERCADO BR</t>
        </is>
      </c>
    </row>
    <row r="23">
      <c r="B23" s="6" t="inlineStr">
        <is>
          <t>Item</t>
        </is>
      </c>
      <c r="C23" s="6" t="inlineStr">
        <is>
          <t>Mínimo</t>
        </is>
      </c>
      <c r="D23" s="6" t="inlineStr">
        <is>
          <t>Médio</t>
        </is>
      </c>
      <c r="E23" s="6" t="inlineStr">
        <is>
          <t>Máximo</t>
        </is>
      </c>
      <c r="F23" s="6" t="inlineStr">
        <is>
          <t>Data</t>
        </is>
      </c>
      <c r="G23" s="6" t="inlineStr">
        <is>
          <t>Fonte / Observação</t>
        </is>
      </c>
    </row>
    <row r="24" ht="24" customHeight="1">
      <c r="B24" s="34" t="inlineStr">
        <is>
          <t>Implementação e-commerce ENTRY (Nuvemshop/Tray template)</t>
        </is>
      </c>
      <c r="C24" s="35" t="n">
        <v>3000</v>
      </c>
      <c r="D24" s="35" t="n">
        <v>6000</v>
      </c>
      <c r="E24" s="35" t="n">
        <v>10000</v>
      </c>
      <c r="F24" s="36" t="inlineStr">
        <is>
          <t>2026-06-10</t>
        </is>
      </c>
      <c r="G24" s="37" t="inlineStr">
        <is>
          <t>mathcreator.com.br; safiradesign.com.br</t>
        </is>
      </c>
    </row>
    <row r="25" ht="24" customHeight="1">
      <c r="B25" s="34" t="inlineStr">
        <is>
          <t>Implementação Shopify INTERMEDIÁRIO</t>
        </is>
      </c>
      <c r="C25" s="35" t="n">
        <v>8000</v>
      </c>
      <c r="D25" s="35" t="n">
        <v>18000</v>
      </c>
      <c r="E25" s="35" t="n">
        <v>25000</v>
      </c>
      <c r="F25" s="36" t="inlineStr">
        <is>
          <t>2026-06-10</t>
        </is>
      </c>
      <c r="G25" s="37" t="inlineStr">
        <is>
          <t>litextension.com/pt/blog/shopify-pricing; simplesinovacao.com</t>
        </is>
      </c>
    </row>
    <row r="26" ht="24" customHeight="1">
      <c r="B26" s="34" t="inlineStr">
        <is>
          <t>Implementação Shopify/VTEX PREMIUM (custom)</t>
        </is>
      </c>
      <c r="C26" s="35" t="n">
        <v>25000</v>
      </c>
      <c r="D26" s="35" t="n">
        <v>35000</v>
      </c>
      <c r="E26" s="35" t="n">
        <v>60000</v>
      </c>
      <c r="F26" s="36" t="inlineStr">
        <is>
          <t>2026-06-10</t>
        </is>
      </c>
      <c r="G26" s="37" t="inlineStr">
        <is>
          <t>litextension.com</t>
        </is>
      </c>
    </row>
    <row r="27" ht="24" customHeight="1">
      <c r="B27" s="34" t="inlineStr">
        <is>
          <t>Site institucional simples</t>
        </is>
      </c>
      <c r="C27" s="35" t="n">
        <v>3000</v>
      </c>
      <c r="D27" s="35" t="n">
        <v>5000</v>
      </c>
      <c r="E27" s="35" t="n">
        <v>6000</v>
      </c>
      <c r="F27" s="36" t="inlineStr">
        <is>
          <t>2026-06-10</t>
        </is>
      </c>
      <c r="G27" s="37" t="inlineStr">
        <is>
          <t>hostwp.com.br; safiradesign.com.br</t>
        </is>
      </c>
    </row>
    <row r="28" ht="24" customHeight="1">
      <c r="B28" s="34" t="inlineStr">
        <is>
          <t>Site institucional premium</t>
        </is>
      </c>
      <c r="C28" s="35" t="n">
        <v>7000</v>
      </c>
      <c r="D28" s="35" t="n">
        <v>11000</v>
      </c>
      <c r="E28" s="35" t="n">
        <v>15000</v>
      </c>
      <c r="F28" s="36" t="inlineStr">
        <is>
          <t>2026-06-10</t>
        </is>
      </c>
      <c r="G28" s="37" t="inlineStr">
        <is>
          <t>hostwp.com.br; mathcreator.com.br</t>
        </is>
      </c>
    </row>
    <row r="29" ht="24" customHeight="1">
      <c r="B29" s="34" t="inlineStr">
        <is>
          <t>Landing page básica (template)</t>
        </is>
      </c>
      <c r="C29" s="35" t="n">
        <v>300</v>
      </c>
      <c r="D29" s="35" t="n">
        <v>600</v>
      </c>
      <c r="E29" s="35" t="n">
        <v>900</v>
      </c>
      <c r="F29" s="36" t="inlineStr">
        <is>
          <t>2026-06-10</t>
        </is>
      </c>
      <c r="G29" s="37" t="inlineStr">
        <is>
          <t>gabrieldosite.com.br</t>
        </is>
      </c>
    </row>
    <row r="30" ht="24" customHeight="1">
      <c r="B30" s="34" t="inlineStr">
        <is>
          <t>Landing page profissional</t>
        </is>
      </c>
      <c r="C30" s="35" t="n">
        <v>1200</v>
      </c>
      <c r="D30" s="35" t="n">
        <v>2500</v>
      </c>
      <c r="E30" s="35" t="n">
        <v>4000</v>
      </c>
      <c r="F30" s="36" t="inlineStr">
        <is>
          <t>2026-06-10</t>
        </is>
      </c>
      <c r="G30" s="37" t="inlineStr">
        <is>
          <t>bluepaper.io</t>
        </is>
      </c>
    </row>
    <row r="31" ht="24" customHeight="1">
      <c r="B31" s="34" t="inlineStr">
        <is>
          <t>Landing page estratégica c/ funil/automação</t>
        </is>
      </c>
      <c r="C31" s="35" t="n">
        <v>2000</v>
      </c>
      <c r="D31" s="35" t="n">
        <v>4500</v>
      </c>
      <c r="E31" s="35" t="n">
        <v>8000</v>
      </c>
      <c r="F31" s="36" t="inlineStr">
        <is>
          <t>2026-06-10</t>
        </is>
      </c>
      <c r="G31" s="37" t="inlineStr">
        <is>
          <t>bluepaper.io</t>
        </is>
      </c>
    </row>
    <row r="32" ht="24" customHeight="1">
      <c r="B32" s="34" t="inlineStr">
        <is>
          <t>Migração de plataforma (ex: VTEX→Shopify)</t>
        </is>
      </c>
      <c r="C32" s="35" t="n">
        <v>8000</v>
      </c>
      <c r="D32" s="35" t="n">
        <v>18000</v>
      </c>
      <c r="E32" s="35" t="n">
        <v>40000</v>
      </c>
      <c r="F32" s="36" t="inlineStr">
        <is>
          <t>2026-06-10</t>
        </is>
      </c>
      <c r="G32" s="37" t="inlineStr">
        <is>
          <t>hulkapps.com</t>
        </is>
      </c>
    </row>
    <row r="33" ht="24" customHeight="1">
      <c r="B33" s="34" t="inlineStr">
        <is>
          <t>Integração ERP (Bling/Tiny/Omie) projeto único</t>
        </is>
      </c>
      <c r="C33" s="35" t="n">
        <v>490</v>
      </c>
      <c r="D33" s="35" t="n">
        <v>1500</v>
      </c>
      <c r="E33" s="35" t="n">
        <v>4000</v>
      </c>
      <c r="F33" s="36" t="inlineStr">
        <is>
          <t>2026-06-10</t>
        </is>
      </c>
      <c r="G33" s="37" t="inlineStr">
        <is>
          <t>brauerecommerce.com.br</t>
        </is>
      </c>
    </row>
    <row r="34" ht="24" customHeight="1">
      <c r="B34" s="34" t="inlineStr">
        <is>
          <t>SEO técnico — auditoria pontual</t>
        </is>
      </c>
      <c r="C34" s="35" t="n">
        <v>1200</v>
      </c>
      <c r="D34" s="35" t="n">
        <v>4000</v>
      </c>
      <c r="E34" s="35" t="n">
        <v>8000</v>
      </c>
      <c r="F34" s="36" t="inlineStr">
        <is>
          <t>2026-06-10</t>
        </is>
      </c>
      <c r="G34" s="37" t="inlineStr">
        <is>
          <t>juanmoura.com; profissionalseo.com.br</t>
        </is>
      </c>
    </row>
    <row r="35" ht="24" customHeight="1">
      <c r="B35" s="34" t="inlineStr">
        <is>
          <t>SEO técnico — mensal contínuo</t>
        </is>
      </c>
      <c r="C35" s="35" t="n">
        <v>2000</v>
      </c>
      <c r="D35" s="35" t="n">
        <v>5000</v>
      </c>
      <c r="E35" s="35" t="n">
        <v>15000</v>
      </c>
      <c r="F35" s="36" t="inlineStr">
        <is>
          <t>2026-06-10</t>
        </is>
      </c>
      <c r="G35" s="37" t="inlineStr">
        <is>
          <t>juanmoura.com</t>
        </is>
      </c>
    </row>
    <row r="36" ht="24" customHeight="1">
      <c r="B36" s="34" t="inlineStr">
        <is>
          <t>Auditoria de e-commerce</t>
        </is>
      </c>
      <c r="C36" s="35" t="n">
        <v>1500</v>
      </c>
      <c r="D36" s="35" t="n">
        <v>4000</v>
      </c>
      <c r="E36" s="35" t="n">
        <v>10000</v>
      </c>
      <c r="F36" s="36" t="inlineStr">
        <is>
          <t>2026-06-10</t>
        </is>
      </c>
      <c r="G36" s="37" t="inlineStr">
        <is>
          <t>Estimativa — referência similar a auditoria SEO</t>
        </is>
      </c>
    </row>
    <row r="37" ht="24" customHeight="1">
      <c r="B37" s="34" t="inlineStr">
        <is>
          <t>Hora freelancer sênior (dev)</t>
        </is>
      </c>
      <c r="C37" s="35" t="n">
        <v>150</v>
      </c>
      <c r="D37" s="35" t="n">
        <v>250</v>
      </c>
      <c r="E37" s="35" t="n">
        <v>400</v>
      </c>
      <c r="F37" s="36" t="inlineStr">
        <is>
          <t>2026-06-10</t>
        </is>
      </c>
      <c r="G37" s="37" t="inlineStr">
        <is>
          <t>godaddy.com; unclik.com.br/Glassdoor</t>
        </is>
      </c>
    </row>
    <row r="38" ht="24" customHeight="1">
      <c r="B38" s="34" t="inlineStr">
        <is>
          <t>Hora agência (dev)</t>
        </is>
      </c>
      <c r="C38" s="35" t="n">
        <v>200</v>
      </c>
      <c r="D38" s="35" t="n">
        <v>350</v>
      </c>
      <c r="E38" s="35" t="n">
        <v>600</v>
      </c>
      <c r="F38" s="36" t="inlineStr">
        <is>
          <t>2026-06-10</t>
        </is>
      </c>
      <c r="G38" s="37" t="inlineStr">
        <is>
          <t>Estimativa: +40-60% sobre freela sênior</t>
        </is>
      </c>
    </row>
    <row r="39" ht="24" customHeight="1">
      <c r="B39" s="34" t="inlineStr">
        <is>
          <t>Squad agência (4-5 pessoas/mês)</t>
        </is>
      </c>
      <c r="C39" s="35" t="n">
        <v>60000</v>
      </c>
      <c r="D39" s="35" t="n">
        <v>90000</v>
      </c>
      <c r="E39" s="35" t="n">
        <v>120000</v>
      </c>
      <c r="F39" s="36" t="inlineStr">
        <is>
          <t>2026-06-10</t>
        </is>
      </c>
      <c r="G39" s="37" t="inlineStr">
        <is>
          <t>numerando.com.br</t>
        </is>
      </c>
    </row>
    <row r="41" ht="20" customHeight="1">
      <c r="A41" s="33" t="inlineStr">
        <is>
          <t>C. PLANOS MENSAIS DE SUPORTE/MANUTENÇÃO BR</t>
        </is>
      </c>
    </row>
    <row r="42">
      <c r="B42" s="6" t="inlineStr">
        <is>
          <t>Item</t>
        </is>
      </c>
      <c r="C42" s="6" t="inlineStr">
        <is>
          <t>Mínimo</t>
        </is>
      </c>
      <c r="D42" s="6" t="inlineStr">
        <is>
          <t>Médio</t>
        </is>
      </c>
      <c r="E42" s="6" t="inlineStr">
        <is>
          <t>Máximo</t>
        </is>
      </c>
      <c r="F42" s="6" t="inlineStr">
        <is>
          <t>Data</t>
        </is>
      </c>
      <c r="G42" s="6" t="inlineStr">
        <is>
          <t>Fonte / Observação</t>
        </is>
      </c>
    </row>
    <row r="43" ht="24" customHeight="1">
      <c r="B43" s="34" t="inlineStr">
        <is>
          <t>WP Essencial 1 site, 2h, manutenção preventiva</t>
        </is>
      </c>
      <c r="C43" s="35" t="n">
        <v>199</v>
      </c>
      <c r="D43" s="35" t="n">
        <v>250</v>
      </c>
      <c r="E43" s="35" t="n">
        <v>300</v>
      </c>
      <c r="F43" s="36" t="inlineStr">
        <is>
          <t>2026-06-10</t>
        </is>
      </c>
      <c r="G43" s="37" t="inlineStr">
        <is>
          <t>profissionalwp.dev.br</t>
        </is>
      </c>
    </row>
    <row r="44" ht="24" customHeight="1">
      <c r="B44" s="34" t="inlineStr">
        <is>
          <t>Loja virtual mid (6h, não cumulativas)</t>
        </is>
      </c>
      <c r="C44" s="35" t="n">
        <v>600</v>
      </c>
      <c r="D44" s="35" t="n">
        <v>900</v>
      </c>
      <c r="E44" s="35" t="n">
        <v>1200</v>
      </c>
      <c r="F44" s="36" t="inlineStr">
        <is>
          <t>2026-06-10</t>
        </is>
      </c>
      <c r="G44" s="37" t="inlineStr">
        <is>
          <t>linkwell.com.br — faixa estimada</t>
        </is>
      </c>
    </row>
    <row r="45" ht="24" customHeight="1">
      <c r="B45" s="34" t="inlineStr">
        <is>
          <t>Mid-tier (10-20h, SLA 24h)</t>
        </is>
      </c>
      <c r="C45" s="35" t="n">
        <v>1500</v>
      </c>
      <c r="D45" s="35" t="n">
        <v>2500</v>
      </c>
      <c r="E45" s="35" t="n">
        <v>3500</v>
      </c>
      <c r="F45" s="36" t="inlineStr">
        <is>
          <t>2026-06-10</t>
        </is>
      </c>
      <c r="G45" s="37" t="inlineStr">
        <is>
          <t>ae.digital — estimativa</t>
        </is>
      </c>
    </row>
    <row r="46" ht="24" customHeight="1">
      <c r="B46" s="34" t="inlineStr">
        <is>
          <t>Premium (30h+, SLA 4h úteis)</t>
        </is>
      </c>
      <c r="C46" s="35" t="n">
        <v>4000</v>
      </c>
      <c r="D46" s="35" t="n">
        <v>6000</v>
      </c>
      <c r="E46" s="35" t="n">
        <v>8000</v>
      </c>
      <c r="F46" s="36" t="inlineStr">
        <is>
          <t>2026-06-10</t>
        </is>
      </c>
      <c r="G46" s="37" t="inlineStr">
        <is>
          <t>found.pt — estimativa</t>
        </is>
      </c>
    </row>
    <row r="48" ht="20" customHeight="1">
      <c r="A48" s="33" t="inlineStr">
        <is>
          <t>D. TAXAS DE CARTÃO BR 2025-2026 (online com antecipação automática)</t>
        </is>
      </c>
    </row>
    <row r="49">
      <c r="B49" s="6" t="inlineStr">
        <is>
          <t>Item</t>
        </is>
      </c>
      <c r="C49" s="6" t="inlineStr">
        <is>
          <t>Mínimo</t>
        </is>
      </c>
      <c r="D49" s="6" t="inlineStr">
        <is>
          <t>Médio</t>
        </is>
      </c>
      <c r="E49" s="6" t="inlineStr">
        <is>
          <t>Máximo</t>
        </is>
      </c>
      <c r="F49" s="6" t="inlineStr">
        <is>
          <t>Data</t>
        </is>
      </c>
      <c r="G49" s="6" t="inlineStr">
        <is>
          <t>Fonte / Observação</t>
        </is>
      </c>
    </row>
    <row r="50" ht="24" customHeight="1">
      <c r="B50" s="34" t="inlineStr">
        <is>
          <t>Stone — Débito | À vista | Parcelado start</t>
        </is>
      </c>
      <c r="C50" s="36" t="inlineStr">
        <is>
          <t>1,25%</t>
        </is>
      </c>
      <c r="D50" s="36" t="inlineStr">
        <is>
          <t>3,11%</t>
        </is>
      </c>
      <c r="E50" s="36" t="inlineStr">
        <is>
          <t>5,41%</t>
        </is>
      </c>
      <c r="F50" s="36" t="inlineStr">
        <is>
          <t>2026-06-10</t>
        </is>
      </c>
      <c r="G50" s="37" t="inlineStr">
        <is>
          <t>calculadoradetaxas.com.br/stone</t>
        </is>
      </c>
    </row>
    <row r="51" ht="24" customHeight="1">
      <c r="B51" s="34" t="inlineStr">
        <is>
          <t>Mercado Pago — 12x D+14 | D+1 | D+0</t>
        </is>
      </c>
      <c r="C51" s="36" t="inlineStr">
        <is>
          <t>9,98%</t>
        </is>
      </c>
      <c r="D51" s="36" t="inlineStr">
        <is>
          <t>12,49%</t>
        </is>
      </c>
      <c r="E51" s="36" t="inlineStr">
        <is>
          <t>14,99%</t>
        </is>
      </c>
      <c r="F51" s="36" t="inlineStr">
        <is>
          <t>2026-06-10</t>
        </is>
      </c>
      <c r="G51" s="37" t="inlineStr">
        <is>
          <t>blog.jota.ai/taxas-maquininha-mercadopago-2026</t>
        </is>
      </c>
    </row>
    <row r="52" ht="24" customHeight="1">
      <c r="B52" s="34" t="inlineStr">
        <is>
          <t>PagBank — Débito | Crédito D+30 | D+0</t>
        </is>
      </c>
      <c r="C52" s="36" t="inlineStr">
        <is>
          <t>1,99%</t>
        </is>
      </c>
      <c r="D52" s="36" t="inlineStr">
        <is>
          <t>3,19%</t>
        </is>
      </c>
      <c r="E52" s="36" t="inlineStr">
        <is>
          <t>4,99%</t>
        </is>
      </c>
      <c r="F52" s="36" t="inlineStr">
        <is>
          <t>2026-06-10</t>
        </is>
      </c>
      <c r="G52" s="37" t="inlineStr">
        <is>
          <t>pagbank.com.br/maquininhas/taxas-e-tarifas</t>
        </is>
      </c>
    </row>
    <row r="53" ht="24" customHeight="1">
      <c r="B53" s="34" t="inlineStr">
        <is>
          <t>InfinitePay — Débito | Crédito vista | 12x</t>
        </is>
      </c>
      <c r="C53" s="36" t="inlineStr">
        <is>
          <t>0,75%</t>
        </is>
      </c>
      <c r="D53" s="36" t="inlineStr">
        <is>
          <t>2,69%</t>
        </is>
      </c>
      <c r="E53" s="36" t="inlineStr">
        <is>
          <t>8,99%</t>
        </is>
      </c>
      <c r="F53" s="36" t="inlineStr">
        <is>
          <t>2026-06-10</t>
        </is>
      </c>
      <c r="G53" s="37" t="inlineStr">
        <is>
          <t>infinitepay.io/taxas</t>
        </is>
      </c>
    </row>
    <row r="54" ht="24" customHeight="1">
      <c r="B54" s="34" t="inlineStr">
        <is>
          <t>InfinitePay — PIX</t>
        </is>
      </c>
      <c r="C54" s="36" t="inlineStr">
        <is>
          <t>0%</t>
        </is>
      </c>
      <c r="D54" s="36" t="inlineStr">
        <is>
          <t>0%</t>
        </is>
      </c>
      <c r="E54" s="36" t="inlineStr">
        <is>
          <t>0%</t>
        </is>
      </c>
      <c r="F54" s="36" t="inlineStr">
        <is>
          <t>2026-06-10</t>
        </is>
      </c>
      <c r="G54" s="37" t="inlineStr">
        <is>
          <t>infinitepay.io/pix</t>
        </is>
      </c>
    </row>
    <row r="55" ht="24" customHeight="1">
      <c r="B55" s="34" t="inlineStr">
        <is>
          <t>Cielo — Débito | Crédito vista (entry)</t>
        </is>
      </c>
      <c r="C55" s="36" t="inlineStr">
        <is>
          <t>1,07%</t>
        </is>
      </c>
      <c r="D55" s="36" t="inlineStr">
        <is>
          <t>3,48%</t>
        </is>
      </c>
      <c r="E55" s="36" t="inlineStr">
        <is>
          <t>—</t>
        </is>
      </c>
      <c r="F55" s="36" t="inlineStr">
        <is>
          <t>2026-06-10</t>
        </is>
      </c>
      <c r="G55" s="37" t="inlineStr">
        <is>
          <t>calculadoradetaxas.com.br/cielo</t>
        </is>
      </c>
    </row>
    <row r="56" ht="24" customHeight="1">
      <c r="B56" s="34" t="inlineStr">
        <is>
          <t>Cielo — Antecipação manual a.m.</t>
        </is>
      </c>
      <c r="C56" s="36" t="inlineStr">
        <is>
          <t>1,49%</t>
        </is>
      </c>
      <c r="D56" s="36" t="inlineStr">
        <is>
          <t>2,5%</t>
        </is>
      </c>
      <c r="E56" s="36" t="inlineStr">
        <is>
          <t>3,5%</t>
        </is>
      </c>
      <c r="F56" s="36" t="inlineStr">
        <is>
          <t>2026-06-10</t>
        </is>
      </c>
      <c r="G56" s="37" t="inlineStr">
        <is>
          <t>antecipafacil.com.br</t>
        </is>
      </c>
    </row>
    <row r="57" ht="24" customHeight="1">
      <c r="B57" s="34" t="inlineStr">
        <is>
          <t>Inadimplência B2B BR (Serasa dez/25)</t>
        </is>
      </c>
      <c r="C57" s="36" t="inlineStr">
        <is>
          <t>8,9 mi empresas</t>
        </is>
      </c>
      <c r="D57" s="36" t="inlineStr">
        <is>
          <t>R$ 213 bi dívida</t>
        </is>
      </c>
      <c r="E57" s="36" t="inlineStr">
        <is>
          <t>55,2% serviços</t>
        </is>
      </c>
      <c r="F57" s="36" t="inlineStr">
        <is>
          <t>2026-06-10</t>
        </is>
      </c>
      <c r="G57" s="37" t="inlineStr">
        <is>
          <t>serasa.com.br/limpa-nome/mapa-inadimplencia</t>
        </is>
      </c>
    </row>
    <row r="59" ht="20" customHeight="1">
      <c r="A59" s="33" t="inlineStr">
        <is>
          <t>E. FERRAMENTAS — preço mensal (BRL ou USD convertido)</t>
        </is>
      </c>
    </row>
    <row r="60">
      <c r="B60" s="6" t="inlineStr">
        <is>
          <t>Item</t>
        </is>
      </c>
      <c r="C60" s="6" t="inlineStr">
        <is>
          <t>Mínimo</t>
        </is>
      </c>
      <c r="D60" s="6" t="inlineStr">
        <is>
          <t>Médio</t>
        </is>
      </c>
      <c r="E60" s="6" t="inlineStr">
        <is>
          <t>Máximo</t>
        </is>
      </c>
      <c r="F60" s="6" t="inlineStr">
        <is>
          <t>Data</t>
        </is>
      </c>
      <c r="G60" s="6" t="inlineStr">
        <is>
          <t>Fonte / Observação</t>
        </is>
      </c>
    </row>
    <row r="61" ht="24" customHeight="1">
      <c r="B61" s="34" t="inlineStr">
        <is>
          <t>ChatGPT Plus (US$ 20)</t>
        </is>
      </c>
      <c r="C61" s="35" t="n">
        <v>108</v>
      </c>
      <c r="D61" s="35" t="n">
        <v>108</v>
      </c>
      <c r="E61" s="35" t="n">
        <v>108</v>
      </c>
      <c r="F61" s="36" t="inlineStr">
        <is>
          <t>2026-06-10</t>
        </is>
      </c>
      <c r="G61" s="37" t="inlineStr">
        <is>
          <t>openai.com/pricing</t>
        </is>
      </c>
    </row>
    <row r="62" ht="24" customHeight="1">
      <c r="B62" s="34" t="inlineStr">
        <is>
          <t>ChatGPT Team anual (US$ 25/seat)</t>
        </is>
      </c>
      <c r="C62" s="35" t="n">
        <v>135</v>
      </c>
      <c r="D62" s="35" t="n">
        <v>135</v>
      </c>
      <c r="E62" s="35" t="n">
        <v>135</v>
      </c>
      <c r="F62" s="36" t="inlineStr">
        <is>
          <t>2026-06-10</t>
        </is>
      </c>
      <c r="G62" s="37" t="inlineStr">
        <is>
          <t>openai.com/pricing</t>
        </is>
      </c>
    </row>
    <row r="63" ht="24" customHeight="1">
      <c r="B63" s="34" t="inlineStr">
        <is>
          <t>Claude Pro (US$ 20)</t>
        </is>
      </c>
      <c r="C63" s="35" t="n">
        <v>108</v>
      </c>
      <c r="D63" s="35" t="n">
        <v>108</v>
      </c>
      <c r="E63" s="35" t="n">
        <v>108</v>
      </c>
      <c r="F63" s="36" t="inlineStr">
        <is>
          <t>2026-06-10</t>
        </is>
      </c>
      <c r="G63" s="37" t="inlineStr">
        <is>
          <t>claude.com/pricing</t>
        </is>
      </c>
    </row>
    <row r="64" ht="24" customHeight="1">
      <c r="B64" s="34" t="inlineStr">
        <is>
          <t>Claude Team Standard anual (US$ 20/seat, min 5)</t>
        </is>
      </c>
      <c r="C64" s="35" t="n">
        <v>108</v>
      </c>
      <c r="D64" s="35" t="n">
        <v>108</v>
      </c>
      <c r="E64" s="35" t="n">
        <v>108</v>
      </c>
      <c r="F64" s="36" t="inlineStr">
        <is>
          <t>2026-06-10</t>
        </is>
      </c>
      <c r="G64" s="37" t="inlineStr">
        <is>
          <t>claude.com/pricing</t>
        </is>
      </c>
    </row>
    <row r="65" ht="24" customHeight="1">
      <c r="B65" s="34" t="inlineStr">
        <is>
          <t>Cursor Pro (US$ 20)</t>
        </is>
      </c>
      <c r="C65" s="35" t="n">
        <v>108</v>
      </c>
      <c r="D65" s="35" t="n">
        <v>108</v>
      </c>
      <c r="E65" s="35" t="n">
        <v>108</v>
      </c>
      <c r="F65" s="36" t="inlineStr">
        <is>
          <t>2026-06-10</t>
        </is>
      </c>
      <c r="G65" s="37" t="inlineStr">
        <is>
          <t>cursor.com/pricing</t>
        </is>
      </c>
    </row>
    <row r="66" ht="24" customHeight="1">
      <c r="B66" s="34" t="inlineStr">
        <is>
          <t>GitHub Copilot Pro (US$ 10)</t>
        </is>
      </c>
      <c r="C66" s="35" t="n">
        <v>54</v>
      </c>
      <c r="D66" s="35" t="n">
        <v>54</v>
      </c>
      <c r="E66" s="35" t="n">
        <v>54</v>
      </c>
      <c r="F66" s="36" t="inlineStr">
        <is>
          <t>2026-06-10</t>
        </is>
      </c>
      <c r="G66" s="37" t="inlineStr">
        <is>
          <t>github.com/features/copilot/plans</t>
        </is>
      </c>
    </row>
    <row r="67" ht="24" customHeight="1">
      <c r="B67" s="34" t="inlineStr">
        <is>
          <t>Figma Professional anual (US$ 15/editor)</t>
        </is>
      </c>
      <c r="C67" s="35" t="n">
        <v>81</v>
      </c>
      <c r="D67" s="35" t="n">
        <v>81</v>
      </c>
      <c r="E67" s="35" t="n">
        <v>81</v>
      </c>
      <c r="F67" s="36" t="inlineStr">
        <is>
          <t>2026-06-10</t>
        </is>
      </c>
      <c r="G67" s="37" t="inlineStr">
        <is>
          <t>figma.com/pricing</t>
        </is>
      </c>
    </row>
    <row r="68" ht="24" customHeight="1">
      <c r="B68" s="34" t="inlineStr">
        <is>
          <t>Canva Pro anual (1 pessoa)</t>
        </is>
      </c>
      <c r="C68" s="35" t="n">
        <v>24</v>
      </c>
      <c r="D68" s="35" t="n">
        <v>24</v>
      </c>
      <c r="E68" s="35" t="n">
        <v>24</v>
      </c>
      <c r="F68" s="36" t="inlineStr">
        <is>
          <t>2026-06-10</t>
        </is>
      </c>
      <c r="G68" s="37" t="inlineStr">
        <is>
          <t>canva.com/pt_br/precos</t>
        </is>
      </c>
    </row>
    <row r="69" ht="24" customHeight="1">
      <c r="B69" s="34" t="inlineStr">
        <is>
          <t>Canva Teams (até 5 pessoas)</t>
        </is>
      </c>
      <c r="C69" s="35" t="n">
        <v>39</v>
      </c>
      <c r="D69" s="35" t="n">
        <v>39</v>
      </c>
      <c r="E69" s="35" t="n">
        <v>39</v>
      </c>
      <c r="F69" s="36" t="inlineStr">
        <is>
          <t>2026-06-10</t>
        </is>
      </c>
      <c r="G69" s="37" t="inlineStr">
        <is>
          <t>darlanevandro.com.br</t>
        </is>
      </c>
    </row>
    <row r="70" ht="24" customHeight="1">
      <c r="B70" s="34" t="inlineStr">
        <is>
          <t>Adobe Creative Cloud Standard (BR atual)</t>
        </is>
      </c>
      <c r="C70" s="35" t="n">
        <v>249</v>
      </c>
      <c r="D70" s="35" t="n">
        <v>249</v>
      </c>
      <c r="E70" s="35" t="n">
        <v>320</v>
      </c>
      <c r="F70" s="36" t="inlineStr">
        <is>
          <t>2026-06-10</t>
        </is>
      </c>
      <c r="G70" s="37" t="inlineStr">
        <is>
          <t>tecnoblog.net (vigente desde ago/25)</t>
        </is>
      </c>
    </row>
    <row r="71" ht="24" customHeight="1">
      <c r="B71" s="34" t="inlineStr">
        <is>
          <t>Make Core Starter (US$ 10,59)</t>
        </is>
      </c>
      <c r="C71" s="35" t="n">
        <v>57</v>
      </c>
      <c r="D71" s="35" t="n">
        <v>57</v>
      </c>
      <c r="E71" s="35" t="n">
        <v>57</v>
      </c>
      <c r="F71" s="36" t="inlineStr">
        <is>
          <t>2026-06-10</t>
        </is>
      </c>
      <c r="G71" s="37" t="inlineStr">
        <is>
          <t>toolradar.com/blog/zapier-pricing-2026</t>
        </is>
      </c>
    </row>
    <row r="72" ht="24" customHeight="1">
      <c r="B72" s="34" t="inlineStr">
        <is>
          <t>Zapier Starter (US$ 19,99)</t>
        </is>
      </c>
      <c r="C72" s="35" t="n">
        <v>108</v>
      </c>
      <c r="D72" s="35" t="n">
        <v>108</v>
      </c>
      <c r="E72" s="35" t="n">
        <v>108</v>
      </c>
      <c r="F72" s="36" t="inlineStr">
        <is>
          <t>2026-06-10</t>
        </is>
      </c>
      <c r="G72" s="37" t="inlineStr">
        <is>
          <t>toolradar.com</t>
        </is>
      </c>
    </row>
    <row r="73" ht="24" customHeight="1">
      <c r="B73" s="34" t="inlineStr">
        <is>
          <t>n8n Cloud Starter (€20)</t>
        </is>
      </c>
      <c r="C73" s="35" t="n">
        <v>118</v>
      </c>
      <c r="D73" s="35" t="n">
        <v>118</v>
      </c>
      <c r="E73" s="35" t="n">
        <v>118</v>
      </c>
      <c r="F73" s="36" t="inlineStr">
        <is>
          <t>2026-06-10</t>
        </is>
      </c>
      <c r="G73" s="37" t="inlineStr">
        <is>
          <t>n8n.io/pricing — self-host gratuito</t>
        </is>
      </c>
    </row>
    <row r="74" ht="24" customHeight="1">
      <c r="B74" s="34" t="inlineStr">
        <is>
          <t>ClickUp Unlimited anual</t>
        </is>
      </c>
      <c r="C74" s="35" t="n">
        <v>7</v>
      </c>
      <c r="D74" s="35" t="n">
        <v>7</v>
      </c>
      <c r="E74" s="35" t="n">
        <v>7</v>
      </c>
      <c r="F74" s="36" t="inlineStr">
        <is>
          <t>2026-06-10</t>
        </is>
      </c>
      <c r="G74" s="37" t="inlineStr">
        <is>
          <t>getaiperks.com/clickup-pricing — BRL direto</t>
        </is>
      </c>
    </row>
    <row r="75" ht="24" customHeight="1">
      <c r="B75" s="34" t="inlineStr">
        <is>
          <t>ClickUp Business anual</t>
        </is>
      </c>
      <c r="C75" s="35" t="n">
        <v>12</v>
      </c>
      <c r="D75" s="35" t="n">
        <v>12</v>
      </c>
      <c r="E75" s="35" t="n">
        <v>12</v>
      </c>
      <c r="F75" s="36" t="inlineStr">
        <is>
          <t>2026-06-10</t>
        </is>
      </c>
      <c r="G75" s="37" t="inlineStr">
        <is>
          <t>getaiperks.com</t>
        </is>
      </c>
    </row>
    <row r="76" ht="24" customHeight="1">
      <c r="B76" s="34" t="inlineStr">
        <is>
          <t>Trello Standard (US$ 5)</t>
        </is>
      </c>
      <c r="C76" s="35" t="n">
        <v>27</v>
      </c>
      <c r="D76" s="35" t="n">
        <v>27</v>
      </c>
      <c r="E76" s="35" t="n">
        <v>27</v>
      </c>
      <c r="F76" s="36" t="inlineStr">
        <is>
          <t>2026-06-10</t>
        </is>
      </c>
      <c r="G76" s="37" t="inlineStr">
        <is>
          <t>joinsecret.com</t>
        </is>
      </c>
    </row>
    <row r="77" ht="24" customHeight="1">
      <c r="B77" s="34" t="inlineStr">
        <is>
          <t>HubSpot Free</t>
        </is>
      </c>
      <c r="C77" s="35" t="n">
        <v>0</v>
      </c>
      <c r="D77" s="35" t="n">
        <v>0</v>
      </c>
      <c r="E77" s="35" t="n">
        <v>0</v>
      </c>
      <c r="F77" s="36" t="inlineStr">
        <is>
          <t>2026-06-10</t>
        </is>
      </c>
      <c r="G77" s="37" t="inlineStr">
        <is>
          <t>br.hubspot.com (recomendado p/ início)</t>
        </is>
      </c>
    </row>
    <row r="78" ht="24" customHeight="1">
      <c r="B78" s="34" t="inlineStr">
        <is>
          <t>HubSpot Starter (R$ 95/user)</t>
        </is>
      </c>
      <c r="C78" s="35" t="n">
        <v>95</v>
      </c>
      <c r="D78" s="35" t="n">
        <v>95</v>
      </c>
      <c r="E78" s="35" t="n">
        <v>95</v>
      </c>
      <c r="F78" s="36" t="inlineStr">
        <is>
          <t>2026-06-10</t>
        </is>
      </c>
      <c r="G78" s="37" t="inlineStr">
        <is>
          <t>tecnois.com.br</t>
        </is>
      </c>
    </row>
    <row r="79" ht="24" customHeight="1">
      <c r="B79" s="34" t="inlineStr">
        <is>
          <t>RD Station Basic</t>
        </is>
      </c>
      <c r="C79" s="35" t="n">
        <v>48</v>
      </c>
      <c r="D79" s="35" t="n">
        <v>48</v>
      </c>
      <c r="E79" s="35" t="n">
        <v>48</v>
      </c>
      <c r="F79" s="36" t="inlineStr">
        <is>
          <t>2026-06-10</t>
        </is>
      </c>
      <c r="G79" s="37" t="inlineStr">
        <is>
          <t>capterra.com/p/180098/RD-Station</t>
        </is>
      </c>
    </row>
    <row r="80" ht="24" customHeight="1">
      <c r="B80" s="34" t="inlineStr">
        <is>
          <t>RD Station Pro</t>
        </is>
      </c>
      <c r="C80" s="35" t="n">
        <v>69</v>
      </c>
      <c r="D80" s="35" t="n">
        <v>69</v>
      </c>
      <c r="E80" s="35" t="n">
        <v>69</v>
      </c>
      <c r="F80" s="36" t="inlineStr">
        <is>
          <t>2026-06-10</t>
        </is>
      </c>
      <c r="G80" s="37" t="inlineStr">
        <is>
          <t>capterra.com</t>
        </is>
      </c>
    </row>
    <row r="81" ht="24" customHeight="1">
      <c r="B81" s="34" t="inlineStr">
        <is>
          <t>Pipedrive (start, R$ 60/user)</t>
        </is>
      </c>
      <c r="C81" s="35" t="n">
        <v>60</v>
      </c>
      <c r="D81" s="35" t="n">
        <v>60</v>
      </c>
      <c r="E81" s="35" t="n">
        <v>60</v>
      </c>
      <c r="F81" s="36" t="inlineStr">
        <is>
          <t>2026-06-10</t>
        </is>
      </c>
      <c r="G81" s="37" t="inlineStr">
        <is>
          <t>tecnois.com.br</t>
        </is>
      </c>
    </row>
    <row r="82" ht="24" customHeight="1">
      <c r="B82" s="34" t="inlineStr">
        <is>
          <t>Slack Pro anual (US$ 7,25/user)</t>
        </is>
      </c>
      <c r="C82" s="35" t="n">
        <v>39</v>
      </c>
      <c r="D82" s="35" t="n">
        <v>39</v>
      </c>
      <c r="E82" s="35" t="n">
        <v>39</v>
      </c>
      <c r="F82" s="36" t="inlineStr">
        <is>
          <t>2026-06-10</t>
        </is>
      </c>
      <c r="G82" s="37" t="inlineStr">
        <is>
          <t>slack.com/pricing</t>
        </is>
      </c>
    </row>
    <row r="83" ht="24" customHeight="1">
      <c r="B83" s="34" t="inlineStr">
        <is>
          <t>Google Workspace Business Starter (anual)</t>
        </is>
      </c>
      <c r="C83" s="35" t="n">
        <v>33</v>
      </c>
      <c r="D83" s="35" t="n">
        <v>33</v>
      </c>
      <c r="E83" s="35" t="n">
        <v>33</v>
      </c>
      <c r="F83" s="36" t="inlineStr">
        <is>
          <t>2026-06-10</t>
        </is>
      </c>
      <c r="G83" s="37" t="inlineStr">
        <is>
          <t>workspace.google.com/pricing</t>
        </is>
      </c>
    </row>
    <row r="84" ht="24" customHeight="1">
      <c r="B84" s="34" t="inlineStr">
        <is>
          <t>Google Workspace Business Standard (anual)</t>
        </is>
      </c>
      <c r="C84" s="35" t="n">
        <v>82</v>
      </c>
      <c r="D84" s="35" t="n">
        <v>82</v>
      </c>
      <c r="E84" s="35" t="n">
        <v>82</v>
      </c>
      <c r="F84" s="36" t="inlineStr">
        <is>
          <t>2026-06-10</t>
        </is>
      </c>
      <c r="G84" s="37" t="inlineStr">
        <is>
          <t>workspace.google.com/pricing</t>
        </is>
      </c>
    </row>
    <row r="85" ht="24" customHeight="1">
      <c r="B85" s="34" t="inlineStr">
        <is>
          <t>Hospedagem WP — Hostinger (entry)</t>
        </is>
      </c>
      <c r="C85" s="35" t="n">
        <v>6</v>
      </c>
      <c r="D85" s="35" t="n">
        <v>10</v>
      </c>
      <c r="E85" s="35" t="n">
        <v>14</v>
      </c>
      <c r="F85" s="36" t="inlineStr">
        <is>
          <t>2026-06-10</t>
        </is>
      </c>
      <c r="G85" s="37" t="inlineStr">
        <is>
          <t>hostinger.com/br</t>
        </is>
      </c>
    </row>
    <row r="86" ht="24" customHeight="1">
      <c r="B86" s="34" t="inlineStr">
        <is>
          <t>Hospedagem WP — KingHost</t>
        </is>
      </c>
      <c r="C86" s="35" t="n">
        <v>17</v>
      </c>
      <c r="D86" s="35" t="n">
        <v>17</v>
      </c>
      <c r="E86" s="35" t="n">
        <v>17</v>
      </c>
      <c r="F86" s="36" t="inlineStr">
        <is>
          <t>2026-06-10</t>
        </is>
      </c>
      <c r="G86" s="37" t="inlineStr">
        <is>
          <t>site.king.host/hospedagem-wordpress</t>
        </is>
      </c>
    </row>
    <row r="87" ht="24" customHeight="1">
      <c r="B87" s="34" t="inlineStr">
        <is>
          <t>Domínio .com.br Registro.br (R$ 40/ano)</t>
        </is>
      </c>
      <c r="C87" s="35" t="n">
        <v>3</v>
      </c>
      <c r="D87" s="35" t="n">
        <v>3</v>
      </c>
      <c r="E87" s="35" t="n">
        <v>3</v>
      </c>
      <c r="F87" s="36" t="inlineStr">
        <is>
          <t>2026-06-10</t>
        </is>
      </c>
      <c r="G87" s="37" t="inlineStr">
        <is>
          <t>registro.br — oficial</t>
        </is>
      </c>
    </row>
    <row r="89" ht="20" customHeight="1">
      <c r="A89" s="33" t="inlineStr">
        <is>
          <t>F. TRÁFEGO PAGO — fee mensal por faixa de verba do cliente (BR)</t>
        </is>
      </c>
    </row>
    <row r="90">
      <c r="B90" s="6" t="inlineStr">
        <is>
          <t>Item</t>
        </is>
      </c>
      <c r="C90" s="6" t="inlineStr">
        <is>
          <t>Mínimo</t>
        </is>
      </c>
      <c r="D90" s="6" t="inlineStr">
        <is>
          <t>Médio</t>
        </is>
      </c>
      <c r="E90" s="6" t="inlineStr">
        <is>
          <t>Máximo</t>
        </is>
      </c>
      <c r="F90" s="6" t="inlineStr">
        <is>
          <t>Data</t>
        </is>
      </c>
      <c r="G90" s="6" t="inlineStr">
        <is>
          <t>Fonte / Observação</t>
        </is>
      </c>
    </row>
    <row r="91" ht="24" customHeight="1">
      <c r="B91" s="34" t="inlineStr">
        <is>
          <t>Cliente até R$ 2k/mês mídia</t>
        </is>
      </c>
      <c r="C91" s="35" t="n">
        <v>750</v>
      </c>
      <c r="D91" s="35" t="n">
        <v>1200</v>
      </c>
      <c r="E91" s="35" t="n">
        <v>1700</v>
      </c>
      <c r="F91" s="36" t="inlineStr">
        <is>
          <t>2026-06-10</t>
        </is>
      </c>
      <c r="G91" s="37" t="inlineStr">
        <is>
          <t>wisedatamarketing.com; atriomarketing.site</t>
        </is>
      </c>
    </row>
    <row r="92" ht="24" customHeight="1">
      <c r="B92" s="34" t="inlineStr">
        <is>
          <t>Cliente R$ 2-5k mídia</t>
        </is>
      </c>
      <c r="C92" s="35" t="n">
        <v>1500</v>
      </c>
      <c r="D92" s="35" t="n">
        <v>2250</v>
      </c>
      <c r="E92" s="35" t="n">
        <v>3000</v>
      </c>
      <c r="F92" s="36" t="inlineStr">
        <is>
          <t>2026-06-10</t>
        </is>
      </c>
      <c r="G92" s="37" t="inlineStr">
        <is>
          <t>spotmkt.com.br; rocketmidia.com</t>
        </is>
      </c>
    </row>
    <row r="93" ht="24" customHeight="1">
      <c r="B93" s="34" t="inlineStr">
        <is>
          <t>Cliente R$ 5-10k mídia</t>
        </is>
      </c>
      <c r="C93" s="35" t="n">
        <v>2500</v>
      </c>
      <c r="D93" s="35" t="n">
        <v>3750</v>
      </c>
      <c r="E93" s="35" t="n">
        <v>5000</v>
      </c>
      <c r="F93" s="36" t="inlineStr">
        <is>
          <t>2026-06-10</t>
        </is>
      </c>
      <c r="G93" s="37" t="inlineStr">
        <is>
          <t>spotmkt.com.br</t>
        </is>
      </c>
    </row>
    <row r="94" ht="24" customHeight="1">
      <c r="B94" s="34" t="inlineStr">
        <is>
          <t>Cliente &gt;R$ 10k mídia</t>
        </is>
      </c>
      <c r="C94" s="35" t="n">
        <v>5000</v>
      </c>
      <c r="D94" s="35" t="n">
        <v>10000</v>
      </c>
      <c r="E94" s="35" t="n">
        <v>20000</v>
      </c>
      <c r="F94" s="36" t="inlineStr">
        <is>
          <t>2026-06-10</t>
        </is>
      </c>
      <c r="G94" s="37" t="inlineStr">
        <is>
          <t>wisedatamarketing.com</t>
        </is>
      </c>
    </row>
    <row r="95" ht="24" customHeight="1">
      <c r="B95" s="34" t="inlineStr">
        <is>
          <t>Modelo % sobre verba (alternativa)</t>
        </is>
      </c>
      <c r="C95" s="36" t="inlineStr">
        <is>
          <t>10%</t>
        </is>
      </c>
      <c r="D95" s="36" t="inlineStr">
        <is>
          <t>15%</t>
        </is>
      </c>
      <c r="E95" s="36" t="inlineStr">
        <is>
          <t>20%</t>
        </is>
      </c>
      <c r="F95" s="36" t="inlineStr">
        <is>
          <t>2026-06-10</t>
        </is>
      </c>
      <c r="G95" s="37" t="inlineStr">
        <is>
          <t>atriomarketing.site</t>
        </is>
      </c>
    </row>
    <row r="96" ht="24" customHeight="1">
      <c r="B96" s="34" t="inlineStr">
        <is>
          <t>Setup inicial campanhas (avulso)</t>
        </is>
      </c>
      <c r="C96" s="35" t="n">
        <v>500</v>
      </c>
      <c r="D96" s="35" t="n">
        <v>1500</v>
      </c>
      <c r="E96" s="35" t="n">
        <v>3000</v>
      </c>
      <c r="F96" s="36" t="inlineStr">
        <is>
          <t>2026-06-10</t>
        </is>
      </c>
      <c r="G96" s="37" t="inlineStr">
        <is>
          <t>spotmkt.com.br — faixa estimada</t>
        </is>
      </c>
    </row>
    <row r="97" ht="24" customHeight="1">
      <c r="B97" s="34" t="inlineStr">
        <is>
          <t>⚠️ Aumento Meta Ads BR jan/2026 (PIS/Cofins/ISS)</t>
        </is>
      </c>
      <c r="C97" s="36" t="inlineStr">
        <is>
          <t>+12,15%</t>
        </is>
      </c>
      <c r="D97" s="36" t="inlineStr">
        <is>
          <t>—</t>
        </is>
      </c>
      <c r="E97" s="36" t="inlineStr">
        <is>
          <t>—</t>
        </is>
      </c>
      <c r="F97" s="36" t="inlineStr">
        <is>
          <t>2026-06-10</t>
        </is>
      </c>
      <c r="G97" s="37" t="inlineStr">
        <is>
          <t>atriomarketing.site/blog</t>
        </is>
      </c>
    </row>
    <row r="99" ht="20" customHeight="1">
      <c r="A99" s="33" t="inlineStr">
        <is>
          <t>G. TRIBUTAÇÃO E CONTABILIDADE — referências reais</t>
        </is>
      </c>
    </row>
    <row r="100">
      <c r="B100" s="6" t="inlineStr">
        <is>
          <t>Item</t>
        </is>
      </c>
      <c r="C100" s="6" t="inlineStr">
        <is>
          <t>Mínimo</t>
        </is>
      </c>
      <c r="D100" s="6" t="inlineStr">
        <is>
          <t>Médio</t>
        </is>
      </c>
      <c r="E100" s="6" t="inlineStr">
        <is>
          <t>Máximo</t>
        </is>
      </c>
      <c r="F100" s="6" t="inlineStr">
        <is>
          <t>Data</t>
        </is>
      </c>
      <c r="G100" s="6" t="inlineStr">
        <is>
          <t>Fonte / Observação</t>
        </is>
      </c>
    </row>
    <row r="101">
      <c r="B101" s="6" t="inlineStr">
        <is>
          <t>Faixa RBT12</t>
        </is>
      </c>
      <c r="C101" s="6" t="inlineStr">
        <is>
          <t>Alíq. nominal</t>
        </is>
      </c>
      <c r="D101" s="6" t="inlineStr">
        <is>
          <t>Parcela a deduzir</t>
        </is>
      </c>
      <c r="E101" s="6" t="inlineStr">
        <is>
          <t>Alíq. efetiva (topo)</t>
        </is>
      </c>
      <c r="F101" s="6" t="inlineStr">
        <is>
          <t>Anexo</t>
        </is>
      </c>
      <c r="G101" s="6" t="inlineStr">
        <is>
          <t>Fonte</t>
        </is>
      </c>
    </row>
    <row r="102">
      <c r="B102" s="36" t="inlineStr">
        <is>
          <t>Até R$ 180.000</t>
        </is>
      </c>
      <c r="C102" s="36" t="inlineStr">
        <is>
          <t>6,00%</t>
        </is>
      </c>
      <c r="D102" s="36" t="inlineStr">
        <is>
          <t>R$ 0</t>
        </is>
      </c>
      <c r="E102" s="36" t="inlineStr">
        <is>
          <t>6,00%</t>
        </is>
      </c>
      <c r="F102" s="36" t="inlineStr">
        <is>
          <t>III (Fator R ≥ 28%)</t>
        </is>
      </c>
      <c r="G102" s="36" t="inlineStr">
        <is>
          <t>Conube / Contabilizei — Anexo III</t>
        </is>
      </c>
    </row>
    <row r="103">
      <c r="B103" s="36" t="inlineStr">
        <is>
          <t>R$ 180k-360k</t>
        </is>
      </c>
      <c r="C103" s="36" t="inlineStr">
        <is>
          <t>11,20%</t>
        </is>
      </c>
      <c r="D103" s="36" t="inlineStr">
        <is>
          <t>R$ 9.360</t>
        </is>
      </c>
      <c r="E103" s="36" t="inlineStr">
        <is>
          <t>8,40%</t>
        </is>
      </c>
      <c r="F103" s="36" t="inlineStr">
        <is>
          <t>III</t>
        </is>
      </c>
      <c r="G103" s="36" t="inlineStr">
        <is>
          <t>conube.com.br/blog/anexo-3-tabela-simples-nacional</t>
        </is>
      </c>
    </row>
    <row r="104">
      <c r="B104" s="36" t="inlineStr">
        <is>
          <t>R$ 360k-720k</t>
        </is>
      </c>
      <c r="C104" s="36" t="inlineStr">
        <is>
          <t>13,50%</t>
        </is>
      </c>
      <c r="D104" s="36" t="inlineStr">
        <is>
          <t>R$ 17.640</t>
        </is>
      </c>
      <c r="E104" s="36" t="inlineStr">
        <is>
          <t>11,05%</t>
        </is>
      </c>
      <c r="F104" s="36" t="inlineStr">
        <is>
          <t>III</t>
        </is>
      </c>
      <c r="G104" s="36" t="inlineStr">
        <is>
          <t>contabilizei.com.br/contabilidade-online/anexo-3-simples-nacional</t>
        </is>
      </c>
    </row>
    <row r="105">
      <c r="B105" s="36" t="inlineStr">
        <is>
          <t>R$ 720k-1,8M</t>
        </is>
      </c>
      <c r="C105" s="36" t="inlineStr">
        <is>
          <t>16,00%</t>
        </is>
      </c>
      <c r="D105" s="36" t="inlineStr">
        <is>
          <t>R$ 35.640</t>
        </is>
      </c>
      <c r="E105" s="36" t="inlineStr">
        <is>
          <t>14,02%</t>
        </is>
      </c>
      <c r="F105" s="36" t="inlineStr">
        <is>
          <t>III</t>
        </is>
      </c>
      <c r="G105" s="36" t="inlineStr">
        <is>
          <t>contabilizei.com.br</t>
        </is>
      </c>
    </row>
    <row r="106">
      <c r="B106" s="36" t="inlineStr">
        <is>
          <t>R$ 1,8M-3,6M</t>
        </is>
      </c>
      <c r="C106" s="36" t="inlineStr">
        <is>
          <t>21,00%</t>
        </is>
      </c>
      <c r="D106" s="36" t="inlineStr">
        <is>
          <t>R$ 125.640</t>
        </is>
      </c>
      <c r="E106" s="36" t="inlineStr">
        <is>
          <t>—</t>
        </is>
      </c>
      <c r="F106" s="36" t="inlineStr">
        <is>
          <t>III</t>
        </is>
      </c>
      <c r="G106" s="36" t="inlineStr">
        <is>
          <t>contabilizei.com.br</t>
        </is>
      </c>
    </row>
    <row r="107">
      <c r="B107" s="36" t="inlineStr">
        <is>
          <t>R$ 3,6M-4,8M (teto Simples)</t>
        </is>
      </c>
      <c r="C107" s="36" t="inlineStr">
        <is>
          <t>33,00%</t>
        </is>
      </c>
      <c r="D107" s="36" t="inlineStr">
        <is>
          <t>R$ 648.000</t>
        </is>
      </c>
      <c r="E107" s="36" t="inlineStr">
        <is>
          <t>—</t>
        </is>
      </c>
      <c r="F107" s="36" t="inlineStr">
        <is>
          <t>III</t>
        </is>
      </c>
      <c r="G107" s="36" t="inlineStr">
        <is>
          <t>contabilizei.com.br</t>
        </is>
      </c>
    </row>
    <row r="109" ht="20" customHeight="1">
      <c r="A109" s="33" t="inlineStr">
        <is>
          <t>G.1 — Honorários contábeis 2026 (livremente pactuados — CRC)</t>
        </is>
      </c>
    </row>
    <row r="110">
      <c r="B110" s="6" t="inlineStr">
        <is>
          <t>Item</t>
        </is>
      </c>
      <c r="C110" s="6" t="inlineStr">
        <is>
          <t>Mínimo</t>
        </is>
      </c>
      <c r="D110" s="6" t="inlineStr">
        <is>
          <t>Médio</t>
        </is>
      </c>
      <c r="E110" s="6" t="inlineStr">
        <is>
          <t>Máximo</t>
        </is>
      </c>
      <c r="F110" s="6" t="inlineStr">
        <is>
          <t>Data</t>
        </is>
      </c>
      <c r="G110" s="6" t="inlineStr">
        <is>
          <t>Fonte</t>
        </is>
      </c>
    </row>
    <row r="111" ht="24" customHeight="1">
      <c r="B111" s="34" t="inlineStr">
        <is>
          <t>ME Simples Nacional faixa típica</t>
        </is>
      </c>
      <c r="C111" s="35" t="n">
        <v>259</v>
      </c>
      <c r="D111" s="35" t="n">
        <v>489</v>
      </c>
      <c r="E111" s="35" t="n">
        <v>900</v>
      </c>
      <c r="F111" s="36" t="inlineStr">
        <is>
          <t>2026-06-10</t>
        </is>
      </c>
      <c r="G111" s="37" t="inlineStr">
        <is>
          <t>ohub.com.br/precos/contabilidade-mensal</t>
        </is>
      </c>
    </row>
    <row r="112" ht="24" customHeight="1">
      <c r="B112" s="34" t="inlineStr">
        <is>
          <t>Contabilizei (online)</t>
        </is>
      </c>
      <c r="C112" s="35" t="n">
        <v>195</v>
      </c>
      <c r="D112" s="35" t="n">
        <v>195</v>
      </c>
      <c r="E112" s="35" t="n">
        <v>195</v>
      </c>
      <c r="F112" s="36" t="inlineStr">
        <is>
          <t>2026-06-10</t>
        </is>
      </c>
      <c r="G112" s="37" t="inlineStr">
        <is>
          <t>contabilizei.com.br/quanto-custa</t>
        </is>
      </c>
    </row>
    <row r="113" ht="24" customHeight="1">
      <c r="B113" s="34" t="inlineStr">
        <is>
          <t>Contajá (online)</t>
        </is>
      </c>
      <c r="C113" s="35" t="n">
        <v>137</v>
      </c>
      <c r="D113" s="35" t="n">
        <v>137</v>
      </c>
      <c r="E113" s="35" t="n">
        <v>137</v>
      </c>
      <c r="F113" s="36" t="inlineStr">
        <is>
          <t>2026-06-10</t>
        </is>
      </c>
      <c r="G113" s="37" t="inlineStr">
        <is>
          <t>contaja.com.br</t>
        </is>
      </c>
    </row>
    <row r="114" ht="24" customHeight="1">
      <c r="B114" s="34" t="inlineStr">
        <is>
          <t>Agilize (online)</t>
        </is>
      </c>
      <c r="C114" s="35" t="n">
        <v>259</v>
      </c>
      <c r="D114" s="35" t="n">
        <v>259</v>
      </c>
      <c r="E114" s="35" t="n">
        <v>259</v>
      </c>
      <c r="F114" s="36" t="inlineStr">
        <is>
          <t>2026-06-10</t>
        </is>
      </c>
      <c r="G114" s="37" t="inlineStr">
        <is>
          <t>artigos.agilize.com.br</t>
        </is>
      </c>
    </row>
    <row r="115" ht="24" customHeight="1">
      <c r="B115" s="34" t="inlineStr">
        <is>
          <t>Contador ESPECIALIZADO em TI/agência (recomendado)</t>
        </is>
      </c>
      <c r="C115" s="35" t="n">
        <v>700</v>
      </c>
      <c r="D115" s="35" t="n">
        <v>900</v>
      </c>
      <c r="E115" s="35" t="n">
        <v>1200</v>
      </c>
      <c r="F115" s="36" t="inlineStr">
        <is>
          <t>2026-06-10</t>
        </is>
      </c>
      <c r="G115" s="37" t="inlineStr">
        <is>
          <t>Mercado especializado</t>
        </is>
      </c>
    </row>
    <row r="117" ht="20" customHeight="1">
      <c r="A117" s="33" t="inlineStr">
        <is>
          <t>H. CUSTOS HOME OFFICE</t>
        </is>
      </c>
    </row>
    <row r="118">
      <c r="B118" s="6" t="inlineStr">
        <is>
          <t>Item</t>
        </is>
      </c>
      <c r="C118" s="6" t="inlineStr">
        <is>
          <t>Mínimo</t>
        </is>
      </c>
      <c r="D118" s="6" t="inlineStr">
        <is>
          <t>Médio</t>
        </is>
      </c>
      <c r="E118" s="6" t="inlineStr">
        <is>
          <t>Máximo</t>
        </is>
      </c>
      <c r="F118" s="6" t="inlineStr">
        <is>
          <t>Data</t>
        </is>
      </c>
      <c r="G118" s="6" t="inlineStr">
        <is>
          <t>Fonte / Observação</t>
        </is>
      </c>
    </row>
    <row r="119" ht="24" customHeight="1">
      <c r="B119" s="34" t="inlineStr">
        <is>
          <t>Vivo Empresas Fibra 600 Mbps</t>
        </is>
      </c>
      <c r="C119" s="35" t="n">
        <v>128.98</v>
      </c>
      <c r="D119" s="35" t="n">
        <v>128.98</v>
      </c>
      <c r="E119" s="35" t="n">
        <v>128.98</v>
      </c>
      <c r="F119" s="36" t="inlineStr">
        <is>
          <t>2026-06-10</t>
        </is>
      </c>
      <c r="G119" s="37" t="inlineStr">
        <is>
          <t>minhaconexao.com.br</t>
        </is>
      </c>
    </row>
    <row r="120" ht="24" customHeight="1">
      <c r="B120" s="34" t="inlineStr">
        <is>
          <t>TIM Ultrafibra 500 Mbps</t>
        </is>
      </c>
      <c r="C120" s="35" t="n">
        <v>119.99</v>
      </c>
      <c r="D120" s="35" t="n">
        <v>139.99</v>
      </c>
      <c r="E120" s="35" t="n">
        <v>159.99</v>
      </c>
      <c r="F120" s="36" t="inlineStr">
        <is>
          <t>2026-06-10</t>
        </is>
      </c>
      <c r="G120" s="37" t="inlineStr">
        <is>
          <t>minhaconexao.com.br</t>
        </is>
      </c>
    </row>
    <row r="121" ht="24" customHeight="1">
      <c r="B121" s="34" t="inlineStr">
        <is>
          <t>Claro Empresas 600 Mbps (promo 6m)</t>
        </is>
      </c>
      <c r="C121" s="35" t="n">
        <v>64.90000000000001</v>
      </c>
      <c r="D121" s="35" t="n">
        <v>64.90000000000001</v>
      </c>
      <c r="E121" s="35" t="n">
        <v>64.90000000000001</v>
      </c>
      <c r="F121" s="36" t="inlineStr">
        <is>
          <t>2026-06-10</t>
        </is>
      </c>
      <c r="G121" s="37" t="inlineStr">
        <is>
          <t>planos.claro.com.br/empresas — atenção pós-promoção</t>
        </is>
      </c>
    </row>
    <row r="122" ht="24" customHeight="1">
      <c r="B122" s="34" t="inlineStr">
        <is>
          <t>Faixa 200-500 Mbps empresarial (mercado)</t>
        </is>
      </c>
      <c r="C122" s="35" t="n">
        <v>100</v>
      </c>
      <c r="D122" s="35" t="n">
        <v>140</v>
      </c>
      <c r="E122" s="35" t="n">
        <v>180</v>
      </c>
      <c r="F122" s="36" t="inlineStr">
        <is>
          <t>2026-06-10</t>
        </is>
      </c>
      <c r="G122" s="37" t="inlineStr">
        <is>
          <t>melhorplano.net</t>
        </is>
      </c>
    </row>
    <row r="123" ht="24" customHeight="1">
      <c r="B123" s="34" t="inlineStr">
        <is>
          <t>kWh Enel SP (B1, bandeira verde, c/ impostos)</t>
        </is>
      </c>
      <c r="C123" s="35" t="n">
        <v>0.91</v>
      </c>
      <c r="D123" s="35" t="n">
        <v>0.91</v>
      </c>
      <c r="E123" s="35" t="n">
        <v>0.91</v>
      </c>
      <c r="F123" s="36" t="inlineStr">
        <is>
          <t>2026-06-10</t>
        </is>
      </c>
      <c r="G123" s="37" t="inlineStr">
        <is>
          <t>custosolar.com; calculadoraenergia.com.br</t>
        </is>
      </c>
    </row>
    <row r="124" ht="24" customHeight="1">
      <c r="B124" s="34" t="inlineStr">
        <is>
          <t>kWh média nacional</t>
        </is>
      </c>
      <c r="C124" s="35" t="n">
        <v>0.68</v>
      </c>
      <c r="D124" s="35" t="n">
        <v>0.68</v>
      </c>
      <c r="E124" s="35" t="n">
        <v>0.68</v>
      </c>
      <c r="F124" s="36" t="inlineStr">
        <is>
          <t>2026-06-10</t>
        </is>
      </c>
      <c r="G124" s="37" t="inlineStr">
        <is>
          <t>custosolar.com</t>
        </is>
      </c>
    </row>
    <row r="125" ht="24" customHeight="1">
      <c r="B125" s="34" t="inlineStr">
        <is>
          <t>kWh Light RJ (mais cara)</t>
        </is>
      </c>
      <c r="C125" s="35" t="n">
        <v>1.47</v>
      </c>
      <c r="D125" s="35" t="n">
        <v>1.47</v>
      </c>
      <c r="E125" s="35" t="n">
        <v>1.47</v>
      </c>
      <c r="F125" s="36" t="inlineStr">
        <is>
          <t>2026-06-10</t>
        </is>
      </c>
      <c r="G125" s="37" t="inlineStr">
        <is>
          <t>clarke.com.br/mapa-tarifas</t>
        </is>
      </c>
    </row>
    <row r="126" ht="24" customHeight="1">
      <c r="B126" s="34" t="inlineStr">
        <is>
          <t>kWh RS (mais barata)</t>
        </is>
      </c>
      <c r="C126" s="35" t="n">
        <v>0.41</v>
      </c>
      <c r="D126" s="35" t="n">
        <v>0.41</v>
      </c>
      <c r="E126" s="35" t="n">
        <v>0.41</v>
      </c>
      <c r="F126" s="36" t="inlineStr">
        <is>
          <t>2026-06-10</t>
        </is>
      </c>
      <c r="G126" s="37" t="inlineStr">
        <is>
          <t>clarke.com.br</t>
        </is>
      </c>
    </row>
    <row r="127" ht="24" customHeight="1">
      <c r="B127" s="34" t="inlineStr">
        <is>
          <t>Consumo home office notebook 8h/dia (12 kWh/mês ≈ R$ 11 SP)</t>
        </is>
      </c>
      <c r="C127" s="35" t="n">
        <v>11</v>
      </c>
      <c r="D127" s="35" t="n">
        <v>11</v>
      </c>
      <c r="E127" s="35" t="n">
        <v>11</v>
      </c>
      <c r="F127" s="36" t="inlineStr">
        <is>
          <t>2026-06-10</t>
        </is>
      </c>
      <c r="G127" s="37" t="inlineStr">
        <is>
          <t>enel.com.br</t>
        </is>
      </c>
    </row>
    <row r="128" ht="24" customHeight="1">
      <c r="B128" s="34" t="inlineStr">
        <is>
          <t>Consumo home office desktop 8h/dia (36 kWh ≈ R$ 33 SP)</t>
        </is>
      </c>
      <c r="C128" s="35" t="n">
        <v>33</v>
      </c>
      <c r="D128" s="35" t="n">
        <v>33</v>
      </c>
      <c r="E128" s="35" t="n">
        <v>33</v>
      </c>
      <c r="F128" s="36" t="inlineStr">
        <is>
          <t>2026-06-10</t>
        </is>
      </c>
      <c r="G128" s="37" t="inlineStr">
        <is>
          <t>enel.com.br</t>
        </is>
      </c>
    </row>
    <row r="129" ht="24" customHeight="1">
      <c r="B129" s="34" t="inlineStr">
        <is>
          <t>Consumo home office desktop 10h (45 kWh ≈ R$ 41 SP)</t>
        </is>
      </c>
      <c r="C129" s="35" t="n">
        <v>41</v>
      </c>
      <c r="D129" s="35" t="n">
        <v>41</v>
      </c>
      <c r="E129" s="35" t="n">
        <v>41</v>
      </c>
      <c r="F129" s="36" t="inlineStr">
        <is>
          <t>2026-06-10</t>
        </is>
      </c>
      <c r="G129" s="37" t="inlineStr">
        <is>
          <t>enel.com.br</t>
        </is>
      </c>
    </row>
    <row r="130" ht="24" customHeight="1">
      <c r="B130" s="34" t="inlineStr">
        <is>
          <t>Estimativa total adicional luz/sócio</t>
        </is>
      </c>
      <c r="C130" s="35" t="n">
        <v>12</v>
      </c>
      <c r="D130" s="35" t="n">
        <v>40</v>
      </c>
      <c r="E130" s="35" t="n">
        <v>45</v>
      </c>
      <c r="F130" s="36" t="inlineStr">
        <is>
          <t>2026-06-10</t>
        </is>
      </c>
      <c r="G130" s="37" t="inlineStr">
        <is>
          <t>revistaoeste.com — conservador SP</t>
        </is>
      </c>
    </row>
    <row r="132" ht="20" customHeight="1">
      <c r="A132" s="33" t="inlineStr">
        <is>
          <t>DADOS NÃO ENCONTRADOS / LIMITAÇÕES (sinalização honesta)</t>
        </is>
      </c>
    </row>
    <row r="133">
      <c r="B133" s="9" t="inlineStr">
        <is>
          <t>⚠️ VTEX — % take rate exato (cotação direta necessária)</t>
        </is>
      </c>
    </row>
    <row r="134">
      <c r="B134" s="9" t="inlineStr">
        <is>
          <t>⚠️ WooCommerce TCO BR consolidado — calculado por composição</t>
        </is>
      </c>
    </row>
    <row r="135">
      <c r="B135" s="9" t="inlineStr">
        <is>
          <t>⚠️ Auditoria de e-commerce isolada — proxy de auditoria SEO</t>
        </is>
      </c>
    </row>
    <row r="136">
      <c r="B136" s="9" t="inlineStr">
        <is>
          <t>⚠️ Hora-agência (não freelancer) — Glassdoor cobre freela/CLT; estimativa +40-60%</t>
        </is>
      </c>
    </row>
    <row r="137">
      <c r="B137" s="9" t="inlineStr">
        <is>
          <t>⚠️ Inadimplência B2B serviços — Serasa publica contagens, não % de receita perdida; 4-8% como referência conservadora</t>
        </is>
      </c>
    </row>
    <row r="138">
      <c r="B138" s="9" t="inlineStr">
        <is>
          <t>⚠️ Setup inicial tráfego pago — prática confirmada, faixa estimada R$ 500-3.000</t>
        </is>
      </c>
    </row>
    <row r="139">
      <c r="B139" s="9" t="inlineStr">
        <is>
          <t>⚠️ SLA-padrão em horas de planos de manutenção BR — agências divulgam em comunicação comercial; consolidação é estimativa</t>
        </is>
      </c>
    </row>
    <row r="140">
      <c r="B140" s="9" t="inlineStr">
        <is>
          <t>⚠️ Microsoft 365 BR em reais para reajuste jul/2026 — usado USD convertido</t>
        </is>
      </c>
    </row>
  </sheetData>
  <mergeCells count="19">
    <mergeCell ref="A48:H48"/>
    <mergeCell ref="A59:H59"/>
    <mergeCell ref="B136:G136"/>
    <mergeCell ref="A132:H132"/>
    <mergeCell ref="A1:H1"/>
    <mergeCell ref="B137:G137"/>
    <mergeCell ref="A99:H99"/>
    <mergeCell ref="A41:H41"/>
    <mergeCell ref="B139:G139"/>
    <mergeCell ref="A89:H89"/>
    <mergeCell ref="B133:G133"/>
    <mergeCell ref="B135:G135"/>
    <mergeCell ref="B138:G138"/>
    <mergeCell ref="A22:H22"/>
    <mergeCell ref="B134:G134"/>
    <mergeCell ref="A4:H4"/>
    <mergeCell ref="A109:H109"/>
    <mergeCell ref="B140:G140"/>
    <mergeCell ref="A117:H1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8" customWidth="1" min="4" max="4"/>
    <col width="38" customWidth="1" min="5" max="5"/>
    <col width="3" customWidth="1" min="6" max="6"/>
  </cols>
  <sheetData>
    <row r="1" ht="28" customHeight="1">
      <c r="A1" s="1" t="inlineStr">
        <is>
          <t>CUSTOS FIXOS MENSAIS — CLASSIFICAÇÃO</t>
        </is>
      </c>
    </row>
    <row r="2">
      <c r="B2" s="2" t="inlineStr">
        <is>
          <t>Classificação: 🟢 OBRIGATÓRIO (não pode faltar) | 🟡 RECOMENDADO | ⚪ OPCIONAL</t>
        </is>
      </c>
    </row>
    <row r="4">
      <c r="B4" s="6" t="inlineStr">
        <is>
          <t>Item</t>
        </is>
      </c>
      <c r="C4" s="6" t="inlineStr">
        <is>
          <t>Valor R$</t>
        </is>
      </c>
      <c r="D4" s="6" t="inlineStr">
        <is>
          <t>Classe</t>
        </is>
      </c>
      <c r="E4" s="6" t="inlineStr">
        <is>
          <t>Observação / Fonte</t>
        </is>
      </c>
    </row>
    <row r="5" ht="22" customHeight="1">
      <c r="B5" s="38" t="inlineStr">
        <is>
          <t>Pró-labore sócio 1</t>
        </is>
      </c>
      <c r="C5" s="12">
        <f>'2. Premissas'!C7</f>
        <v/>
      </c>
      <c r="D5" s="14" t="inlineStr">
        <is>
          <t>🟢 OBRIGATÓRIO</t>
        </is>
      </c>
      <c r="E5" s="39" t="inlineStr">
        <is>
          <t>Art. 1.071 IV CC; mínimo p/ sustentar Fator R do Anexo III</t>
        </is>
      </c>
    </row>
    <row r="6" ht="22" customHeight="1">
      <c r="B6" s="38" t="inlineStr">
        <is>
          <t>Pró-labore sócio 2</t>
        </is>
      </c>
      <c r="C6" s="12">
        <f>'2. Premissas'!C7</f>
        <v/>
      </c>
      <c r="D6" s="14" t="inlineStr">
        <is>
          <t>🟢 OBRIGATÓRIO</t>
        </is>
      </c>
      <c r="E6" s="39" t="inlineStr">
        <is>
          <t>Idem</t>
        </is>
      </c>
    </row>
    <row r="7" ht="22" customHeight="1">
      <c r="B7" s="38" t="inlineStr">
        <is>
          <t>INSS sócios (11% sobre pró-labore total)</t>
        </is>
      </c>
      <c r="C7" s="12">
        <f>'2. Premissas'!C11</f>
        <v/>
      </c>
      <c r="D7" s="14" t="inlineStr">
        <is>
          <t>🟢 OBRIGATÓRIO</t>
        </is>
      </c>
      <c r="E7" s="39" t="inlineStr">
        <is>
          <t>Art. 21 Lei 8.212/91 (até teto RGPS)</t>
        </is>
      </c>
    </row>
    <row r="8" ht="22" customHeight="1">
      <c r="B8" s="38" t="inlineStr">
        <is>
          <t>Internet empresarial (fibra)</t>
        </is>
      </c>
      <c r="C8" s="12" t="n">
        <v>200</v>
      </c>
      <c r="D8" s="14" t="inlineStr">
        <is>
          <t>🟢 OBRIGATÓRIO</t>
        </is>
      </c>
      <c r="E8" s="39" t="inlineStr">
        <is>
          <t>Vivo R$ 128,98; TIM R$ 119-159; média R$ 100-180</t>
        </is>
      </c>
    </row>
    <row r="9" ht="22" customHeight="1">
      <c r="B9" s="38" t="inlineStr">
        <is>
          <t>Energia adicional home office</t>
        </is>
      </c>
      <c r="C9" s="12" t="n">
        <v>80</v>
      </c>
      <c r="D9" s="14" t="inlineStr">
        <is>
          <t>🟢 OBRIGATÓRIO</t>
        </is>
      </c>
      <c r="E9" s="39" t="inlineStr">
        <is>
          <t>Enel SP R$ 0,91/kWh × ~45 kWh/sócio</t>
        </is>
      </c>
    </row>
    <row r="10" ht="22" customHeight="1">
      <c r="B10" s="38" t="inlineStr">
        <is>
          <t>Google Workspace (2 usuários)</t>
        </is>
      </c>
      <c r="C10" s="12" t="n">
        <v>65</v>
      </c>
      <c r="D10" s="14" t="inlineStr">
        <is>
          <t>🟢 OBRIGATÓRIO</t>
        </is>
      </c>
      <c r="E10" s="39" t="inlineStr">
        <is>
          <t>R$ 32,72/user × 2 (anual)</t>
        </is>
      </c>
    </row>
    <row r="11" ht="22" customHeight="1">
      <c r="B11" s="38" t="inlineStr">
        <is>
          <t>Contabilidade especializada</t>
        </is>
      </c>
      <c r="C11" s="12" t="n">
        <v>800</v>
      </c>
      <c r="D11" s="14" t="inlineStr">
        <is>
          <t>🟢 OBRIGATÓRIO</t>
        </is>
      </c>
      <c r="E11" s="39" t="inlineStr">
        <is>
          <t>ME especializada R$ 700-1.200; Contabilizei online R$ 195</t>
        </is>
      </c>
    </row>
    <row r="12" ht="22" customHeight="1">
      <c r="B12" s="38" t="inlineStr">
        <is>
          <t>Certificado Digital A1</t>
        </is>
      </c>
      <c r="C12" s="12" t="n">
        <v>20</v>
      </c>
      <c r="D12" s="14" t="inlineStr">
        <is>
          <t>🟢 OBRIGATÓRIO</t>
        </is>
      </c>
      <c r="E12" s="39" t="inlineStr">
        <is>
          <t>R$ 220/ano; necessário p/ NFS-e</t>
        </is>
      </c>
    </row>
    <row r="13" ht="22" customHeight="1">
      <c r="B13" s="38" t="inlineStr">
        <is>
          <t>Hospedagem site Impulso + domínio</t>
        </is>
      </c>
      <c r="C13" s="12" t="n">
        <v>50</v>
      </c>
      <c r="D13" s="14" t="inlineStr">
        <is>
          <t>🟢 OBRIGATÓRIO</t>
        </is>
      </c>
      <c r="E13" s="39" t="inlineStr">
        <is>
          <t>Hostinger + Registro.br R$ 40/ano</t>
        </is>
      </c>
    </row>
    <row r="14" ht="22" customHeight="1">
      <c r="B14" s="38" t="inlineStr">
        <is>
          <t>Antivírus + backup nuvem</t>
        </is>
      </c>
      <c r="C14" s="12" t="n">
        <v>80</v>
      </c>
      <c r="D14" s="14" t="inlineStr">
        <is>
          <t>🟢 OBRIGATÓRIO</t>
        </is>
      </c>
      <c r="E14" s="39" t="inlineStr">
        <is>
          <t>Segurança da operação</t>
        </is>
      </c>
    </row>
    <row r="15" ht="22" customHeight="1">
      <c r="B15" s="40" t="inlineStr">
        <is>
          <t>ChatGPT Plus + Claude Pro (IA)</t>
        </is>
      </c>
      <c r="C15" s="12" t="n">
        <v>220</v>
      </c>
      <c r="D15" s="14" t="inlineStr">
        <is>
          <t>🟡 RECOMENDADO</t>
        </is>
      </c>
      <c r="E15" s="39" t="inlineStr">
        <is>
          <t>US$ 20 × 2 ≈ R$ 108 × 2</t>
        </is>
      </c>
    </row>
    <row r="16" ht="22" customHeight="1">
      <c r="B16" s="40" t="inlineStr">
        <is>
          <t>Figma Professional (2 editores anual)</t>
        </is>
      </c>
      <c r="C16" s="12" t="n">
        <v>162</v>
      </c>
      <c r="D16" s="14" t="inlineStr">
        <is>
          <t>🟡 RECOMENDADO</t>
        </is>
      </c>
      <c r="E16" s="39" t="inlineStr">
        <is>
          <t>US$ 15 × 2 ≈ R$ 81 × 2</t>
        </is>
      </c>
    </row>
    <row r="17" ht="22" customHeight="1">
      <c r="B17" s="40" t="inlineStr">
        <is>
          <t>Seguro RC profissional (E&amp;O)</t>
        </is>
      </c>
      <c r="C17" s="12" t="n">
        <v>150</v>
      </c>
      <c r="D17" s="14" t="inlineStr">
        <is>
          <t>🟡 RECOMENDADO</t>
        </is>
      </c>
      <c r="E17" s="39" t="inlineStr">
        <is>
          <t>Recomendação jurídica — limita responsabilidade civil</t>
        </is>
      </c>
    </row>
    <row r="18" ht="22" customHeight="1">
      <c r="B18" s="40" t="inlineStr">
        <is>
          <t>Marketing próprio (mídia + ferramentas)</t>
        </is>
      </c>
      <c r="C18" s="12" t="n">
        <v>1200</v>
      </c>
      <c r="D18" s="14" t="inlineStr">
        <is>
          <t>🟡 RECOMENDADO</t>
        </is>
      </c>
      <c r="E18" s="39" t="inlineStr">
        <is>
          <t>R$ 3-5k ideal; piso R$ 1.200</t>
        </is>
      </c>
    </row>
    <row r="19" ht="22" customHeight="1">
      <c r="B19" s="40" t="inlineStr">
        <is>
          <t>Make / Zapier (automação)</t>
        </is>
      </c>
      <c r="C19" s="12" t="n">
        <v>60</v>
      </c>
      <c r="D19" s="14" t="inlineStr">
        <is>
          <t>🟡 RECOMENDADO</t>
        </is>
      </c>
      <c r="E19" s="39" t="inlineStr">
        <is>
          <t>Make Core US$ 10,59</t>
        </is>
      </c>
    </row>
    <row r="20" ht="22" customHeight="1">
      <c r="B20" s="40" t="inlineStr">
        <is>
          <t>ClickUp Unlimited (2 users)</t>
        </is>
      </c>
      <c r="C20" s="12" t="n">
        <v>14</v>
      </c>
      <c r="D20" s="14" t="inlineStr">
        <is>
          <t>🟡 RECOMENDADO</t>
        </is>
      </c>
      <c r="E20" s="39" t="inlineStr">
        <is>
          <t>R$ 7 × 2</t>
        </is>
      </c>
    </row>
    <row r="21" ht="22" customHeight="1">
      <c r="B21" s="40" t="inlineStr">
        <is>
          <t>Outros admin / contingência</t>
        </is>
      </c>
      <c r="C21" s="12" t="n">
        <v>200</v>
      </c>
      <c r="D21" s="14" t="inlineStr">
        <is>
          <t>🟡 RECOMENDADO</t>
        </is>
      </c>
      <c r="E21" s="39" t="inlineStr">
        <is>
          <t>Sindicato, taxas, eventuais</t>
        </is>
      </c>
    </row>
    <row r="22" ht="22" customHeight="1">
      <c r="B22" s="7" t="inlineStr">
        <is>
          <t>Canva Pro Teams</t>
        </is>
      </c>
      <c r="C22" s="12" t="n">
        <v>39</v>
      </c>
      <c r="D22" s="14" t="inlineStr">
        <is>
          <t>⚪ OPCIONAL</t>
        </is>
      </c>
      <c r="E22" s="39" t="inlineStr">
        <is>
          <t>Útil para mídia social — R$ 470/ano</t>
        </is>
      </c>
    </row>
    <row r="23" ht="22" customHeight="1">
      <c r="B23" s="7" t="inlineStr">
        <is>
          <t>Adobe CC Standard</t>
        </is>
      </c>
      <c r="C23" s="12" t="n">
        <v>249</v>
      </c>
      <c r="D23" s="14" t="inlineStr">
        <is>
          <t>⚪ OPCIONAL</t>
        </is>
      </c>
      <c r="E23" s="39" t="inlineStr">
        <is>
          <t>Caro — usar só se justificado</t>
        </is>
      </c>
    </row>
    <row r="24" ht="22" customHeight="1">
      <c r="B24" s="7" t="inlineStr">
        <is>
          <t>RD Station Basic (CRM)</t>
        </is>
      </c>
      <c r="C24" s="12" t="n">
        <v>49</v>
      </c>
      <c r="D24" s="14" t="inlineStr">
        <is>
          <t>⚪ OPCIONAL</t>
        </is>
      </c>
      <c r="E24" s="39" t="inlineStr">
        <is>
          <t>Pode iniciar com HubSpot Free R$ 0</t>
        </is>
      </c>
    </row>
    <row r="25" ht="22" customHeight="1">
      <c r="B25" s="7" t="inlineStr">
        <is>
          <t>GitHub Copilot Pro</t>
        </is>
      </c>
      <c r="C25" s="12" t="n">
        <v>54</v>
      </c>
      <c r="D25" s="14" t="inlineStr">
        <is>
          <t>⚪ OPCIONAL</t>
        </is>
      </c>
      <c r="E25" s="39" t="inlineStr">
        <is>
          <t>Útil se trabalha com código Woo/Liquid</t>
        </is>
      </c>
    </row>
    <row r="26" ht="22" customHeight="1">
      <c r="B26" s="7" t="inlineStr">
        <is>
          <t>Slack Pro (2 users)</t>
        </is>
      </c>
      <c r="C26" s="12" t="n">
        <v>78</v>
      </c>
      <c r="D26" s="14" t="inlineStr">
        <is>
          <t>⚪ OPCIONAL</t>
        </is>
      </c>
      <c r="E26" s="39" t="inlineStr">
        <is>
          <t>WhatsApp+Google Chat substituem no início</t>
        </is>
      </c>
    </row>
    <row r="28" ht="24" customHeight="1">
      <c r="B28" s="38" t="inlineStr">
        <is>
          <t>TOTAL OBRIGATÓRIO</t>
        </is>
      </c>
      <c r="C28" s="21">
        <f>SUMIF(D5:D26,"🟢 OBRIGATÓRIO",C5:C26)</f>
        <v/>
      </c>
      <c r="D28" s="41" t="n"/>
      <c r="E28" s="41" t="n"/>
    </row>
    <row r="29" ht="24" customHeight="1">
      <c r="B29" s="40" t="inlineStr">
        <is>
          <t>TOTAL RECOMENDADO</t>
        </is>
      </c>
      <c r="C29" s="19">
        <f>SUMIF(D5:D26,"🟡 RECOMENDADO",C5:C26)</f>
        <v/>
      </c>
      <c r="D29" s="42" t="n"/>
      <c r="E29" s="42" t="n"/>
    </row>
    <row r="30" ht="24" customHeight="1">
      <c r="B30" s="7" t="inlineStr">
        <is>
          <t>TOTAL OPCIONAL</t>
        </is>
      </c>
      <c r="C30" s="43">
        <f>SUMIF(D5:D26,"⚪ OPCIONAL",C5:C26)</f>
        <v/>
      </c>
      <c r="D30" s="44" t="n"/>
      <c r="E30" s="44" t="n"/>
    </row>
    <row r="31" ht="24" customHeight="1">
      <c r="B31" s="45" t="inlineStr">
        <is>
          <t>CUSTO MENSAL TOTAL (todos)</t>
        </is>
      </c>
      <c r="C31" s="29">
        <f>SUM(C5:C26)</f>
        <v/>
      </c>
      <c r="D31" s="46" t="n"/>
      <c r="E31" s="46" t="n"/>
    </row>
    <row r="33">
      <c r="B33" s="47" t="inlineStr">
        <is>
          <t>CUSTO TOTAL ANUAL</t>
        </is>
      </c>
      <c r="C33" s="48">
        <f>SUM(C5:C26)*12</f>
        <v/>
      </c>
      <c r="D33" s="49" t="n"/>
      <c r="E33" s="49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38" customWidth="1" min="4" max="4"/>
    <col width="3" customWidth="1" min="5" max="5"/>
  </cols>
  <sheetData>
    <row r="1" ht="28" customHeight="1">
      <c r="A1" s="1" t="inlineStr">
        <is>
          <t>CUSTOS VARIÁVEIS (% sobre receita ou por projeto)</t>
        </is>
      </c>
    </row>
    <row r="2">
      <c r="B2" s="2" t="inlineStr">
        <is>
          <t>Valores em % são aplicados sobre receita; valores em R$ são por projeto/cliente</t>
        </is>
      </c>
    </row>
    <row r="4">
      <c r="B4" s="6" t="inlineStr">
        <is>
          <t>Item</t>
        </is>
      </c>
      <c r="C4" s="6" t="inlineStr">
        <is>
          <t>Valor / %</t>
        </is>
      </c>
      <c r="D4" s="6" t="inlineStr">
        <is>
          <t>Observação / Fonte</t>
        </is>
      </c>
    </row>
    <row r="5" ht="22" customHeight="1">
      <c r="B5" s="17" t="inlineStr">
        <is>
          <t>(% sobre receita) Imposto Simples Anexo III</t>
        </is>
      </c>
      <c r="C5" s="50">
        <f>'2. Premissas'!C31</f>
        <v/>
      </c>
      <c r="D5" s="39" t="inlineStr">
        <is>
          <t>Premissa editável — efetivo real: 6% até R$ 180k/ano</t>
        </is>
      </c>
    </row>
    <row r="6" ht="22" customHeight="1">
      <c r="B6" s="17" t="inlineStr">
        <is>
          <t>(% sobre receita) Taxa de cartão MÉDIA</t>
        </is>
      </c>
      <c r="C6" s="50">
        <f>'2. Premissas'!C69</f>
        <v/>
      </c>
      <c r="D6" s="39" t="inlineStr">
        <is>
          <t>Média ponderada das modalidades</t>
        </is>
      </c>
    </row>
    <row r="7" ht="22" customHeight="1">
      <c r="B7" s="17" t="inlineStr">
        <is>
          <t>(% sobre receita) Inadimplência (PCLD)</t>
        </is>
      </c>
      <c r="C7" s="50">
        <f>'2. Premissas'!C38</f>
        <v/>
      </c>
      <c r="D7" s="39" t="inlineStr">
        <is>
          <t>Conservador: 4% serviços B2B BR</t>
        </is>
      </c>
    </row>
    <row r="8" ht="22" customHeight="1">
      <c r="B8" s="17" t="inlineStr">
        <is>
          <t>(% sobre receita) Comissão indicação (parcerias)</t>
        </is>
      </c>
      <c r="C8" s="50" t="n">
        <v>0.1</v>
      </c>
      <c r="D8" s="39" t="inlineStr">
        <is>
          <t>10-20% se houver indicador externo</t>
        </is>
      </c>
    </row>
    <row r="9" ht="22" customHeight="1">
      <c r="B9" s="17" t="inlineStr">
        <is>
          <t>(R$ por projeto) Plugins/apps Shopify específicos</t>
        </is>
      </c>
      <c r="C9" s="10" t="n">
        <v>200</v>
      </c>
      <c r="D9" s="39" t="inlineStr">
        <is>
          <t>Quando o pacote inclui app pago (estimativa média)</t>
        </is>
      </c>
    </row>
    <row r="10" ht="22" customHeight="1">
      <c r="B10" s="17" t="inlineStr">
        <is>
          <t>(R$ por projeto) Templates pagos / temas premium</t>
        </is>
      </c>
      <c r="C10" s="10" t="n">
        <v>300</v>
      </c>
      <c r="D10" s="39" t="inlineStr">
        <is>
          <t>Tema Shopify premium US$ 200-350</t>
        </is>
      </c>
    </row>
    <row r="11" ht="22" customHeight="1">
      <c r="B11" s="17" t="inlineStr">
        <is>
          <t>(R$ por projeto) Banco de imagens / fontes</t>
        </is>
      </c>
      <c r="C11" s="10" t="n">
        <v>100</v>
      </c>
      <c r="D11" s="39" t="inlineStr">
        <is>
          <t>Adobe Stock, Freepik PRO, etc.</t>
        </is>
      </c>
    </row>
    <row r="12" ht="22" customHeight="1">
      <c r="B12" s="17" t="inlineStr">
        <is>
          <t>(R$ por projeto) Subcontratado eventual (designer/copy freela)</t>
        </is>
      </c>
      <c r="C12" s="10" t="n">
        <v>800</v>
      </c>
      <c r="D12" s="39" t="inlineStr">
        <is>
          <t>Quando o escopo exigir — opcional</t>
        </is>
      </c>
    </row>
    <row r="13" ht="22" customHeight="1">
      <c r="B13" s="17" t="inlineStr">
        <is>
          <t>(R$ por mês) Tráfego pago próprio (aquisição clientes)</t>
        </is>
      </c>
      <c r="C13" s="10" t="n">
        <v>1500</v>
      </c>
      <c r="D13" s="39" t="inlineStr">
        <is>
          <t>Repassado da aba 4 marketing; também variável</t>
        </is>
      </c>
    </row>
    <row r="14" ht="22" customHeight="1">
      <c r="B14" s="17" t="inlineStr">
        <is>
          <t>(R$ por hora extra de atendimento pós-venda)</t>
        </is>
      </c>
      <c r="C14" s="10" t="n">
        <v>89</v>
      </c>
      <c r="D14" s="39" t="inlineStr">
        <is>
          <t>Custo de oportunidade da hora produtiva</t>
        </is>
      </c>
    </row>
    <row r="15" ht="22" customHeight="1">
      <c r="B15" s="17" t="inlineStr">
        <is>
          <t>Provisão para cancelamentos/devoluções</t>
        </is>
      </c>
      <c r="C15" s="51" t="inlineStr">
        <is>
          <t>1-3% da receita</t>
        </is>
      </c>
      <c r="D15" s="39" t="inlineStr">
        <is>
          <t>Recomendação contábil (CPC 25 — Provisões)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38" customWidth="1" min="6" max="6"/>
    <col width="3" customWidth="1" min="7" max="7"/>
  </cols>
  <sheetData>
    <row r="1" ht="28" customHeight="1">
      <c r="A1" s="1" t="inlineStr">
        <is>
          <t>CAPACIDADE OPERACIONAL — análise de horas</t>
        </is>
      </c>
    </row>
    <row r="3" ht="22" customHeight="1">
      <c r="A3" s="3" t="inlineStr">
        <is>
          <t>HORAS DISPONÍVEIS (por mês)</t>
        </is>
      </c>
    </row>
    <row r="4">
      <c r="B4" s="6" t="inlineStr">
        <is>
          <t>Linha</t>
        </is>
      </c>
      <c r="C4" s="6" t="inlineStr">
        <is>
          <t>Por sócio</t>
        </is>
      </c>
      <c r="D4" s="6" t="inlineStr">
        <is>
          <t>Total (2 sócios)</t>
        </is>
      </c>
      <c r="E4" s="6" t="inlineStr">
        <is>
          <t>% das brutas</t>
        </is>
      </c>
      <c r="F4" s="6" t="inlineStr">
        <is>
          <t>Observação</t>
        </is>
      </c>
    </row>
    <row r="5">
      <c r="B5" s="17" t="inlineStr">
        <is>
          <t>Horas BRUTAS (22 dias × 8h)</t>
        </is>
      </c>
      <c r="C5" s="52">
        <f>'2. Premissas'!C16</f>
        <v/>
      </c>
      <c r="D5" s="8">
        <f>'2. Premissas'!C17</f>
        <v/>
      </c>
      <c r="E5" s="14" t="inlineStr">
        <is>
          <t>100%</t>
        </is>
      </c>
      <c r="F5" s="39" t="inlineStr">
        <is>
          <t>Linha de partida</t>
        </is>
      </c>
    </row>
    <row r="6">
      <c r="B6" s="17" t="inlineStr">
        <is>
          <t>(-) Comercial (pré-venda, propostas, reuniões)</t>
        </is>
      </c>
      <c r="C6" s="52">
        <f>'2. Premissas'!C17*0.15/'2. Premissas'!C5</f>
        <v/>
      </c>
      <c r="D6" s="8">
        <f>'2. Premissas'!C17*0.15</f>
        <v/>
      </c>
      <c r="E6" s="14" t="inlineStr">
        <is>
          <t>15%</t>
        </is>
      </c>
      <c r="F6" s="39" t="inlineStr">
        <is>
          <t>53h totais</t>
        </is>
      </c>
    </row>
    <row r="7">
      <c r="B7" s="17" t="inlineStr">
        <is>
          <t>(-) Atendimento ativo + briefing</t>
        </is>
      </c>
      <c r="C7" s="52">
        <f>'2. Premissas'!C17*0.10/'2. Premissas'!C5</f>
        <v/>
      </c>
      <c r="D7" s="8">
        <f>'2. Premissas'!C17*0.10</f>
        <v/>
      </c>
      <c r="E7" s="14" t="inlineStr">
        <is>
          <t>10%</t>
        </is>
      </c>
      <c r="F7" s="39" t="inlineStr">
        <is>
          <t>35h totais</t>
        </is>
      </c>
    </row>
    <row r="8">
      <c r="B8" s="17" t="inlineStr">
        <is>
          <t>(-) Pós-venda + suporte/garantia</t>
        </is>
      </c>
      <c r="C8" s="52">
        <f>'2. Premissas'!C17*0.10/'2. Premissas'!C5</f>
        <v/>
      </c>
      <c r="D8" s="8">
        <f>'2. Premissas'!C17*0.10</f>
        <v/>
      </c>
      <c r="E8" s="14" t="inlineStr">
        <is>
          <t>10%</t>
        </is>
      </c>
      <c r="F8" s="39" t="inlineStr">
        <is>
          <t>35h totais</t>
        </is>
      </c>
    </row>
    <row r="9">
      <c r="B9" s="17" t="inlineStr">
        <is>
          <t>(-) Admin + financeiro + reuniões internas</t>
        </is>
      </c>
      <c r="C9" s="52">
        <f>'2. Premissas'!C17*0.08/'2. Premissas'!C5</f>
        <v/>
      </c>
      <c r="D9" s="8">
        <f>'2. Premissas'!C17*0.08</f>
        <v/>
      </c>
      <c r="E9" s="14" t="inlineStr">
        <is>
          <t>8%</t>
        </is>
      </c>
      <c r="F9" s="39" t="inlineStr">
        <is>
          <t>28h totais</t>
        </is>
      </c>
    </row>
    <row r="10">
      <c r="B10" s="17" t="inlineStr">
        <is>
          <t>(-) Gestão + estudo + atualização templates</t>
        </is>
      </c>
      <c r="C10" s="52">
        <f>'2. Premissas'!C17*0.07/'2. Premissas'!C5</f>
        <v/>
      </c>
      <c r="D10" s="8">
        <f>'2. Premissas'!C17*0.07</f>
        <v/>
      </c>
      <c r="E10" s="14" t="inlineStr">
        <is>
          <t>7%</t>
        </is>
      </c>
      <c r="F10" s="39" t="inlineStr">
        <is>
          <t>25h totais</t>
        </is>
      </c>
    </row>
    <row r="11">
      <c r="B11" s="38">
        <f> HORAS PRODUTIVAS de execução pura</f>
        <v/>
      </c>
      <c r="C11" s="53">
        <f>'2. Premissas'!C19/'2. Premissas'!C5</f>
        <v/>
      </c>
      <c r="D11" s="25">
        <f>'2. Premissas'!C19</f>
        <v/>
      </c>
      <c r="E11" s="54" t="inlineStr">
        <is>
          <t>50%</t>
        </is>
      </c>
      <c r="F11" s="55" t="inlineStr">
        <is>
          <t>Padrão de planejamento: 176h</t>
        </is>
      </c>
    </row>
    <row r="12">
      <c r="B12" s="56" t="inlineStr">
        <is>
          <t>Capacidade ALVO sustentável (≤80%)</t>
        </is>
      </c>
      <c r="C12" s="57">
        <f>'2. Premissas'!C22/'2. Premissas'!C5</f>
        <v/>
      </c>
      <c r="D12" s="58">
        <f>'2. Premissas'!C22</f>
        <v/>
      </c>
      <c r="E12" s="59" t="inlineStr">
        <is>
          <t>40%</t>
        </is>
      </c>
      <c r="F12" s="60" t="inlineStr">
        <is>
          <t>Operar ≤80% evita burnout</t>
        </is>
      </c>
    </row>
    <row r="14" ht="22" customHeight="1">
      <c r="A14" s="3" t="inlineStr">
        <is>
          <t>MIX MENSAL RECOMENDADO (alvo ≤80% de capacidade)</t>
        </is>
      </c>
    </row>
    <row r="15">
      <c r="B15" s="6" t="inlineStr">
        <is>
          <t>Combinação</t>
        </is>
      </c>
      <c r="C15" s="6" t="inlineStr">
        <is>
          <t>Start (20h)</t>
        </is>
      </c>
      <c r="D15" s="6" t="inlineStr">
        <is>
          <t>Pro (40h)</t>
        </is>
      </c>
      <c r="E15" s="6" t="inlineStr">
        <is>
          <t>Premium (70h)</t>
        </is>
      </c>
      <c r="F15" s="6" t="inlineStr">
        <is>
          <t>Horas totais</t>
        </is>
      </c>
      <c r="G15" s="6" t="inlineStr">
        <is>
          <t>Avaliação</t>
        </is>
      </c>
    </row>
    <row r="16">
      <c r="B16" s="38" t="inlineStr">
        <is>
          <t>Volume máximo (NÃO recomendado)</t>
        </is>
      </c>
      <c r="C16" s="53" t="n">
        <v>4</v>
      </c>
      <c r="D16" s="53" t="n">
        <v>1</v>
      </c>
      <c r="E16" s="53" t="n">
        <v>0</v>
      </c>
      <c r="F16" s="25">
        <f>C16*20+D16*40+E16*70</f>
        <v/>
      </c>
      <c r="G16" s="54" t="inlineStr">
        <is>
          <t>❌ 200h — estoura (&gt;80%)</t>
        </is>
      </c>
    </row>
    <row r="17">
      <c r="B17" s="28" t="inlineStr">
        <is>
          <t>Volume saudável</t>
        </is>
      </c>
      <c r="C17" s="52" t="n">
        <v>3</v>
      </c>
      <c r="D17" s="52" t="n">
        <v>1</v>
      </c>
      <c r="E17" s="52" t="n">
        <v>0</v>
      </c>
      <c r="F17" s="8">
        <f>C17*20+D17*40+E17*70</f>
        <v/>
      </c>
      <c r="G17" s="14" t="inlineStr">
        <is>
          <t>✅ 100h — ok com folga</t>
        </is>
      </c>
    </row>
    <row r="18">
      <c r="B18" s="28" t="inlineStr">
        <is>
          <t>Equilibrado</t>
        </is>
      </c>
      <c r="C18" s="52" t="n">
        <v>2</v>
      </c>
      <c r="D18" s="52" t="n">
        <v>1</v>
      </c>
      <c r="E18" s="52" t="n">
        <v>0</v>
      </c>
      <c r="F18" s="8">
        <f>C18*20+D18*40+E18*70</f>
        <v/>
      </c>
      <c r="G18" s="14" t="inlineStr">
        <is>
          <t>✅ 80h — confortável</t>
        </is>
      </c>
    </row>
    <row r="19">
      <c r="B19" s="28" t="inlineStr">
        <is>
          <t>Premium-foco</t>
        </is>
      </c>
      <c r="C19" s="52" t="n">
        <v>1</v>
      </c>
      <c r="D19" s="52" t="n">
        <v>0</v>
      </c>
      <c r="E19" s="52" t="n">
        <v>1</v>
      </c>
      <c r="F19" s="8">
        <f>C19*20+D19*40+E19*70</f>
        <v/>
      </c>
      <c r="G19" s="14" t="inlineStr">
        <is>
          <t>✅ 90h — sustentável</t>
        </is>
      </c>
    </row>
    <row r="20">
      <c r="B20" s="38" t="inlineStr">
        <is>
          <t>Target sustentável (recomendado)</t>
        </is>
      </c>
      <c r="C20" s="53" t="n">
        <v>2</v>
      </c>
      <c r="D20" s="53" t="n">
        <v>1</v>
      </c>
      <c r="E20" s="53" t="n">
        <v>0</v>
      </c>
      <c r="F20" s="25">
        <f>C20*20+D20*40+E20*70</f>
        <v/>
      </c>
      <c r="G20" s="54" t="inlineStr">
        <is>
          <t>✅ 80h — pode adicionar suporte</t>
        </is>
      </c>
    </row>
    <row r="21">
      <c r="B21" s="28" t="inlineStr">
        <is>
          <t>Premium puro (a cada 2 meses)</t>
        </is>
      </c>
      <c r="C21" s="52" t="n">
        <v>0</v>
      </c>
      <c r="D21" s="52" t="n">
        <v>0</v>
      </c>
      <c r="E21" s="52" t="n">
        <v>1</v>
      </c>
      <c r="F21" s="8">
        <f>C21*20+D21*40+E21*70</f>
        <v/>
      </c>
      <c r="G21" s="14" t="inlineStr">
        <is>
          <t>✅ 70h — ok mas baixo throughput</t>
        </is>
      </c>
    </row>
    <row r="23" ht="22" customHeight="1">
      <c r="A23" s="3" t="inlineStr">
        <is>
          <t>LIMITES DE SUPORTE RECORRENTE POR SÓCIO</t>
        </is>
      </c>
    </row>
    <row r="24">
      <c r="B24" s="6" t="inlineStr">
        <is>
          <t>Plano</t>
        </is>
      </c>
      <c r="C24" s="6" t="inlineStr">
        <is>
          <t>Horas/mês cliente</t>
        </is>
      </c>
      <c r="D24" s="6" t="inlineStr">
        <is>
          <t>Capacidade nominal/sócio</t>
        </is>
      </c>
      <c r="E24" s="6" t="inlineStr">
        <is>
          <t>Teto operacional/sócio</t>
        </is>
      </c>
      <c r="F24" s="6" t="inlineStr">
        <is>
          <t>Mix sustentável</t>
        </is>
      </c>
    </row>
    <row r="25">
      <c r="A25" s="36" t="n"/>
      <c r="B25" s="28" t="inlineStr">
        <is>
          <t>Essencial (4h/mês)</t>
        </is>
      </c>
      <c r="C25" s="61" t="n">
        <v>4</v>
      </c>
      <c r="D25" s="61" t="n">
        <v>45</v>
      </c>
      <c r="E25" s="61" t="n">
        <v>25</v>
      </c>
      <c r="F25" s="36" t="inlineStr">
        <is>
          <t>Combinar com 1-2 Pro</t>
        </is>
      </c>
    </row>
    <row r="26">
      <c r="A26" s="36" t="n"/>
      <c r="B26" s="28" t="inlineStr">
        <is>
          <t>Profissional (10h/mês)</t>
        </is>
      </c>
      <c r="C26" s="61" t="n">
        <v>10</v>
      </c>
      <c r="D26" s="61" t="n">
        <v>18</v>
      </c>
      <c r="E26" s="61" t="n">
        <v>12</v>
      </c>
      <c r="F26" s="36" t="inlineStr">
        <is>
          <t>Limite mais comum</t>
        </is>
      </c>
    </row>
    <row r="27">
      <c r="A27" s="36" t="n"/>
      <c r="B27" s="28" t="inlineStr">
        <is>
          <t>Growth (20h/mês)</t>
        </is>
      </c>
      <c r="C27" s="61" t="n">
        <v>20</v>
      </c>
      <c r="D27" s="61" t="n">
        <v>9</v>
      </c>
      <c r="E27" s="61" t="n">
        <v>6</v>
      </c>
      <c r="F27" s="36" t="inlineStr">
        <is>
          <t>Cliente premium</t>
        </is>
      </c>
    </row>
    <row r="29" ht="22" customHeight="1">
      <c r="A29" s="3" t="inlineStr">
        <is>
          <t>GATILHOS PARA CONTRATAR O 3º PROFISSIONAL</t>
        </is>
      </c>
    </row>
    <row r="30">
      <c r="B30" s="17" t="inlineStr">
        <is>
          <t>☐  Backlog vendido &gt; 200h por 2 meses consecutivos</t>
        </is>
      </c>
    </row>
    <row r="31">
      <c r="B31" s="17" t="inlineStr">
        <is>
          <t>☐  Capacidade alocada &gt; 85% por 2 meses</t>
        </is>
      </c>
    </row>
    <row r="32">
      <c r="B32" s="17" t="inlineStr">
        <is>
          <t>☐  Recusa de ≥2 projetos qualificados por mês por falta de slot</t>
        </is>
      </c>
    </row>
    <row r="33">
      <c r="B33" s="17" t="inlineStr">
        <is>
          <t>☐  Suporte recorrente &gt; 50h/mês combinado</t>
        </is>
      </c>
    </row>
    <row r="34">
      <c r="B34" s="17" t="inlineStr">
        <is>
          <t>☐  NPS cai abaixo de 8 ou atraso médio &gt; 20% sobre prazo prometido</t>
        </is>
      </c>
    </row>
    <row r="35">
      <c r="B35" s="17" t="inlineStr">
        <is>
          <t>☐  MRR ≥ R$ 20.000 por 3 meses (cobre custo de contratação CLT-flex ~R$ 6-9k all-in)</t>
        </is>
      </c>
    </row>
    <row r="36">
      <c r="B36" s="17" t="inlineStr">
        <is>
          <t>☐  Sócios trabalhando &gt; 55h/semana ou rejeitando projetos por capacidade</t>
        </is>
      </c>
    </row>
    <row r="37" ht="32" customHeight="1">
      <c r="B37" s="38" t="inlineStr">
        <is>
          <t>✅ Perfil ideal da 1ª contratação: IMPLEMENTADOR PLENO em Shopify/Tray (não sênior). R$ 5-7k CLT-flex ou PJ. Sócios sobem para vendas + suporte estratégico + conteúdo.</t>
        </is>
      </c>
    </row>
  </sheetData>
  <mergeCells count="13">
    <mergeCell ref="B30:F30"/>
    <mergeCell ref="A14:G14"/>
    <mergeCell ref="A1:G1"/>
    <mergeCell ref="B34:F34"/>
    <mergeCell ref="A3:G3"/>
    <mergeCell ref="B33:F33"/>
    <mergeCell ref="B35:F35"/>
    <mergeCell ref="B37:F37"/>
    <mergeCell ref="B31:F31"/>
    <mergeCell ref="A29:G29"/>
    <mergeCell ref="B36:F36"/>
    <mergeCell ref="B32:F32"/>
    <mergeCell ref="A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18" customWidth="1" min="4" max="4"/>
    <col width="18" customWidth="1" min="5" max="5"/>
    <col width="38" customWidth="1" min="6" max="6"/>
    <col width="3" customWidth="1" min="7" max="7"/>
  </cols>
  <sheetData>
    <row r="1" ht="28" customHeight="1">
      <c r="A1" s="1" t="inlineStr">
        <is>
          <t>PRECIFICAÇÃO — PROJETO 48 HORAS (3 pacotes)</t>
        </is>
      </c>
    </row>
    <row r="2">
      <c r="B2" s="2" t="inlineStr">
        <is>
          <t>Fórmula de precificação: PV = (CustoHora × Horas) ÷ (1 - %Imposto - %TaxaMédia - %Inadimplência - %Margem)</t>
        </is>
      </c>
    </row>
    <row r="4" ht="22" customHeight="1">
      <c r="A4" s="3" t="inlineStr">
        <is>
          <t>ESCOPO POR PACOTE</t>
        </is>
      </c>
    </row>
    <row r="5">
      <c r="B5" s="6" t="inlineStr">
        <is>
          <t>Item</t>
        </is>
      </c>
      <c r="C5" s="6" t="inlineStr">
        <is>
          <t>START</t>
        </is>
      </c>
      <c r="D5" s="6" t="inlineStr">
        <is>
          <t>PRO</t>
        </is>
      </c>
      <c r="E5" s="6" t="inlineStr">
        <is>
          <t>PREMIUM</t>
        </is>
      </c>
      <c r="F5" s="6" t="inlineStr">
        <is>
          <t>Observação</t>
        </is>
      </c>
    </row>
    <row r="6" ht="22" customHeight="1">
      <c r="B6" s="7" t="inlineStr">
        <is>
          <t>Plataformas suportadas</t>
        </is>
      </c>
      <c r="C6" s="14" t="inlineStr">
        <is>
          <t>Shopify, Nuvemshop, WP</t>
        </is>
      </c>
      <c r="D6" s="14" t="inlineStr">
        <is>
          <t>Shopify, Nuvemshop, Tray</t>
        </is>
      </c>
      <c r="E6" s="14" t="inlineStr">
        <is>
          <t>Shopify, Tray</t>
        </is>
      </c>
      <c r="F6" s="39" t="inlineStr">
        <is>
          <t>Woo só com +30%</t>
        </is>
      </c>
    </row>
    <row r="7" ht="22" customHeight="1">
      <c r="B7" s="7" t="inlineStr">
        <is>
          <t>Limite de SKUs</t>
        </is>
      </c>
      <c r="C7" s="52" t="n">
        <v>15</v>
      </c>
      <c r="D7" s="52" t="n">
        <v>50</v>
      </c>
      <c r="E7" s="52" t="n">
        <v>150</v>
      </c>
      <c r="F7" s="39" t="inlineStr">
        <is>
          <t>Cadastro com fotos prontas</t>
        </is>
      </c>
    </row>
    <row r="8" ht="22" customHeight="1">
      <c r="B8" s="7" t="inlineStr">
        <is>
          <t>Limite de páginas</t>
        </is>
      </c>
      <c r="C8" s="52" t="n">
        <v>5</v>
      </c>
      <c r="D8" s="52" t="n">
        <v>8</v>
      </c>
      <c r="E8" s="52" t="n">
        <v>12</v>
      </c>
      <c r="F8" s="39" t="inlineStr">
        <is>
          <t>Páginas institucionais</t>
        </is>
      </c>
    </row>
    <row r="9" ht="22" customHeight="1">
      <c r="B9" s="7" t="inlineStr">
        <is>
          <t>Limite de integrações</t>
        </is>
      </c>
      <c r="C9" s="52" t="n">
        <v>1</v>
      </c>
      <c r="D9" s="52" t="n">
        <v>1</v>
      </c>
      <c r="E9" s="52" t="n">
        <v>2</v>
      </c>
      <c r="F9" s="39" t="inlineStr">
        <is>
          <t>Bling OU Tiny OU RD</t>
        </is>
      </c>
    </row>
    <row r="10" ht="22" customHeight="1">
      <c r="B10" s="7" t="inlineStr">
        <is>
          <t>Limite de gateways</t>
        </is>
      </c>
      <c r="C10" s="52" t="n">
        <v>1</v>
      </c>
      <c r="D10" s="52" t="n">
        <v>2</v>
      </c>
      <c r="E10" s="52" t="n">
        <v>2</v>
      </c>
      <c r="F10" s="39" t="inlineStr">
        <is>
          <t>Aprovado antes do start</t>
        </is>
      </c>
    </row>
    <row r="11" ht="22" customHeight="1">
      <c r="B11" s="7" t="inlineStr">
        <is>
          <t>Limite de modalidades de frete</t>
        </is>
      </c>
      <c r="C11" s="52" t="n">
        <v>1</v>
      </c>
      <c r="D11" s="52" t="n">
        <v>2</v>
      </c>
      <c r="E11" s="52" t="n">
        <v>2</v>
      </c>
      <c r="F11" s="39" t="inlineStr">
        <is>
          <t>Melhor Envio/Correios</t>
        </is>
      </c>
    </row>
    <row r="12" ht="22" customHeight="1">
      <c r="B12" s="7" t="inlineStr">
        <is>
          <t>Reuniões inclusas</t>
        </is>
      </c>
      <c r="C12" s="52" t="n">
        <v>3</v>
      </c>
      <c r="D12" s="52" t="n">
        <v>3</v>
      </c>
      <c r="E12" s="52" t="n">
        <v>5</v>
      </c>
      <c r="F12" s="39" t="inlineStr">
        <is>
          <t>Briefing + validação + treinamento</t>
        </is>
      </c>
    </row>
    <row r="13" ht="22" customHeight="1">
      <c r="B13" s="7" t="inlineStr">
        <is>
          <t>Sessões de treinamento (60min)</t>
        </is>
      </c>
      <c r="C13" s="52" t="n">
        <v>1</v>
      </c>
      <c r="D13" s="52" t="n">
        <v>2</v>
      </c>
      <c r="E13" s="52" t="n">
        <v>2</v>
      </c>
      <c r="F13" s="39" t="inlineStr">
        <is>
          <t>+ videoteca de acesso</t>
        </is>
      </c>
    </row>
    <row r="14" ht="22" customHeight="1">
      <c r="B14" s="7" t="inlineStr">
        <is>
          <t>Dias de suporte pós-go-live</t>
        </is>
      </c>
      <c r="C14" s="52" t="n">
        <v>7</v>
      </c>
      <c r="D14" s="52" t="n">
        <v>15</v>
      </c>
      <c r="E14" s="52" t="n">
        <v>30</v>
      </c>
      <c r="F14" s="39" t="inlineStr">
        <is>
          <t>Após, plano mensal obrigatório</t>
        </is>
      </c>
    </row>
    <row r="15" ht="22" customHeight="1">
      <c r="B15" s="7" t="inlineStr">
        <is>
          <t>Horas humanas estimadas (mín)</t>
        </is>
      </c>
      <c r="C15" s="52" t="n">
        <v>22</v>
      </c>
      <c r="D15" s="52" t="n">
        <v>45</v>
      </c>
      <c r="E15" s="52" t="n">
        <v>90</v>
      </c>
      <c r="F15" s="39" t="inlineStr">
        <is>
          <t>Cenário ideal com pré-condições</t>
        </is>
      </c>
    </row>
    <row r="16" ht="22" customHeight="1">
      <c r="B16" s="7" t="inlineStr">
        <is>
          <t>Horas humanas estimadas (esperada)</t>
        </is>
      </c>
      <c r="C16" s="52" t="n">
        <v>32</v>
      </c>
      <c r="D16" s="52" t="n">
        <v>70</v>
      </c>
      <c r="E16" s="52" t="n">
        <v>130</v>
      </c>
      <c r="F16" s="39" t="inlineStr">
        <is>
          <t>Mediana operacional</t>
        </is>
      </c>
    </row>
    <row r="17" ht="22" customHeight="1">
      <c r="B17" s="7" t="inlineStr">
        <is>
          <t>Horas humanas estimadas (máx)</t>
        </is>
      </c>
      <c r="C17" s="52" t="n">
        <v>45</v>
      </c>
      <c r="D17" s="52" t="n">
        <v>100</v>
      </c>
      <c r="E17" s="52" t="n">
        <v>180</v>
      </c>
      <c r="F17" s="39" t="inlineStr">
        <is>
          <t>Cenário stress</t>
        </is>
      </c>
    </row>
    <row r="19" ht="22" customHeight="1">
      <c r="A19" s="3" t="inlineStr">
        <is>
          <t>PRECIFICAÇÃO CALCULADA (base: horas esperadas)</t>
        </is>
      </c>
    </row>
    <row r="20">
      <c r="B20" s="6" t="inlineStr">
        <is>
          <t>Linha</t>
        </is>
      </c>
      <c r="C20" s="6" t="inlineStr">
        <is>
          <t>START</t>
        </is>
      </c>
      <c r="D20" s="6" t="inlineStr">
        <is>
          <t>PRO</t>
        </is>
      </c>
      <c r="E20" s="6" t="inlineStr">
        <is>
          <t>PREMIUM</t>
        </is>
      </c>
      <c r="F20" s="6" t="inlineStr">
        <is>
          <t>Fórmula / Origem</t>
        </is>
      </c>
    </row>
    <row r="21">
      <c r="B21" s="62" t="inlineStr">
        <is>
          <t>Custo interno (R$)</t>
        </is>
      </c>
      <c r="C21" s="63">
        <f>'2. Premissas'!C68*C16</f>
        <v/>
      </c>
      <c r="D21" s="63">
        <f>'2. Premissas'!C68*D16</f>
        <v/>
      </c>
      <c r="E21" s="63">
        <f>'2. Premissas'!C68*E16</f>
        <v/>
      </c>
      <c r="F21" s="64">
        <f> custo/h × horas</f>
        <v/>
      </c>
    </row>
    <row r="22">
      <c r="B22" s="65" t="inlineStr">
        <is>
          <t>PREÇO MÍNIMO (margem 20%)</t>
        </is>
      </c>
      <c r="C22" s="66">
        <f>('2. Premissas'!C68*C16)/(1-'2. Premissas'!C31-'2. Premissas'!C69-'2. Premissas'!C38-'2. Premissas'!C26)</f>
        <v/>
      </c>
      <c r="D22" s="66">
        <f>('2. Premissas'!C68*D16)/(1-'2. Premissas'!C31-'2. Premissas'!C69-'2. Premissas'!C38-'2. Premissas'!C26)</f>
        <v/>
      </c>
      <c r="E22" s="66">
        <f>('2. Premissas'!C68*E16)/(1-'2. Premissas'!C31-'2. Premissas'!C69-'2. Premissas'!C38-'2. Premissas'!C26)</f>
        <v/>
      </c>
      <c r="F22" s="64" t="inlineStr">
        <is>
          <t>Custo / (1 - 12% - tx méd - 4% - 20%)</t>
        </is>
      </c>
    </row>
    <row r="23">
      <c r="B23" s="67" t="inlineStr">
        <is>
          <t>PREÇO RECOMENDADO (margem 40%)</t>
        </is>
      </c>
      <c r="C23" s="68">
        <f>('2. Premissas'!C68*C16)/(1-'2. Premissas'!C31-'2. Premissas'!C69-'2. Premissas'!C38-'2. Premissas'!C27)</f>
        <v/>
      </c>
      <c r="D23" s="68">
        <f>('2. Premissas'!C68*D16)/(1-'2. Premissas'!C31-'2. Premissas'!C69-'2. Premissas'!C38-'2. Premissas'!C27)</f>
        <v/>
      </c>
      <c r="E23" s="68">
        <f>('2. Premissas'!C68*E16)/(1-'2. Premissas'!C31-'2. Premissas'!C69-'2. Premissas'!C38-'2. Premissas'!C27)</f>
        <v/>
      </c>
      <c r="F23" s="64" t="inlineStr">
        <is>
          <t>Custo / (1 - 12% - tx méd - 4% - 40%)</t>
        </is>
      </c>
    </row>
    <row r="24">
      <c r="B24" s="69" t="inlineStr">
        <is>
          <t>PREÇO PREMIUM (margem 55%)</t>
        </is>
      </c>
      <c r="C24" s="70">
        <f>('2. Premissas'!C68*C16)/(1-'2. Premissas'!C31-'2. Premissas'!C69-'2. Premissas'!C38-'2. Premissas'!C28)</f>
        <v/>
      </c>
      <c r="D24" s="70">
        <f>('2. Premissas'!C68*D16)/(1-'2. Premissas'!C31-'2. Premissas'!C69-'2. Premissas'!C38-'2. Premissas'!C28)</f>
        <v/>
      </c>
      <c r="E24" s="70">
        <f>('2. Premissas'!C68*E16)/(1-'2. Premissas'!C31-'2. Premissas'!C69-'2. Premissas'!C38-'2. Premissas'!C28)</f>
        <v/>
      </c>
      <c r="F24" s="64" t="inlineStr">
        <is>
          <t>Custo / (1 - 12% - tx méd - 4% - 55%)</t>
        </is>
      </c>
    </row>
    <row r="25">
      <c r="B25" s="71" t="inlineStr">
        <is>
          <t>PREÇO COMERCIAL SUGERIDO (ancoragem)</t>
        </is>
      </c>
      <c r="C25" s="29" t="n">
        <v>2490</v>
      </c>
      <c r="D25" s="29" t="n">
        <v>4990</v>
      </c>
      <c r="E25" s="29" t="n">
        <v>8900</v>
      </c>
      <c r="F25" s="64" t="inlineStr">
        <is>
          <t>Recomendação CFO: ancoragem + colchão p/ desconto</t>
        </is>
      </c>
    </row>
    <row r="26">
      <c r="B26" s="62" t="inlineStr">
        <is>
          <t>Margem líquida no preço sugerido</t>
        </is>
      </c>
      <c r="C26" s="13">
        <f>1-'2. Premissas'!C31-'2. Premissas'!C69-'2. Premissas'!C38-(('2. Premissas'!C68*C16)/C25)</f>
        <v/>
      </c>
      <c r="D26" s="13">
        <f>1-'2. Premissas'!C31-'2. Premissas'!C69-'2. Premissas'!C38-(('2. Premissas'!C68*D16)/D25)</f>
        <v/>
      </c>
      <c r="E26" s="13">
        <f>1-'2. Premissas'!C31-'2. Premissas'!C69-'2. Premissas'!C38-(('2. Premissas'!C68*E16)/E25)</f>
        <v/>
      </c>
      <c r="F26" s="64">
        <f> 1 - imp - tx - inad - custo%</f>
        <v/>
      </c>
    </row>
    <row r="28" ht="22" customHeight="1">
      <c r="A28" s="3" t="inlineStr">
        <is>
          <t>SIMULAÇÃO POR MODALIDADE DE PAGAMENTO — Pacote PRO (preço sugerido)</t>
        </is>
      </c>
    </row>
    <row r="29">
      <c r="B29" s="6" t="inlineStr">
        <is>
          <t>Modalidade</t>
        </is>
      </c>
      <c r="C29" s="6" t="inlineStr">
        <is>
          <t>Valor bruto</t>
        </is>
      </c>
      <c r="D29" s="6" t="inlineStr">
        <is>
          <t>Taxa %</t>
        </is>
      </c>
      <c r="E29" s="6" t="inlineStr">
        <is>
          <t>Taxa R$</t>
        </is>
      </c>
      <c r="F29" s="6" t="inlineStr">
        <is>
          <t>Imposto R$</t>
        </is>
      </c>
      <c r="G29" s="6" t="inlineStr">
        <is>
          <t>Líquido recebido</t>
        </is>
      </c>
    </row>
    <row r="30">
      <c r="B30" s="4" t="inlineStr">
        <is>
          <t>PIX</t>
        </is>
      </c>
      <c r="C30" s="63">
        <f>D25</f>
        <v/>
      </c>
      <c r="D30" s="72">
        <f>'2. Premissas'!C32</f>
        <v/>
      </c>
      <c r="E30" s="63">
        <f>D25*'2. Premissas'!C32</f>
        <v/>
      </c>
      <c r="F30" s="63">
        <f>D25*'2. Premissas'!C31</f>
        <v/>
      </c>
      <c r="G30" s="68">
        <f>C30-E30-F30</f>
        <v/>
      </c>
    </row>
    <row r="31">
      <c r="B31" s="4" t="inlineStr">
        <is>
          <t>Cartão à vista</t>
        </is>
      </c>
      <c r="C31" s="63">
        <f>D25</f>
        <v/>
      </c>
      <c r="D31" s="72">
        <f>'2. Premissas'!C33</f>
        <v/>
      </c>
      <c r="E31" s="63">
        <f>D25*'2. Premissas'!C33</f>
        <v/>
      </c>
      <c r="F31" s="63">
        <f>D25*'2. Premissas'!C31</f>
        <v/>
      </c>
      <c r="G31" s="68">
        <f>C31-E31-F31</f>
        <v/>
      </c>
    </row>
    <row r="32">
      <c r="B32" s="4" t="inlineStr">
        <is>
          <t>Cartão 3x</t>
        </is>
      </c>
      <c r="C32" s="63">
        <f>D25</f>
        <v/>
      </c>
      <c r="D32" s="72">
        <f>'2. Premissas'!C34</f>
        <v/>
      </c>
      <c r="E32" s="63">
        <f>D25*'2. Premissas'!C34</f>
        <v/>
      </c>
      <c r="F32" s="63">
        <f>D25*'2. Premissas'!C31</f>
        <v/>
      </c>
      <c r="G32" s="68">
        <f>C32-E32-F32</f>
        <v/>
      </c>
    </row>
    <row r="33">
      <c r="B33" s="4" t="inlineStr">
        <is>
          <t>Cartão 6x</t>
        </is>
      </c>
      <c r="C33" s="63">
        <f>D25</f>
        <v/>
      </c>
      <c r="D33" s="72">
        <f>'2. Premissas'!C35</f>
        <v/>
      </c>
      <c r="E33" s="63">
        <f>D25*'2. Premissas'!C35</f>
        <v/>
      </c>
      <c r="F33" s="63">
        <f>D25*'2. Premissas'!C31</f>
        <v/>
      </c>
      <c r="G33" s="68">
        <f>C33-E33-F33</f>
        <v/>
      </c>
    </row>
    <row r="34">
      <c r="B34" s="4" t="inlineStr">
        <is>
          <t>Cartão 10x</t>
        </is>
      </c>
      <c r="C34" s="63">
        <f>D25</f>
        <v/>
      </c>
      <c r="D34" s="72">
        <f>'2. Premissas'!C36</f>
        <v/>
      </c>
      <c r="E34" s="63">
        <f>D25*'2. Premissas'!C36</f>
        <v/>
      </c>
      <c r="F34" s="63">
        <f>D25*'2. Premissas'!C31</f>
        <v/>
      </c>
      <c r="G34" s="68">
        <f>C34-E34-F34</f>
        <v/>
      </c>
    </row>
    <row r="35">
      <c r="B35" s="4" t="inlineStr">
        <is>
          <t>Cartão 12x</t>
        </is>
      </c>
      <c r="C35" s="63">
        <f>D25</f>
        <v/>
      </c>
      <c r="D35" s="72">
        <f>'2. Premissas'!C37</f>
        <v/>
      </c>
      <c r="E35" s="63">
        <f>D25*'2. Premissas'!C37</f>
        <v/>
      </c>
      <c r="F35" s="63">
        <f>D25*'2. Premissas'!C31</f>
        <v/>
      </c>
      <c r="G35" s="68">
        <f>C35-E35-F35</f>
        <v/>
      </c>
    </row>
    <row r="37" ht="30" customHeight="1">
      <c r="B37" s="40" t="inlineStr">
        <is>
          <t>💡 POLÍTICA RECOMENDADA: 5% off PIX/à vista; máx 3x sem juros; 6x+ com juros repassados ao cliente. DNS sob domínio Impulso até pagamento final (50/40/10).</t>
        </is>
      </c>
    </row>
  </sheetData>
  <mergeCells count="5">
    <mergeCell ref="A1:G1"/>
    <mergeCell ref="B37:G37"/>
    <mergeCell ref="A4:G4"/>
    <mergeCell ref="A19:G19"/>
    <mergeCell ref="A28:G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2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3" customWidth="1" min="10" max="10"/>
  </cols>
  <sheetData>
    <row r="1" ht="28" customHeight="1">
      <c r="A1" s="1" t="inlineStr">
        <is>
          <t>PRECIFICAÇÃO — PROJETOS PERSONALIZADOS</t>
        </is>
      </c>
    </row>
    <row r="2">
      <c r="B2" s="2" t="inlineStr">
        <is>
          <t>Mesma fórmula: PV = (CustoHora × Horas) ÷ (1 - %Imp - %Tx - %Inad - %Margem)</t>
        </is>
      </c>
    </row>
    <row r="4" ht="22" customHeight="1">
      <c r="A4" s="3" t="inlineStr">
        <is>
          <t>TABELA DE PROJETOS PERSONALIZADOS</t>
        </is>
      </c>
    </row>
    <row r="5">
      <c r="B5" s="6" t="inlineStr">
        <is>
          <t>Projeto</t>
        </is>
      </c>
      <c r="C5" s="6" t="inlineStr">
        <is>
          <t>Horas estim.</t>
        </is>
      </c>
      <c r="D5" s="6" t="inlineStr">
        <is>
          <t>Custo interno</t>
        </is>
      </c>
      <c r="E5" s="6" t="inlineStr">
        <is>
          <t>Imposto</t>
        </is>
      </c>
      <c r="F5" s="6" t="inlineStr">
        <is>
          <t>Taxa cartão</t>
        </is>
      </c>
      <c r="G5" s="6" t="inlineStr">
        <is>
          <t>Preço MÍNIMO (20%)</t>
        </is>
      </c>
      <c r="H5" s="6" t="inlineStr">
        <is>
          <t>Preço RECOMENDADO (40%)</t>
        </is>
      </c>
      <c r="I5" s="6" t="inlineStr">
        <is>
          <t>Preço PREMIUM (55%)</t>
        </is>
      </c>
    </row>
    <row r="6" ht="22" customHeight="1">
      <c r="B6" s="28" t="inlineStr">
        <is>
          <t>Site institucional simples (até 5 páginas)</t>
        </is>
      </c>
      <c r="C6" s="52" t="n">
        <v>30</v>
      </c>
      <c r="D6" s="12">
        <f>'2. Premissas'!C68*C6</f>
        <v/>
      </c>
      <c r="E6" s="12">
        <f>G6*'2. Premissas'!C31</f>
        <v/>
      </c>
      <c r="F6" s="12">
        <f>G6*'2. Premissas'!C69</f>
        <v/>
      </c>
      <c r="G6" s="73">
        <f>D6/(1-'2. Premissas'!C31-'2. Premissas'!C69-'2. Premissas'!C38-'2. Premissas'!C26)</f>
        <v/>
      </c>
      <c r="H6" s="21">
        <f>D6/(1-'2. Premissas'!C31-'2. Premissas'!C69-'2. Premissas'!C38-'2. Premissas'!C27)</f>
        <v/>
      </c>
      <c r="I6" s="74">
        <f>D6/(1-'2. Premissas'!C31-'2. Premissas'!C69-'2. Premissas'!C38-'2. Premissas'!C28)</f>
        <v/>
      </c>
    </row>
    <row r="7" ht="22" customHeight="1">
      <c r="B7" s="28" t="inlineStr">
        <is>
          <t>Site institucional premium (até 10 páginas + funil)</t>
        </is>
      </c>
      <c r="C7" s="52" t="n">
        <v>60</v>
      </c>
      <c r="D7" s="12">
        <f>'2. Premissas'!C68*C7</f>
        <v/>
      </c>
      <c r="E7" s="12">
        <f>G7*'2. Premissas'!C31</f>
        <v/>
      </c>
      <c r="F7" s="12">
        <f>G7*'2. Premissas'!C69</f>
        <v/>
      </c>
      <c r="G7" s="73">
        <f>D7/(1-'2. Premissas'!C31-'2. Premissas'!C69-'2. Premissas'!C38-'2. Premissas'!C26)</f>
        <v/>
      </c>
      <c r="H7" s="21">
        <f>D7/(1-'2. Premissas'!C31-'2. Premissas'!C69-'2. Premissas'!C38-'2. Premissas'!C27)</f>
        <v/>
      </c>
      <c r="I7" s="74">
        <f>D7/(1-'2. Premissas'!C31-'2. Premissas'!C69-'2. Premissas'!C38-'2. Premissas'!C28)</f>
        <v/>
      </c>
    </row>
    <row r="8" ht="22" customHeight="1">
      <c r="B8" s="28" t="inlineStr">
        <is>
          <t>Loja virtual personalizada (50-100 SKUs + integrações)</t>
        </is>
      </c>
      <c r="C8" s="52" t="n">
        <v>100</v>
      </c>
      <c r="D8" s="12">
        <f>'2. Premissas'!C68*C8</f>
        <v/>
      </c>
      <c r="E8" s="12">
        <f>G8*'2. Premissas'!C31</f>
        <v/>
      </c>
      <c r="F8" s="12">
        <f>G8*'2. Premissas'!C69</f>
        <v/>
      </c>
      <c r="G8" s="73">
        <f>D8/(1-'2. Premissas'!C31-'2. Premissas'!C69-'2. Premissas'!C38-'2. Premissas'!C26)</f>
        <v/>
      </c>
      <c r="H8" s="21">
        <f>D8/(1-'2. Premissas'!C31-'2. Premissas'!C69-'2. Premissas'!C38-'2. Premissas'!C27)</f>
        <v/>
      </c>
      <c r="I8" s="74">
        <f>D8/(1-'2. Premissas'!C31-'2. Premissas'!C69-'2. Premissas'!C38-'2. Premissas'!C28)</f>
        <v/>
      </c>
    </row>
    <row r="9" ht="22" customHeight="1">
      <c r="B9" s="28" t="inlineStr">
        <is>
          <t>Migração de plataforma (ex.: VTEX → Shopify)</t>
        </is>
      </c>
      <c r="C9" s="52" t="n">
        <v>80</v>
      </c>
      <c r="D9" s="12">
        <f>'2. Premissas'!C68*C9</f>
        <v/>
      </c>
      <c r="E9" s="12">
        <f>G9*'2. Premissas'!C31</f>
        <v/>
      </c>
      <c r="F9" s="12">
        <f>G9*'2. Premissas'!C69</f>
        <v/>
      </c>
      <c r="G9" s="73">
        <f>D9/(1-'2. Premissas'!C31-'2. Premissas'!C69-'2. Premissas'!C38-'2. Premissas'!C26)</f>
        <v/>
      </c>
      <c r="H9" s="21">
        <f>D9/(1-'2. Premissas'!C31-'2. Premissas'!C69-'2. Premissas'!C38-'2. Premissas'!C27)</f>
        <v/>
      </c>
      <c r="I9" s="74">
        <f>D9/(1-'2. Premissas'!C31-'2. Premissas'!C69-'2. Premissas'!C38-'2. Premissas'!C28)</f>
        <v/>
      </c>
    </row>
    <row r="10" ht="22" customHeight="1">
      <c r="B10" s="28" t="inlineStr">
        <is>
          <t>Integração com ERP (Bling/Tiny/Omie)</t>
        </is>
      </c>
      <c r="C10" s="52" t="n">
        <v>25</v>
      </c>
      <c r="D10" s="12">
        <f>'2. Premissas'!C68*C10</f>
        <v/>
      </c>
      <c r="E10" s="12">
        <f>G10*'2. Premissas'!C31</f>
        <v/>
      </c>
      <c r="F10" s="12">
        <f>G10*'2. Premissas'!C69</f>
        <v/>
      </c>
      <c r="G10" s="73">
        <f>D10/(1-'2. Premissas'!C31-'2. Premissas'!C69-'2. Premissas'!C38-'2. Premissas'!C26)</f>
        <v/>
      </c>
      <c r="H10" s="21">
        <f>D10/(1-'2. Premissas'!C31-'2. Premissas'!C69-'2. Premissas'!C38-'2. Premissas'!C27)</f>
        <v/>
      </c>
      <c r="I10" s="74">
        <f>D10/(1-'2. Premissas'!C31-'2. Premissas'!C69-'2. Premissas'!C38-'2. Premissas'!C28)</f>
        <v/>
      </c>
    </row>
    <row r="11" ht="22" customHeight="1">
      <c r="B11" s="28" t="inlineStr">
        <is>
          <t>Integração marketplace (ML/Amazon) por canal</t>
        </is>
      </c>
      <c r="C11" s="52" t="n">
        <v>30</v>
      </c>
      <c r="D11" s="12">
        <f>'2. Premissas'!C68*C11</f>
        <v/>
      </c>
      <c r="E11" s="12">
        <f>G11*'2. Premissas'!C31</f>
        <v/>
      </c>
      <c r="F11" s="12">
        <f>G11*'2. Premissas'!C69</f>
        <v/>
      </c>
      <c r="G11" s="73">
        <f>D11/(1-'2. Premissas'!C31-'2. Premissas'!C69-'2. Premissas'!C38-'2. Premissas'!C26)</f>
        <v/>
      </c>
      <c r="H11" s="21">
        <f>D11/(1-'2. Premissas'!C31-'2. Premissas'!C69-'2. Premissas'!C38-'2. Premissas'!C27)</f>
        <v/>
      </c>
      <c r="I11" s="74">
        <f>D11/(1-'2. Premissas'!C31-'2. Premissas'!C69-'2. Premissas'!C38-'2. Premissas'!C28)</f>
        <v/>
      </c>
    </row>
    <row r="12" ht="22" customHeight="1">
      <c r="B12" s="28" t="inlineStr">
        <is>
          <t>SEO técnico — projeto completo</t>
        </is>
      </c>
      <c r="C12" s="52" t="n">
        <v>40</v>
      </c>
      <c r="D12" s="12">
        <f>'2. Premissas'!C68*C12</f>
        <v/>
      </c>
      <c r="E12" s="12">
        <f>G12*'2. Premissas'!C31</f>
        <v/>
      </c>
      <c r="F12" s="12">
        <f>G12*'2. Premissas'!C69</f>
        <v/>
      </c>
      <c r="G12" s="73">
        <f>D12/(1-'2. Premissas'!C31-'2. Premissas'!C69-'2. Premissas'!C38-'2. Premissas'!C26)</f>
        <v/>
      </c>
      <c r="H12" s="21">
        <f>D12/(1-'2. Premissas'!C31-'2. Premissas'!C69-'2. Premissas'!C38-'2. Premissas'!C27)</f>
        <v/>
      </c>
      <c r="I12" s="74">
        <f>D12/(1-'2. Premissas'!C31-'2. Premissas'!C69-'2. Premissas'!C38-'2. Premissas'!C28)</f>
        <v/>
      </c>
    </row>
    <row r="13" ht="22" customHeight="1">
      <c r="B13" s="28" t="inlineStr">
        <is>
          <t>Automação comercial (RD/HubSpot/Klaviyo)</t>
        </is>
      </c>
      <c r="C13" s="52" t="n">
        <v>30</v>
      </c>
      <c r="D13" s="12">
        <f>'2. Premissas'!C68*C13</f>
        <v/>
      </c>
      <c r="E13" s="12">
        <f>G13*'2. Premissas'!C31</f>
        <v/>
      </c>
      <c r="F13" s="12">
        <f>G13*'2. Premissas'!C69</f>
        <v/>
      </c>
      <c r="G13" s="73">
        <f>D13/(1-'2. Premissas'!C31-'2. Premissas'!C69-'2. Premissas'!C38-'2. Premissas'!C26)</f>
        <v/>
      </c>
      <c r="H13" s="21">
        <f>D13/(1-'2. Premissas'!C31-'2. Premissas'!C69-'2. Premissas'!C38-'2. Premissas'!C27)</f>
        <v/>
      </c>
      <c r="I13" s="74">
        <f>D13/(1-'2. Premissas'!C31-'2. Premissas'!C69-'2. Premissas'!C38-'2. Premissas'!C28)</f>
        <v/>
      </c>
    </row>
    <row r="14" ht="22" customHeight="1">
      <c r="B14" s="28" t="inlineStr">
        <is>
          <t>CRM — setup + treinamento</t>
        </is>
      </c>
      <c r="C14" s="52" t="n">
        <v>25</v>
      </c>
      <c r="D14" s="12">
        <f>'2. Premissas'!C68*C14</f>
        <v/>
      </c>
      <c r="E14" s="12">
        <f>G14*'2. Premissas'!C31</f>
        <v/>
      </c>
      <c r="F14" s="12">
        <f>G14*'2. Premissas'!C69</f>
        <v/>
      </c>
      <c r="G14" s="73">
        <f>D14/(1-'2. Premissas'!C31-'2. Premissas'!C69-'2. Premissas'!C38-'2. Premissas'!C26)</f>
        <v/>
      </c>
      <c r="H14" s="21">
        <f>D14/(1-'2. Premissas'!C31-'2. Premissas'!C69-'2. Premissas'!C38-'2. Premissas'!C27)</f>
        <v/>
      </c>
      <c r="I14" s="74">
        <f>D14/(1-'2. Premissas'!C31-'2. Premissas'!C69-'2. Premissas'!C38-'2. Premissas'!C28)</f>
        <v/>
      </c>
    </row>
    <row r="15" ht="22" customHeight="1">
      <c r="B15" s="28" t="inlineStr">
        <is>
          <t>Landing page profissional (com funil + automação)</t>
        </is>
      </c>
      <c r="C15" s="52" t="n">
        <v>20</v>
      </c>
      <c r="D15" s="12">
        <f>'2. Premissas'!C68*C15</f>
        <v/>
      </c>
      <c r="E15" s="12">
        <f>G15*'2. Premissas'!C31</f>
        <v/>
      </c>
      <c r="F15" s="12">
        <f>G15*'2. Premissas'!C69</f>
        <v/>
      </c>
      <c r="G15" s="73">
        <f>D15/(1-'2. Premissas'!C31-'2. Premissas'!C69-'2. Premissas'!C38-'2. Premissas'!C26)</f>
        <v/>
      </c>
      <c r="H15" s="21">
        <f>D15/(1-'2. Premissas'!C31-'2. Premissas'!C69-'2. Premissas'!C38-'2. Premissas'!C27)</f>
        <v/>
      </c>
      <c r="I15" s="74">
        <f>D15/(1-'2. Premissas'!C31-'2. Premissas'!C69-'2. Premissas'!C38-'2. Premissas'!C28)</f>
        <v/>
      </c>
    </row>
    <row r="16" ht="22" customHeight="1">
      <c r="B16" s="28" t="inlineStr">
        <is>
          <t>Auditoria de e-commerce completa</t>
        </is>
      </c>
      <c r="C16" s="52" t="n">
        <v>18</v>
      </c>
      <c r="D16" s="12">
        <f>'2. Premissas'!C68*C16</f>
        <v/>
      </c>
      <c r="E16" s="12">
        <f>G16*'2. Premissas'!C31</f>
        <v/>
      </c>
      <c r="F16" s="12">
        <f>G16*'2. Premissas'!C69</f>
        <v/>
      </c>
      <c r="G16" s="73">
        <f>D16/(1-'2. Premissas'!C31-'2. Premissas'!C69-'2. Premissas'!C38-'2. Premissas'!C26)</f>
        <v/>
      </c>
      <c r="H16" s="21">
        <f>D16/(1-'2. Premissas'!C31-'2. Premissas'!C69-'2. Premissas'!C38-'2. Premissas'!C27)</f>
        <v/>
      </c>
      <c r="I16" s="74">
        <f>D16/(1-'2. Premissas'!C31-'2. Premissas'!C69-'2. Premissas'!C38-'2. Premissas'!C28)</f>
        <v/>
      </c>
    </row>
    <row r="17" ht="22" customHeight="1">
      <c r="B17" s="28" t="inlineStr">
        <is>
          <t>Consultoria estratégica (mensal, 1 sócio sênior)</t>
        </is>
      </c>
      <c r="C17" s="52" t="n">
        <v>20</v>
      </c>
      <c r="D17" s="12">
        <f>'2. Premissas'!C68*C17</f>
        <v/>
      </c>
      <c r="E17" s="12">
        <f>G17*'2. Premissas'!C31</f>
        <v/>
      </c>
      <c r="F17" s="12">
        <f>G17*'2. Premissas'!C69</f>
        <v/>
      </c>
      <c r="G17" s="73">
        <f>D17/(1-'2. Premissas'!C31-'2. Premissas'!C69-'2. Premissas'!C38-'2. Premissas'!C26)</f>
        <v/>
      </c>
      <c r="H17" s="21">
        <f>D17/(1-'2. Premissas'!C31-'2. Premissas'!C69-'2. Premissas'!C38-'2. Premissas'!C27)</f>
        <v/>
      </c>
      <c r="I17" s="74">
        <f>D17/(1-'2. Premissas'!C31-'2. Premissas'!C69-'2. Premissas'!C38-'2. Premissas'!C28)</f>
        <v/>
      </c>
    </row>
    <row r="19" ht="32" customHeight="1">
      <c r="B19" s="40" t="inlineStr">
        <is>
          <t>📌 Para projetos personalizados: SEMPRE escopo fechado por escrito + change request formal para qualquer item adicional. Política de revisões: 2 rodadas estéticas; excedentes faturados por hora.</t>
        </is>
      </c>
    </row>
  </sheetData>
  <mergeCells count="3">
    <mergeCell ref="A1:J1"/>
    <mergeCell ref="A4:J4"/>
    <mergeCell ref="B19:I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 ht="28" customHeight="1">
      <c r="A1" s="1" t="inlineStr">
        <is>
          <t>PLANOS MENSAIS DE SUPORTE E MANUTENÇÃO</t>
        </is>
      </c>
    </row>
    <row r="3" ht="22" customHeight="1">
      <c r="A3" s="3" t="inlineStr">
        <is>
          <t>3 PLANOS RECORRENTES (MRR)</t>
        </is>
      </c>
    </row>
    <row r="4">
      <c r="B4" s="6" t="inlineStr">
        <is>
          <t>Item</t>
        </is>
      </c>
      <c r="C4" s="6" t="inlineStr">
        <is>
          <t>ESSENCIAL</t>
        </is>
      </c>
      <c r="D4" s="6" t="inlineStr">
        <is>
          <t>PROFISSIONAL</t>
        </is>
      </c>
      <c r="E4" s="6" t="inlineStr">
        <is>
          <t>GROWTH</t>
        </is>
      </c>
    </row>
    <row r="5">
      <c r="B5" s="7" t="inlineStr">
        <is>
          <t>Horas inclusas por mês</t>
        </is>
      </c>
      <c r="C5" s="52" t="n">
        <v>4</v>
      </c>
      <c r="D5" s="52" t="n">
        <v>10</v>
      </c>
      <c r="E5" s="52" t="n">
        <v>20</v>
      </c>
    </row>
    <row r="6">
      <c r="B6" s="7" t="inlineStr">
        <is>
          <t>Valor mensal sugerido (R$)</t>
        </is>
      </c>
      <c r="C6" s="12" t="n">
        <v>397</v>
      </c>
      <c r="D6" s="12" t="n">
        <v>990</v>
      </c>
      <c r="E6" s="12" t="n">
        <v>1890</v>
      </c>
    </row>
    <row r="7">
      <c r="B7" s="7" t="inlineStr">
        <is>
          <t>Custo interno (R$)</t>
        </is>
      </c>
      <c r="C7" s="12">
        <f>'2. Premissas'!C68*C5</f>
        <v/>
      </c>
      <c r="D7" s="12">
        <f>'2. Premissas'!C68*D5</f>
        <v/>
      </c>
      <c r="E7" s="12">
        <f>'2. Premissas'!C68*E5</f>
        <v/>
      </c>
    </row>
    <row r="8">
      <c r="B8" s="7" t="inlineStr">
        <is>
          <t>Imposto Simples (R$)</t>
        </is>
      </c>
      <c r="C8" s="12">
        <f>C6*'2. Premissas'!C31</f>
        <v/>
      </c>
      <c r="D8" s="12">
        <f>D6*'2. Premissas'!C31</f>
        <v/>
      </c>
      <c r="E8" s="12">
        <f>E6*'2. Premissas'!C31</f>
        <v/>
      </c>
    </row>
    <row r="9">
      <c r="B9" s="7" t="inlineStr">
        <is>
          <t>Margem líquida estimada</t>
        </is>
      </c>
      <c r="C9" s="13">
        <f>1-'2. Premissas'!C31-'2. Premissas'!C69-'2. Premissas'!C38-C7/C6</f>
        <v/>
      </c>
      <c r="D9" s="13">
        <f>1-'2. Premissas'!C31-'2. Premissas'!C69-'2. Premissas'!C38-D7/D6</f>
        <v/>
      </c>
      <c r="E9" s="13">
        <f>1-'2. Premissas'!C31-'2. Premissas'!C69-'2. Premissas'!C38-E7/E6</f>
        <v/>
      </c>
    </row>
    <row r="10">
      <c r="B10" s="7" t="inlineStr">
        <is>
          <t>SLA resposta (h úteis)</t>
        </is>
      </c>
      <c r="C10" s="14" t="n">
        <v>24</v>
      </c>
      <c r="D10" s="14" t="n">
        <v>8</v>
      </c>
      <c r="E10" s="14" t="n">
        <v>4</v>
      </c>
    </row>
    <row r="11">
      <c r="B11" s="7" t="inlineStr">
        <is>
          <t>SLA resolução P1</t>
        </is>
      </c>
      <c r="C11" s="14" t="inlineStr">
        <is>
          <t>5 d.u.</t>
        </is>
      </c>
      <c r="D11" s="14" t="inlineStr">
        <is>
          <t>24 h</t>
        </is>
      </c>
      <c r="E11" s="14" t="inlineStr">
        <is>
          <t>8 h</t>
        </is>
      </c>
    </row>
    <row r="12">
      <c r="B12" s="7" t="inlineStr">
        <is>
          <t>Vigência mínima sugerida</t>
        </is>
      </c>
      <c r="C12" s="14" t="inlineStr">
        <is>
          <t>6 meses</t>
        </is>
      </c>
      <c r="D12" s="14" t="inlineStr">
        <is>
          <t>12 meses</t>
        </is>
      </c>
      <c r="E12" s="14" t="inlineStr">
        <is>
          <t>12 meses</t>
        </is>
      </c>
    </row>
    <row r="13">
      <c r="B13" s="7" t="inlineStr">
        <is>
          <t>Reajuste anual</t>
        </is>
      </c>
      <c r="C13" s="14" t="inlineStr">
        <is>
          <t>IPCA</t>
        </is>
      </c>
      <c r="D13" s="14" t="inlineStr">
        <is>
          <t>IPCA</t>
        </is>
      </c>
      <c r="E13" s="14" t="inlineStr">
        <is>
          <t>IPCA</t>
        </is>
      </c>
    </row>
    <row r="14">
      <c r="B14" s="7" t="inlineStr">
        <is>
          <t>Limite nominal por sócio</t>
        </is>
      </c>
      <c r="C14" s="14" t="inlineStr">
        <is>
          <t>45 clientes</t>
        </is>
      </c>
      <c r="D14" s="14" t="inlineStr">
        <is>
          <t>18 clientes</t>
        </is>
      </c>
      <c r="E14" s="14" t="inlineStr">
        <is>
          <t>9 clientes</t>
        </is>
      </c>
    </row>
    <row r="15">
      <c r="B15" s="7" t="inlineStr">
        <is>
          <t>Teto operacional sustentável/sócio</t>
        </is>
      </c>
      <c r="C15" s="14" t="inlineStr">
        <is>
          <t>25-30</t>
        </is>
      </c>
      <c r="D15" s="14" t="inlineStr">
        <is>
          <t>12-15</t>
        </is>
      </c>
      <c r="E15" s="14" t="inlineStr">
        <is>
          <t>6-8</t>
        </is>
      </c>
    </row>
    <row r="16" ht="72" customHeight="1">
      <c r="B16" s="7" t="inlineStr">
        <is>
          <t>Itens INCLUSOS</t>
        </is>
      </c>
      <c r="C16" s="75" t="inlineStr">
        <is>
          <t>Ajustes técnicos pontuais; atualização de banners; pequenas correções; monitoramento básico (uptime, backup); atendimento consultivo por mensagem</t>
        </is>
      </c>
      <c r="D16" s="75" t="inlineStr">
        <is>
          <t>Tudo do Essencial + alterações em página existente (até 3/mês); ajuste de tema sem código; relatório mensal simples; revisão mensal por sócio</t>
        </is>
      </c>
      <c r="E16" s="75" t="inlineStr">
        <is>
          <t>Tudo do Profissional + 1 sprint de melhoria/mês; otimização de conversão pontual; revisão de SEO mensal; reunião quinzenal de planejamento</t>
        </is>
      </c>
    </row>
    <row r="17" ht="72" customHeight="1">
      <c r="B17" s="7" t="inlineStr">
        <is>
          <t>Itens NÃO INCLUSOS (orçamento à parte)</t>
        </is>
      </c>
      <c r="C17" s="75" t="inlineStr">
        <is>
          <t>Customização de código; nova página; nova integração; redesign; produção de conteúdo</t>
        </is>
      </c>
      <c r="D17" s="75" t="inlineStr">
        <is>
          <t>Customização de código; redesign; produção de conteúdo extenso; gestão de tráfego pago</t>
        </is>
      </c>
      <c r="E17" s="75" t="inlineStr">
        <is>
          <t>Redesign completo; novas integrações &gt; 1; produção de conteúdo extenso; gestão de tráfego pago (vendido à parte)</t>
        </is>
      </c>
    </row>
    <row r="19" ht="22" customHeight="1">
      <c r="A19" s="3" t="inlineStr">
        <is>
          <t>ESTRATÉGIA DE RECORRÊNCIA (squad strategy)</t>
        </is>
      </c>
    </row>
    <row r="20">
      <c r="B20" s="76" t="inlineStr">
        <is>
          <t>Meta: 50% conversão setup → suporte mensal em 12 meses; 65% em 24 meses.
Mecânicas:
  1) Bundle de saída: setup já inclui 30 dias de suporte cortesia + oferta de mensalidade 20% off se contratada em 7 dias.
  2) Revisão de resultados D+30 e D+60 com sócio → mostra dados → abre upsell para Profissional/Growth.
  3) Comunidade Impulso acessível apenas a clientes em recorrência (status premium).
  4) SLA visível no contrato. Cláusula de upgrade/downgrade com 30 dias de aviso prévio.
  5) Vigência mínima 12 meses (Pro/Growth) — válida B2B; em B2C, atenção CDC art. 51 IV (multa rescisória proporcional).
RECEITA RECORRENTE É O CORAÇÃO DO NEGÓCIO. 1 R$ MRR vale 3-5× 1 R$ de projeto.</t>
        </is>
      </c>
    </row>
    <row r="21"/>
    <row r="22"/>
    <row r="23"/>
    <row r="24"/>
    <row r="25"/>
    <row r="26"/>
    <row r="27"/>
  </sheetData>
  <mergeCells count="4">
    <mergeCell ref="A3:F3"/>
    <mergeCell ref="A19:F19"/>
    <mergeCell ref="A1:F1"/>
    <mergeCell ref="B20:E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</cols>
  <sheetData>
    <row r="1" ht="28" customHeight="1">
      <c r="A1" s="1" t="inlineStr">
        <is>
          <t>RECEITA RECORRENTE DE PARCERIAS COM PLATAFORMAS</t>
        </is>
      </c>
    </row>
    <row r="2">
      <c r="B2" s="2" t="inlineStr">
        <is>
          <t>Comissão de indicação — natureza jurídica: intermediação (LC 116/03 itens 10.02 / 17.12)</t>
        </is>
      </c>
    </row>
    <row r="4" ht="22" customHeight="1">
      <c r="A4" s="3" t="inlineStr">
        <is>
          <t>PARÂMETROS DAS PLATAFORMAS PARCEIRAS</t>
        </is>
      </c>
    </row>
    <row r="5">
      <c r="B5" s="6" t="inlineStr">
        <is>
          <t>Plataforma</t>
        </is>
      </c>
      <c r="C5" s="6" t="inlineStr">
        <is>
          <t>Mensalidade média cliente (R$)</t>
        </is>
      </c>
      <c r="D5" s="6" t="inlineStr">
        <is>
          <t>% Comissão Impulso</t>
        </is>
      </c>
      <c r="E5" s="6" t="inlineStr">
        <is>
          <t>Receita/cliente/mês</t>
        </is>
      </c>
      <c r="F5" s="6" t="inlineStr">
        <is>
          <t>Fonte</t>
        </is>
      </c>
    </row>
    <row r="6">
      <c r="B6" s="28" t="inlineStr">
        <is>
          <t>Shopify Basic (US$ 29-39)</t>
        </is>
      </c>
      <c r="C6" s="12" t="n">
        <v>180</v>
      </c>
      <c r="D6" s="13" t="n">
        <v>0.2</v>
      </c>
      <c r="E6" s="10">
        <f>C6*D6</f>
        <v/>
      </c>
      <c r="F6" s="39" t="inlineStr">
        <is>
          <t>help.shopify.com/partners</t>
        </is>
      </c>
    </row>
    <row r="7">
      <c r="B7" s="28" t="inlineStr">
        <is>
          <t>Shopify Grow (US$ 79-105)</t>
        </is>
      </c>
      <c r="C7" s="12" t="n">
        <v>500</v>
      </c>
      <c r="D7" s="13" t="n">
        <v>0.2</v>
      </c>
      <c r="E7" s="10">
        <f>C7*D7</f>
        <v/>
      </c>
      <c r="F7" s="39" t="inlineStr">
        <is>
          <t>shopify.com/pricing</t>
        </is>
      </c>
    </row>
    <row r="8">
      <c r="B8" s="28" t="inlineStr">
        <is>
          <t>Tray (R$ 49-99 médio)</t>
        </is>
      </c>
      <c r="C8" s="12" t="n">
        <v>75</v>
      </c>
      <c r="D8" s="13" t="n">
        <v>0.2</v>
      </c>
      <c r="E8" s="10">
        <f>C8*D8</f>
        <v/>
      </c>
      <c r="F8" s="39" t="inlineStr">
        <is>
          <t>tray.com.br/partners</t>
        </is>
      </c>
    </row>
    <row r="9">
      <c r="B9" s="28" t="inlineStr">
        <is>
          <t>Nuvemshop Essencial</t>
        </is>
      </c>
      <c r="C9" s="12" t="n">
        <v>59</v>
      </c>
      <c r="D9" s="13" t="n">
        <v>0.2</v>
      </c>
      <c r="E9" s="10">
        <f>C9*D9</f>
        <v/>
      </c>
      <c r="F9" s="39" t="inlineStr">
        <is>
          <t>atendimento.nuvemshop.com.br — comissões vigentes</t>
        </is>
      </c>
    </row>
    <row r="10">
      <c r="B10" s="28" t="inlineStr">
        <is>
          <t>Nuvemshop Impulso (homônimo)</t>
        </is>
      </c>
      <c r="C10" s="12" t="n">
        <v>139</v>
      </c>
      <c r="D10" s="13" t="n">
        <v>0.2</v>
      </c>
      <c r="E10" s="10">
        <f>C10*D10</f>
        <v/>
      </c>
      <c r="F10" s="39" t="inlineStr">
        <is>
          <t>nuvemshop.com.br/planos-e-precos</t>
        </is>
      </c>
    </row>
    <row r="11">
      <c r="B11" s="28" t="inlineStr">
        <is>
          <t>Nuvemshop Escala</t>
        </is>
      </c>
      <c r="C11" s="12" t="n">
        <v>389</v>
      </c>
      <c r="D11" s="13" t="n">
        <v>0.2</v>
      </c>
      <c r="E11" s="10">
        <f>C11*D11</f>
        <v/>
      </c>
      <c r="F11" s="39" t="inlineStr">
        <is>
          <t>nuvemshop.com.br/planos-e-precos</t>
        </is>
      </c>
    </row>
    <row r="13" ht="22" customHeight="1">
      <c r="A13" s="3" t="inlineStr">
        <is>
          <t>SIMULAÇÃO DE RECEITA RECORRENTE — 3 CENÁRIOS</t>
        </is>
      </c>
    </row>
    <row r="14">
      <c r="B14" s="6" t="inlineStr">
        <is>
          <t>Cenário</t>
        </is>
      </c>
      <c r="C14" s="6" t="inlineStr">
        <is>
          <t>Clientes mês 3</t>
        </is>
      </c>
      <c r="D14" s="6" t="inlineStr">
        <is>
          <t>mês 6</t>
        </is>
      </c>
      <c r="E14" s="6" t="inlineStr">
        <is>
          <t>mês 12</t>
        </is>
      </c>
      <c r="F14" s="6" t="inlineStr">
        <is>
          <t>mês 24</t>
        </is>
      </c>
      <c r="G14" s="6" t="inlineStr">
        <is>
          <t>MRR mês 12 (R$)</t>
        </is>
      </c>
      <c r="H14" s="6" t="inlineStr">
        <is>
          <t>Anual ano 1 (R$)</t>
        </is>
      </c>
    </row>
    <row r="15">
      <c r="B15" s="77" t="inlineStr">
        <is>
          <t>Pessimista</t>
        </is>
      </c>
      <c r="C15" s="52" t="n">
        <v>2</v>
      </c>
      <c r="D15" s="52" t="n">
        <v>4</v>
      </c>
      <c r="E15" s="52" t="n">
        <v>8</v>
      </c>
      <c r="F15" s="52" t="n">
        <v>15</v>
      </c>
      <c r="G15" s="10">
        <f>E15*60</f>
        <v/>
      </c>
      <c r="H15" s="12">
        <f>((C15+E15)/2)*12*60</f>
        <v/>
      </c>
    </row>
    <row r="16">
      <c r="B16" s="40" t="inlineStr">
        <is>
          <t>Realista</t>
        </is>
      </c>
      <c r="C16" s="52" t="n">
        <v>3</v>
      </c>
      <c r="D16" s="52" t="n">
        <v>8</v>
      </c>
      <c r="E16" s="52" t="n">
        <v>18</v>
      </c>
      <c r="F16" s="52" t="n">
        <v>35</v>
      </c>
      <c r="G16" s="10">
        <f>E16*60</f>
        <v/>
      </c>
      <c r="H16" s="12">
        <f>((C16+E16)/2)*12*60</f>
        <v/>
      </c>
    </row>
    <row r="17">
      <c r="B17" s="38" t="inlineStr">
        <is>
          <t>Otimista</t>
        </is>
      </c>
      <c r="C17" s="52" t="n">
        <v>5</v>
      </c>
      <c r="D17" s="52" t="n">
        <v>12</v>
      </c>
      <c r="E17" s="52" t="n">
        <v>30</v>
      </c>
      <c r="F17" s="52" t="n">
        <v>60</v>
      </c>
      <c r="G17" s="10">
        <f>E17*60</f>
        <v/>
      </c>
      <c r="H17" s="12">
        <f>((C17+E17)/2)*12*60</f>
        <v/>
      </c>
    </row>
    <row r="19" ht="60" customHeight="1">
      <c r="B19" s="78" t="inlineStr">
        <is>
          <t>⚠️ Premissas do squad: (1) Receita média/cliente assumida R$ 60/mês — mix de planos Tray + Nuvemshop Essencial + Shopify Basic. (2) Churn 3-5% a.m. esperado — incorporado no ramping. (3) Receita Shopify Partners é EXPORTAÇÃO de serviço (ISS isento art. 2º I LC 116/03; tributação só CPP+IRPJ+CSLL no DAS — art. 18 §14 LC 123/06). (4) Contrato de câmbio obrigatório (Lei 14.286/21). (5) Não receber verba de mídia em conta — cliente paga direto a Meta/Google.</t>
        </is>
      </c>
    </row>
  </sheetData>
  <mergeCells count="4">
    <mergeCell ref="A1:I1"/>
    <mergeCell ref="A4:I4"/>
    <mergeCell ref="A13:I13"/>
    <mergeCell ref="B19:H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4" customWidth="1" min="5" max="5"/>
    <col width="16" customWidth="1" min="6" max="6"/>
    <col width="18" customWidth="1" min="7" max="7"/>
    <col width="16" customWidth="1" min="8" max="8"/>
    <col width="3" customWidth="1" min="9" max="9"/>
  </cols>
  <sheetData>
    <row r="1" ht="28" customHeight="1">
      <c r="A1" s="1" t="inlineStr">
        <is>
          <t>GESTÃO DE TRÁFEGO PAGO — MODELOS DE COBRANÇA</t>
        </is>
      </c>
    </row>
    <row r="2">
      <c r="B2" s="79" t="inlineStr">
        <is>
          <t>⚠️ Cliente paga MÍDIA direto Meta/Google (NÃO transitar pela Impulso). Impulso cobra apenas FEE de gestão.</t>
        </is>
      </c>
    </row>
    <row r="4" ht="22" customHeight="1">
      <c r="A4" s="3" t="inlineStr">
        <is>
          <t>MATRIZ DE PRECIFICAÇÃO POR FAIXA DE VERBA DO CLIENTE</t>
        </is>
      </c>
    </row>
    <row r="5">
      <c r="B5" s="6" t="inlineStr">
        <is>
          <t>Faixa de verba do cliente</t>
        </is>
      </c>
      <c r="C5" s="6" t="inlineStr">
        <is>
          <t>Setup (R$)</t>
        </is>
      </c>
      <c r="D5" s="6" t="inlineStr">
        <is>
          <t>Fee mensal (R$)</t>
        </is>
      </c>
      <c r="E5" s="6" t="inlineStr">
        <is>
          <t>Horas/mês</t>
        </is>
      </c>
      <c r="F5" s="6" t="inlineStr">
        <is>
          <t>% sobre verba</t>
        </is>
      </c>
      <c r="G5" s="6" t="inlineStr">
        <is>
          <t>Custo interno (R$)</t>
        </is>
      </c>
      <c r="H5" s="6" t="inlineStr">
        <is>
          <t>Margem</t>
        </is>
      </c>
    </row>
    <row r="6">
      <c r="B6" s="28" t="inlineStr">
        <is>
          <t>Até R$ 2.000/mês mídia</t>
        </is>
      </c>
      <c r="C6" s="12" t="n">
        <v>800</v>
      </c>
      <c r="D6" s="10" t="n">
        <v>1200</v>
      </c>
      <c r="E6" s="52" t="n">
        <v>8</v>
      </c>
      <c r="F6" s="14" t="inlineStr">
        <is>
          <t>10-15%</t>
        </is>
      </c>
      <c r="G6" s="12">
        <f>'2. Premissas'!C68*E6</f>
        <v/>
      </c>
      <c r="H6" s="32">
        <f>1-G6/D6-'2. Premissas'!C31-'2. Premissas'!C69</f>
        <v/>
      </c>
    </row>
    <row r="7">
      <c r="B7" s="28" t="inlineStr">
        <is>
          <t>R$ 2-5k mídia</t>
        </is>
      </c>
      <c r="C7" s="12" t="n">
        <v>1500</v>
      </c>
      <c r="D7" s="10" t="n">
        <v>2250</v>
      </c>
      <c r="E7" s="52" t="n">
        <v>12</v>
      </c>
      <c r="F7" s="14" t="inlineStr">
        <is>
          <t>12-15%</t>
        </is>
      </c>
      <c r="G7" s="12">
        <f>'2. Premissas'!C68*E7</f>
        <v/>
      </c>
      <c r="H7" s="32">
        <f>1-G7/D7-'2. Premissas'!C31-'2. Premissas'!C69</f>
        <v/>
      </c>
    </row>
    <row r="8">
      <c r="B8" s="28" t="inlineStr">
        <is>
          <t>R$ 5-10k mídia</t>
        </is>
      </c>
      <c r="C8" s="12" t="n">
        <v>2500</v>
      </c>
      <c r="D8" s="10" t="n">
        <v>3750</v>
      </c>
      <c r="E8" s="52" t="n">
        <v>18</v>
      </c>
      <c r="F8" s="14" t="inlineStr">
        <is>
          <t>10-15%</t>
        </is>
      </c>
      <c r="G8" s="12">
        <f>'2. Premissas'!C68*E8</f>
        <v/>
      </c>
      <c r="H8" s="32">
        <f>1-G8/D8-'2. Premissas'!C31-'2. Premissas'!C69</f>
        <v/>
      </c>
    </row>
    <row r="9">
      <c r="B9" s="28" t="inlineStr">
        <is>
          <t>&gt;R$ 10k mídia</t>
        </is>
      </c>
      <c r="C9" s="12" t="n">
        <v>3500</v>
      </c>
      <c r="D9" s="10" t="n">
        <v>5000</v>
      </c>
      <c r="E9" s="52" t="n">
        <v>25</v>
      </c>
      <c r="F9" s="14" t="inlineStr">
        <is>
          <t>10-12%</t>
        </is>
      </c>
      <c r="G9" s="12">
        <f>'2. Premissas'!C68*E9</f>
        <v/>
      </c>
      <c r="H9" s="32">
        <f>1-G9/D9-'2. Premissas'!C31-'2. Premissas'!C69</f>
        <v/>
      </c>
    </row>
    <row r="11" ht="22" customHeight="1">
      <c r="A11" s="3" t="inlineStr">
        <is>
          <t>MODELOS DE COBRANÇA — VANTAGENS E RISCOS</t>
        </is>
      </c>
    </row>
    <row r="12">
      <c r="B12" s="6" t="inlineStr">
        <is>
          <t>Modelo</t>
        </is>
      </c>
      <c r="C12" s="6" t="inlineStr">
        <is>
          <t>Vantagens</t>
        </is>
      </c>
      <c r="D12" s="6" t="inlineStr">
        <is>
          <t>Riscos</t>
        </is>
      </c>
      <c r="E12" s="6" t="inlineStr">
        <is>
          <t>Quando usar</t>
        </is>
      </c>
    </row>
    <row r="13" ht="32" customHeight="1">
      <c r="B13" s="34" t="inlineStr">
        <is>
          <t>Setup + Fee fixo mensal</t>
        </is>
      </c>
      <c r="C13" s="75" t="inlineStr">
        <is>
          <t>Previsibilidade total; alinhado a serviço, não a verba</t>
        </is>
      </c>
      <c r="D13" s="75" t="inlineStr">
        <is>
          <t>Cliente pode reduzir verba e exigir mesmo fee</t>
        </is>
      </c>
      <c r="E13" s="75" t="inlineStr">
        <is>
          <t>Recomendado p/ clientes pequenos</t>
        </is>
      </c>
    </row>
    <row r="14" ht="32" customHeight="1">
      <c r="B14" s="34" t="inlineStr">
        <is>
          <t>% sobre verba (10-20%)</t>
        </is>
      </c>
      <c r="C14" s="75" t="inlineStr">
        <is>
          <t>Cresce com cliente; alinhado a investimento</t>
        </is>
      </c>
      <c r="D14" s="75" t="inlineStr">
        <is>
          <t>Variação do faturamento; risco se cliente cortar verba</t>
        </is>
      </c>
      <c r="E14" s="75" t="inlineStr">
        <is>
          <t>Cliente médio/grande</t>
        </is>
      </c>
    </row>
    <row r="15" ht="32" customHeight="1">
      <c r="B15" s="34" t="inlineStr">
        <is>
          <t>Pacote híbrido (fee + %)</t>
        </is>
      </c>
      <c r="C15" s="75" t="inlineStr">
        <is>
          <t>Equilíbrio entre previsibilidade e upside</t>
        </is>
      </c>
      <c r="D15" s="75" t="inlineStr">
        <is>
          <t>Mais complexo de explicar</t>
        </is>
      </c>
      <c r="E15" s="75" t="inlineStr">
        <is>
          <t>MELHOR para clientes em escala</t>
        </is>
      </c>
    </row>
    <row r="16" ht="32" customHeight="1">
      <c r="B16" s="34" t="inlineStr">
        <is>
          <t>Consultoria avulsa (hora)</t>
        </is>
      </c>
      <c r="C16" s="75" t="inlineStr">
        <is>
          <t>Margem alta em projetos pontuais</t>
        </is>
      </c>
      <c r="D16" s="75" t="inlineStr">
        <is>
          <t>Não escala; sem recorrência</t>
        </is>
      </c>
      <c r="E16" s="75" t="inlineStr">
        <is>
          <t>Auditorias + workshops</t>
        </is>
      </c>
    </row>
    <row r="18" ht="36" customHeight="1">
      <c r="B18" s="80" t="inlineStr">
        <is>
          <t>⚠️ Cláusula contratual obrigatória: 'A Impulso não garante volume, ROAS, CPA, faturamento ou ROI; tais resultados dependem de fatores externos (mercado, produto, preço, sazonalidade, política das plataformas).' (CDC art. 39 IV)</t>
        </is>
      </c>
    </row>
  </sheetData>
  <mergeCells count="4">
    <mergeCell ref="A1:I1"/>
    <mergeCell ref="A4:I4"/>
    <mergeCell ref="A11:I11"/>
    <mergeCell ref="B18:H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3" customWidth="1" min="16" max="16"/>
  </cols>
  <sheetData>
    <row r="1" ht="28" customHeight="1">
      <c r="A1" s="1" t="inlineStr">
        <is>
          <t>CENÁRIOS FINANCEIROS — PROJEÇÃO 12 MESES</t>
        </is>
      </c>
    </row>
    <row r="4" ht="22" customHeight="1">
      <c r="A4" s="81" t="inlineStr">
        <is>
          <t>CENÁRIO PESSIMISTA</t>
        </is>
      </c>
      <c r="B4" s="82" t="n"/>
      <c r="C4" s="82" t="n"/>
      <c r="D4" s="82" t="n"/>
      <c r="E4" s="82" t="n"/>
      <c r="F4" s="82" t="n"/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</row>
    <row r="5">
      <c r="B5" s="6" t="inlineStr">
        <is>
          <t>Linha</t>
        </is>
      </c>
      <c r="C5" s="6" t="inlineStr">
        <is>
          <t>M1</t>
        </is>
      </c>
      <c r="D5" s="6" t="inlineStr">
        <is>
          <t>M2</t>
        </is>
      </c>
      <c r="E5" s="6" t="inlineStr">
        <is>
          <t>M3</t>
        </is>
      </c>
      <c r="F5" s="6" t="inlineStr">
        <is>
          <t>M4</t>
        </is>
      </c>
      <c r="G5" s="6" t="inlineStr">
        <is>
          <t>M5</t>
        </is>
      </c>
      <c r="H5" s="6" t="inlineStr">
        <is>
          <t>M6</t>
        </is>
      </c>
      <c r="I5" s="6" t="inlineStr">
        <is>
          <t>M7</t>
        </is>
      </c>
      <c r="J5" s="6" t="inlineStr">
        <is>
          <t>M8</t>
        </is>
      </c>
      <c r="K5" s="6" t="inlineStr">
        <is>
          <t>M9</t>
        </is>
      </c>
      <c r="L5" s="6" t="inlineStr">
        <is>
          <t>M10</t>
        </is>
      </c>
      <c r="M5" s="6" t="inlineStr">
        <is>
          <t>M11</t>
        </is>
      </c>
      <c r="N5" s="6" t="inlineStr">
        <is>
          <t>M12</t>
        </is>
      </c>
      <c r="O5" s="6" t="inlineStr">
        <is>
          <t>Caixa final</t>
        </is>
      </c>
      <c r="P5" s="6" t="inlineStr">
        <is>
          <t>TOTAL ANO</t>
        </is>
      </c>
    </row>
    <row r="6">
      <c r="B6" s="28" t="inlineStr">
        <is>
          <t>Receita Projeto 48h</t>
        </is>
      </c>
      <c r="C6" s="12" t="n">
        <v>3240</v>
      </c>
      <c r="D6" s="12" t="n">
        <v>3240</v>
      </c>
      <c r="E6" s="12" t="n">
        <v>3240</v>
      </c>
      <c r="F6" s="12" t="n">
        <v>6480</v>
      </c>
      <c r="G6" s="12" t="n">
        <v>6480</v>
      </c>
      <c r="H6" s="12" t="n">
        <v>6480</v>
      </c>
      <c r="I6" s="12" t="n">
        <v>6480</v>
      </c>
      <c r="J6" s="12" t="n">
        <v>9720</v>
      </c>
      <c r="K6" s="12" t="n">
        <v>9720</v>
      </c>
      <c r="L6" s="12" t="n">
        <v>9720</v>
      </c>
      <c r="M6" s="12" t="n">
        <v>9720</v>
      </c>
      <c r="N6" s="12" t="n">
        <v>9720</v>
      </c>
      <c r="O6" s="83" t="inlineStr"/>
      <c r="P6" s="10">
        <f>SUM(C6:N6)</f>
        <v/>
      </c>
    </row>
    <row r="7">
      <c r="B7" s="17" t="inlineStr">
        <is>
          <t>Receita Personalizados</t>
        </is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P7" s="84" t="n">
        <v>0</v>
      </c>
    </row>
    <row r="8">
      <c r="B8" s="28" t="inlineStr">
        <is>
          <t>Receita Suporte Mensal (acumulado)</t>
        </is>
      </c>
      <c r="C8" s="12" t="n">
        <v>0</v>
      </c>
      <c r="D8" s="12" t="n">
        <v>397</v>
      </c>
      <c r="E8" s="12" t="n">
        <v>794</v>
      </c>
      <c r="F8" s="12" t="n">
        <v>794</v>
      </c>
      <c r="G8" s="12" t="n">
        <v>1191</v>
      </c>
      <c r="H8" s="12" t="n">
        <v>1588</v>
      </c>
      <c r="I8" s="12" t="n">
        <v>1985</v>
      </c>
      <c r="J8" s="12" t="n">
        <v>2382</v>
      </c>
      <c r="K8" s="12" t="n">
        <v>2779</v>
      </c>
      <c r="L8" s="12" t="n">
        <v>3176</v>
      </c>
      <c r="M8" s="12" t="n">
        <v>3573</v>
      </c>
      <c r="N8" s="12" t="n">
        <v>3970</v>
      </c>
      <c r="P8" s="10">
        <f>SUM(C8:N8)</f>
        <v/>
      </c>
    </row>
    <row r="9">
      <c r="B9" s="17" t="inlineStr">
        <is>
          <t>Receita Parceria (acumulado)</t>
        </is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60</v>
      </c>
      <c r="J9" s="12" t="n">
        <v>120</v>
      </c>
      <c r="K9" s="12" t="n">
        <v>180</v>
      </c>
      <c r="L9" s="12" t="n">
        <v>300</v>
      </c>
      <c r="M9" s="12" t="n">
        <v>420</v>
      </c>
      <c r="N9" s="12" t="n">
        <v>540</v>
      </c>
      <c r="P9" s="84">
        <f>SUM(C9:N9)</f>
        <v/>
      </c>
    </row>
    <row r="10">
      <c r="B10" s="17" t="inlineStr">
        <is>
          <t>Receita Tráfego Pago</t>
        </is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P10" s="84">
        <f>SUM(C10:N10)</f>
        <v/>
      </c>
    </row>
    <row r="11">
      <c r="B11" s="56" t="inlineStr">
        <is>
          <t>RECEITA BRUTA TOTAL</t>
        </is>
      </c>
      <c r="C11" s="10">
        <f>SUM(C6:C10)</f>
        <v/>
      </c>
      <c r="D11" s="10">
        <f>SUM(D6:D10)</f>
        <v/>
      </c>
      <c r="E11" s="10">
        <f>SUM(E6:E10)</f>
        <v/>
      </c>
      <c r="F11" s="10">
        <f>SUM(F6:F10)</f>
        <v/>
      </c>
      <c r="G11" s="10">
        <f>SUM(G6:G10)</f>
        <v/>
      </c>
      <c r="H11" s="10">
        <f>SUM(H6:H10)</f>
        <v/>
      </c>
      <c r="I11" s="10">
        <f>SUM(I6:I10)</f>
        <v/>
      </c>
      <c r="J11" s="10">
        <f>SUM(J6:J10)</f>
        <v/>
      </c>
      <c r="K11" s="10">
        <f>SUM(K6:K10)</f>
        <v/>
      </c>
      <c r="L11" s="10">
        <f>SUM(L6:L10)</f>
        <v/>
      </c>
      <c r="M11" s="10">
        <f>SUM(M6:M10)</f>
        <v/>
      </c>
      <c r="N11" s="10">
        <f>SUM(N6:N10)</f>
        <v/>
      </c>
      <c r="P11" s="85">
        <f>SUM(C11:N11)</f>
        <v/>
      </c>
    </row>
    <row r="12">
      <c r="B12" s="17" t="inlineStr">
        <is>
          <t>(-) Impostos (Simples 12%)</t>
        </is>
      </c>
      <c r="C12" s="12">
        <f>C11*'2. Premissas'!C31</f>
        <v/>
      </c>
      <c r="D12" s="12">
        <f>D11*'2. Premissas'!C31</f>
        <v/>
      </c>
      <c r="E12" s="12">
        <f>E11*'2. Premissas'!C31</f>
        <v/>
      </c>
      <c r="F12" s="12">
        <f>F11*'2. Premissas'!C31</f>
        <v/>
      </c>
      <c r="G12" s="12">
        <f>G11*'2. Premissas'!C31</f>
        <v/>
      </c>
      <c r="H12" s="12">
        <f>H11*'2. Premissas'!C31</f>
        <v/>
      </c>
      <c r="I12" s="12">
        <f>I11*'2. Premissas'!C31</f>
        <v/>
      </c>
      <c r="J12" s="12">
        <f>J11*'2. Premissas'!C31</f>
        <v/>
      </c>
      <c r="K12" s="12">
        <f>K11*'2. Premissas'!C31</f>
        <v/>
      </c>
      <c r="L12" s="12">
        <f>L11*'2. Premissas'!C31</f>
        <v/>
      </c>
      <c r="M12" s="12">
        <f>M11*'2. Premissas'!C31</f>
        <v/>
      </c>
      <c r="N12" s="12">
        <f>N11*'2. Premissas'!C31</f>
        <v/>
      </c>
      <c r="P12" s="84">
        <f>SUM(C12:N12)</f>
        <v/>
      </c>
    </row>
    <row r="13">
      <c r="B13" s="17" t="inlineStr">
        <is>
          <t>(-) Taxas cartão (média)</t>
        </is>
      </c>
      <c r="C13" s="12">
        <f>C11*'2. Premissas'!C69</f>
        <v/>
      </c>
      <c r="D13" s="12">
        <f>D11*'2. Premissas'!C69</f>
        <v/>
      </c>
      <c r="E13" s="12">
        <f>E11*'2. Premissas'!C69</f>
        <v/>
      </c>
      <c r="F13" s="12">
        <f>F11*'2. Premissas'!C69</f>
        <v/>
      </c>
      <c r="G13" s="12">
        <f>G11*'2. Premissas'!C69</f>
        <v/>
      </c>
      <c r="H13" s="12">
        <f>H11*'2. Premissas'!C69</f>
        <v/>
      </c>
      <c r="I13" s="12">
        <f>I11*'2. Premissas'!C69</f>
        <v/>
      </c>
      <c r="J13" s="12">
        <f>J11*'2. Premissas'!C69</f>
        <v/>
      </c>
      <c r="K13" s="12">
        <f>K11*'2. Premissas'!C69</f>
        <v/>
      </c>
      <c r="L13" s="12">
        <f>L11*'2. Premissas'!C69</f>
        <v/>
      </c>
      <c r="M13" s="12">
        <f>M11*'2. Premissas'!C69</f>
        <v/>
      </c>
      <c r="N13" s="12">
        <f>N11*'2. Premissas'!C69</f>
        <v/>
      </c>
      <c r="P13" s="84">
        <f>SUM(C13:N13)</f>
        <v/>
      </c>
    </row>
    <row r="14">
      <c r="B14" s="17" t="inlineStr">
        <is>
          <t>(-) Inadimplência (PCLD)</t>
        </is>
      </c>
      <c r="C14" s="12">
        <f>C11*'2. Premissas'!C38</f>
        <v/>
      </c>
      <c r="D14" s="12">
        <f>D11*'2. Premissas'!C38</f>
        <v/>
      </c>
      <c r="E14" s="12">
        <f>E11*'2. Premissas'!C38</f>
        <v/>
      </c>
      <c r="F14" s="12">
        <f>F11*'2. Premissas'!C38</f>
        <v/>
      </c>
      <c r="G14" s="12">
        <f>G11*'2. Premissas'!C38</f>
        <v/>
      </c>
      <c r="H14" s="12">
        <f>H11*'2. Premissas'!C38</f>
        <v/>
      </c>
      <c r="I14" s="12">
        <f>I11*'2. Premissas'!C38</f>
        <v/>
      </c>
      <c r="J14" s="12">
        <f>J11*'2. Premissas'!C38</f>
        <v/>
      </c>
      <c r="K14" s="12">
        <f>K11*'2. Premissas'!C38</f>
        <v/>
      </c>
      <c r="L14" s="12">
        <f>L11*'2. Premissas'!C38</f>
        <v/>
      </c>
      <c r="M14" s="12">
        <f>M11*'2. Premissas'!C38</f>
        <v/>
      </c>
      <c r="N14" s="12">
        <f>N11*'2. Premissas'!C38</f>
        <v/>
      </c>
      <c r="P14" s="84">
        <f>SUM(C14:N14)</f>
        <v/>
      </c>
    </row>
    <row r="15">
      <c r="B15" s="17" t="inlineStr">
        <is>
          <t>(-) Custos Fixos (sem pró-labore)</t>
        </is>
      </c>
      <c r="C15" s="12">
        <f>'2. Premissas'!C62</f>
        <v/>
      </c>
      <c r="D15" s="12">
        <f>'2. Premissas'!C62</f>
        <v/>
      </c>
      <c r="E15" s="12">
        <f>'2. Premissas'!C62</f>
        <v/>
      </c>
      <c r="F15" s="12">
        <f>'2. Premissas'!C62</f>
        <v/>
      </c>
      <c r="G15" s="12">
        <f>'2. Premissas'!C62</f>
        <v/>
      </c>
      <c r="H15" s="12">
        <f>'2. Premissas'!C62</f>
        <v/>
      </c>
      <c r="I15" s="12">
        <f>'2. Premissas'!C62</f>
        <v/>
      </c>
      <c r="J15" s="12">
        <f>'2. Premissas'!C62</f>
        <v/>
      </c>
      <c r="K15" s="12">
        <f>'2. Premissas'!C62</f>
        <v/>
      </c>
      <c r="L15" s="12">
        <f>'2. Premissas'!C62</f>
        <v/>
      </c>
      <c r="M15" s="12">
        <f>'2. Premissas'!C62</f>
        <v/>
      </c>
      <c r="N15" s="12">
        <f>'2. Premissas'!C62</f>
        <v/>
      </c>
      <c r="P15" s="84">
        <f>SUM(C15:N15)</f>
        <v/>
      </c>
    </row>
    <row r="16">
      <c r="B16" s="17" t="inlineStr">
        <is>
          <t>(-) Pró-labore + INSS sócios</t>
        </is>
      </c>
      <c r="C16" s="12">
        <f>'2. Premissas'!C9+'2. Premissas'!C11</f>
        <v/>
      </c>
      <c r="D16" s="12">
        <f>'2. Premissas'!C9+'2. Premissas'!C11</f>
        <v/>
      </c>
      <c r="E16" s="12">
        <f>'2. Premissas'!C9+'2. Premissas'!C11</f>
        <v/>
      </c>
      <c r="F16" s="12">
        <f>'2. Premissas'!C9+'2. Premissas'!C11</f>
        <v/>
      </c>
      <c r="G16" s="12">
        <f>'2. Premissas'!C9+'2. Premissas'!C11</f>
        <v/>
      </c>
      <c r="H16" s="12">
        <f>'2. Premissas'!C9+'2. Premissas'!C11</f>
        <v/>
      </c>
      <c r="I16" s="12">
        <f>'2. Premissas'!C9+'2. Premissas'!C11</f>
        <v/>
      </c>
      <c r="J16" s="12">
        <f>'2. Premissas'!C9+'2. Premissas'!C11</f>
        <v/>
      </c>
      <c r="K16" s="12">
        <f>'2. Premissas'!C9+'2. Premissas'!C11</f>
        <v/>
      </c>
      <c r="L16" s="12">
        <f>'2. Premissas'!C9+'2. Premissas'!C11</f>
        <v/>
      </c>
      <c r="M16" s="12">
        <f>'2. Premissas'!C9+'2. Premissas'!C11</f>
        <v/>
      </c>
      <c r="N16" s="12">
        <f>'2. Premissas'!C9+'2. Premissas'!C11</f>
        <v/>
      </c>
      <c r="P16" s="84">
        <f>SUM(C16:N16)</f>
        <v/>
      </c>
    </row>
    <row r="17">
      <c r="B17" s="38" t="inlineStr">
        <is>
          <t>LUCRO MENSAL</t>
        </is>
      </c>
      <c r="C17" s="21">
        <f>C11-C12-C13-C14-C15-C16</f>
        <v/>
      </c>
      <c r="D17" s="21">
        <f>D11-D12-D13-D14-D15-D16</f>
        <v/>
      </c>
      <c r="E17" s="21">
        <f>E11-E12-E13-E14-E15-E16</f>
        <v/>
      </c>
      <c r="F17" s="21">
        <f>F11-F12-F13-F14-F15-F16</f>
        <v/>
      </c>
      <c r="G17" s="21">
        <f>G11-G12-G13-G14-G15-G16</f>
        <v/>
      </c>
      <c r="H17" s="21">
        <f>H11-H12-H13-H14-H15-H16</f>
        <v/>
      </c>
      <c r="I17" s="21">
        <f>I11-I12-I13-I14-I15-I16</f>
        <v/>
      </c>
      <c r="J17" s="21">
        <f>J11-J12-J13-J14-J15-J16</f>
        <v/>
      </c>
      <c r="K17" s="21">
        <f>K11-K12-K13-K14-K15-K16</f>
        <v/>
      </c>
      <c r="L17" s="21">
        <f>L11-L12-L13-L14-L15-L16</f>
        <v/>
      </c>
      <c r="M17" s="21">
        <f>M11-M12-M13-M14-M15-M16</f>
        <v/>
      </c>
      <c r="N17" s="21">
        <f>N11-N12-N13-N14-N15-N16</f>
        <v/>
      </c>
      <c r="P17" s="21">
        <f>SUM(C17:N17)</f>
        <v/>
      </c>
    </row>
    <row r="18">
      <c r="B18" s="17" t="inlineStr">
        <is>
          <t>Margem líquida %</t>
        </is>
      </c>
      <c r="C18" s="13">
        <f>IFERROR(C17/C11,0)</f>
        <v/>
      </c>
      <c r="D18" s="13">
        <f>IFERROR(D17/D11,0)</f>
        <v/>
      </c>
      <c r="E18" s="13">
        <f>IFERROR(E17/E11,0)</f>
        <v/>
      </c>
      <c r="F18" s="13">
        <f>IFERROR(F17/F11,0)</f>
        <v/>
      </c>
      <c r="G18" s="13">
        <f>IFERROR(G17/G11,0)</f>
        <v/>
      </c>
      <c r="H18" s="13">
        <f>IFERROR(H17/H11,0)</f>
        <v/>
      </c>
      <c r="I18" s="13">
        <f>IFERROR(I17/I11,0)</f>
        <v/>
      </c>
      <c r="J18" s="13">
        <f>IFERROR(J17/J11,0)</f>
        <v/>
      </c>
      <c r="K18" s="13">
        <f>IFERROR(K17/K11,0)</f>
        <v/>
      </c>
      <c r="L18" s="13">
        <f>IFERROR(L17/L11,0)</f>
        <v/>
      </c>
      <c r="M18" s="13">
        <f>IFERROR(M17/M11,0)</f>
        <v/>
      </c>
      <c r="N18" s="13">
        <f>IFERROR(N17/N11,0)</f>
        <v/>
      </c>
      <c r="P18" s="11">
        <f>IFERROR(P17/P11,0)</f>
        <v/>
      </c>
    </row>
    <row r="19">
      <c r="B19" s="4" t="inlineStr">
        <is>
          <t>Caixa acumulado</t>
        </is>
      </c>
      <c r="C19" s="86">
        <f>C17</f>
        <v/>
      </c>
      <c r="D19" s="86">
        <f>C19+D17</f>
        <v/>
      </c>
      <c r="E19" s="86">
        <f>D19+E17</f>
        <v/>
      </c>
      <c r="F19" s="86">
        <f>E19+F17</f>
        <v/>
      </c>
      <c r="G19" s="86">
        <f>F19+G17</f>
        <v/>
      </c>
      <c r="H19" s="86">
        <f>G19+H17</f>
        <v/>
      </c>
      <c r="I19" s="86">
        <f>H19+I17</f>
        <v/>
      </c>
      <c r="J19" s="86">
        <f>I19+J17</f>
        <v/>
      </c>
      <c r="K19" s="86">
        <f>J19+K17</f>
        <v/>
      </c>
      <c r="L19" s="86">
        <f>K19+L17</f>
        <v/>
      </c>
      <c r="M19" s="86">
        <f>L19+M17</f>
        <v/>
      </c>
      <c r="N19" s="86">
        <f>M19+N17</f>
        <v/>
      </c>
      <c r="O19" s="85">
        <f>N19</f>
        <v/>
      </c>
      <c r="P19" s="83" t="inlineStr"/>
    </row>
    <row r="22">
      <c r="B22" s="87" t="inlineStr">
        <is>
          <t>RESUMO ANUAL DO CENÁRIO</t>
        </is>
      </c>
    </row>
    <row r="31" ht="22" customHeight="1">
      <c r="A31" s="88" t="inlineStr">
        <is>
          <t>CENÁRIO REALISTA</t>
        </is>
      </c>
      <c r="B31" s="89" t="n"/>
      <c r="C31" s="89" t="n"/>
      <c r="D31" s="89" t="n"/>
      <c r="E31" s="89" t="n"/>
      <c r="F31" s="89" t="n"/>
      <c r="G31" s="89" t="n"/>
      <c r="H31" s="89" t="n"/>
      <c r="I31" s="89" t="n"/>
      <c r="J31" s="89" t="n"/>
      <c r="K31" s="89" t="n"/>
      <c r="L31" s="89" t="n"/>
      <c r="M31" s="89" t="n"/>
      <c r="N31" s="89" t="n"/>
      <c r="O31" s="89" t="n"/>
      <c r="P31" s="89" t="n"/>
    </row>
    <row r="32">
      <c r="B32" s="6" t="inlineStr">
        <is>
          <t>Linha</t>
        </is>
      </c>
      <c r="C32" s="6" t="inlineStr">
        <is>
          <t>M1</t>
        </is>
      </c>
      <c r="D32" s="6" t="inlineStr">
        <is>
          <t>M2</t>
        </is>
      </c>
      <c r="E32" s="6" t="inlineStr">
        <is>
          <t>M3</t>
        </is>
      </c>
      <c r="F32" s="6" t="inlineStr">
        <is>
          <t>M4</t>
        </is>
      </c>
      <c r="G32" s="6" t="inlineStr">
        <is>
          <t>M5</t>
        </is>
      </c>
      <c r="H32" s="6" t="inlineStr">
        <is>
          <t>M6</t>
        </is>
      </c>
      <c r="I32" s="6" t="inlineStr">
        <is>
          <t>M7</t>
        </is>
      </c>
      <c r="J32" s="6" t="inlineStr">
        <is>
          <t>M8</t>
        </is>
      </c>
      <c r="K32" s="6" t="inlineStr">
        <is>
          <t>M9</t>
        </is>
      </c>
      <c r="L32" s="6" t="inlineStr">
        <is>
          <t>M10</t>
        </is>
      </c>
      <c r="M32" s="6" t="inlineStr">
        <is>
          <t>M11</t>
        </is>
      </c>
      <c r="N32" s="6" t="inlineStr">
        <is>
          <t>M12</t>
        </is>
      </c>
      <c r="O32" s="6" t="inlineStr">
        <is>
          <t>Caixa final</t>
        </is>
      </c>
      <c r="P32" s="6" t="inlineStr">
        <is>
          <t>TOTAL ANO</t>
        </is>
      </c>
    </row>
    <row r="33">
      <c r="B33" s="28" t="inlineStr">
        <is>
          <t>Receita Projeto 48h</t>
        </is>
      </c>
      <c r="C33" s="12" t="n">
        <v>9544</v>
      </c>
      <c r="D33" s="12" t="n">
        <v>9544</v>
      </c>
      <c r="E33" s="12" t="n">
        <v>14316</v>
      </c>
      <c r="F33" s="12" t="n">
        <v>14316</v>
      </c>
      <c r="G33" s="12" t="n">
        <v>14316</v>
      </c>
      <c r="H33" s="12" t="n">
        <v>14316</v>
      </c>
      <c r="I33" s="12" t="n">
        <v>14316</v>
      </c>
      <c r="J33" s="12" t="n">
        <v>14316</v>
      </c>
      <c r="K33" s="12" t="n">
        <v>14316</v>
      </c>
      <c r="L33" s="12" t="n">
        <v>14316</v>
      </c>
      <c r="M33" s="12" t="n">
        <v>14316</v>
      </c>
      <c r="N33" s="12" t="n">
        <v>14316</v>
      </c>
      <c r="O33" s="83" t="inlineStr"/>
      <c r="P33" s="10">
        <f>SUM(C33:N33)</f>
        <v/>
      </c>
    </row>
    <row r="34">
      <c r="B34" s="17" t="inlineStr">
        <is>
          <t>Receita Personalizados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P34" s="84" t="n">
        <v>0</v>
      </c>
    </row>
    <row r="35">
      <c r="B35" s="28" t="inlineStr">
        <is>
          <t>Receita Suporte Mensal (acumulado)</t>
        </is>
      </c>
      <c r="C35" s="12" t="n">
        <v>990</v>
      </c>
      <c r="D35" s="12" t="n">
        <v>2970</v>
      </c>
      <c r="E35" s="12" t="n">
        <v>4950</v>
      </c>
      <c r="F35" s="12" t="n">
        <v>6930</v>
      </c>
      <c r="G35" s="12" t="n">
        <v>8910</v>
      </c>
      <c r="H35" s="12" t="n">
        <v>10890</v>
      </c>
      <c r="I35" s="12" t="n">
        <v>12870</v>
      </c>
      <c r="J35" s="12" t="n">
        <v>14850</v>
      </c>
      <c r="K35" s="12" t="n">
        <v>16830</v>
      </c>
      <c r="L35" s="12" t="n">
        <v>18810</v>
      </c>
      <c r="M35" s="12" t="n">
        <v>20790</v>
      </c>
      <c r="N35" s="12" t="n">
        <v>22770</v>
      </c>
      <c r="P35" s="10">
        <f>SUM(C35:N35)</f>
        <v/>
      </c>
    </row>
    <row r="36">
      <c r="B36" s="17" t="inlineStr">
        <is>
          <t>Receita Parceria (acumulado)</t>
        </is>
      </c>
      <c r="C36" s="12" t="n">
        <v>0</v>
      </c>
      <c r="D36" s="12" t="n">
        <v>0</v>
      </c>
      <c r="E36" s="12" t="n">
        <v>60</v>
      </c>
      <c r="F36" s="12" t="n">
        <v>120</v>
      </c>
      <c r="G36" s="12" t="n">
        <v>240</v>
      </c>
      <c r="H36" s="12" t="n">
        <v>360</v>
      </c>
      <c r="I36" s="12" t="n">
        <v>480</v>
      </c>
      <c r="J36" s="12" t="n">
        <v>600</v>
      </c>
      <c r="K36" s="12" t="n">
        <v>720</v>
      </c>
      <c r="L36" s="12" t="n">
        <v>840</v>
      </c>
      <c r="M36" s="12" t="n">
        <v>960</v>
      </c>
      <c r="N36" s="12" t="n">
        <v>1080</v>
      </c>
      <c r="P36" s="84">
        <f>SUM(C36:N36)</f>
        <v/>
      </c>
    </row>
    <row r="37">
      <c r="B37" s="17" t="inlineStr">
        <is>
          <t>Receita Tráfego Pago</t>
        </is>
      </c>
      <c r="C37" s="12" t="n">
        <v>0</v>
      </c>
      <c r="D37" s="12" t="n">
        <v>0</v>
      </c>
      <c r="E37" s="12" t="n">
        <v>0</v>
      </c>
      <c r="F37" s="12" t="n">
        <v>2500</v>
      </c>
      <c r="G37" s="12" t="n">
        <v>2500</v>
      </c>
      <c r="H37" s="12" t="n">
        <v>2500</v>
      </c>
      <c r="I37" s="12" t="n">
        <v>2500</v>
      </c>
      <c r="J37" s="12" t="n">
        <v>2500</v>
      </c>
      <c r="K37" s="12" t="n">
        <v>2500</v>
      </c>
      <c r="L37" s="12" t="n">
        <v>2500</v>
      </c>
      <c r="M37" s="12" t="n">
        <v>2500</v>
      </c>
      <c r="N37" s="12" t="n">
        <v>2500</v>
      </c>
      <c r="P37" s="84">
        <f>SUM(C37:N37)</f>
        <v/>
      </c>
    </row>
    <row r="38">
      <c r="B38" s="56" t="inlineStr">
        <is>
          <t>RECEITA BRUTA TOTAL</t>
        </is>
      </c>
      <c r="C38" s="10">
        <f>SUM(C33:C37)</f>
        <v/>
      </c>
      <c r="D38" s="10">
        <f>SUM(D33:D37)</f>
        <v/>
      </c>
      <c r="E38" s="10">
        <f>SUM(E33:E37)</f>
        <v/>
      </c>
      <c r="F38" s="10">
        <f>SUM(F33:F37)</f>
        <v/>
      </c>
      <c r="G38" s="10">
        <f>SUM(G33:G37)</f>
        <v/>
      </c>
      <c r="H38" s="10">
        <f>SUM(H33:H37)</f>
        <v/>
      </c>
      <c r="I38" s="10">
        <f>SUM(I33:I37)</f>
        <v/>
      </c>
      <c r="J38" s="10">
        <f>SUM(J33:J37)</f>
        <v/>
      </c>
      <c r="K38" s="10">
        <f>SUM(K33:K37)</f>
        <v/>
      </c>
      <c r="L38" s="10">
        <f>SUM(L33:L37)</f>
        <v/>
      </c>
      <c r="M38" s="10">
        <f>SUM(M33:M37)</f>
        <v/>
      </c>
      <c r="N38" s="10">
        <f>SUM(N33:N37)</f>
        <v/>
      </c>
      <c r="P38" s="85">
        <f>SUM(C38:N38)</f>
        <v/>
      </c>
    </row>
    <row r="39">
      <c r="B39" s="17" t="inlineStr">
        <is>
          <t>(-) Impostos (Simples 12%)</t>
        </is>
      </c>
      <c r="C39" s="12">
        <f>C38*'2. Premissas'!C31</f>
        <v/>
      </c>
      <c r="D39" s="12">
        <f>D38*'2. Premissas'!C31</f>
        <v/>
      </c>
      <c r="E39" s="12">
        <f>E38*'2. Premissas'!C31</f>
        <v/>
      </c>
      <c r="F39" s="12">
        <f>F38*'2. Premissas'!C31</f>
        <v/>
      </c>
      <c r="G39" s="12">
        <f>G38*'2. Premissas'!C31</f>
        <v/>
      </c>
      <c r="H39" s="12">
        <f>H38*'2. Premissas'!C31</f>
        <v/>
      </c>
      <c r="I39" s="12">
        <f>I38*'2. Premissas'!C31</f>
        <v/>
      </c>
      <c r="J39" s="12">
        <f>J38*'2. Premissas'!C31</f>
        <v/>
      </c>
      <c r="K39" s="12">
        <f>K38*'2. Premissas'!C31</f>
        <v/>
      </c>
      <c r="L39" s="12">
        <f>L38*'2. Premissas'!C31</f>
        <v/>
      </c>
      <c r="M39" s="12">
        <f>M38*'2. Premissas'!C31</f>
        <v/>
      </c>
      <c r="N39" s="12">
        <f>N38*'2. Premissas'!C31</f>
        <v/>
      </c>
      <c r="P39" s="84">
        <f>SUM(C39:N39)</f>
        <v/>
      </c>
    </row>
    <row r="40">
      <c r="B40" s="17" t="inlineStr">
        <is>
          <t>(-) Taxas cartão (média)</t>
        </is>
      </c>
      <c r="C40" s="12">
        <f>C38*'2. Premissas'!C69</f>
        <v/>
      </c>
      <c r="D40" s="12">
        <f>D38*'2. Premissas'!C69</f>
        <v/>
      </c>
      <c r="E40" s="12">
        <f>E38*'2. Premissas'!C69</f>
        <v/>
      </c>
      <c r="F40" s="12">
        <f>F38*'2. Premissas'!C69</f>
        <v/>
      </c>
      <c r="G40" s="12">
        <f>G38*'2. Premissas'!C69</f>
        <v/>
      </c>
      <c r="H40" s="12">
        <f>H38*'2. Premissas'!C69</f>
        <v/>
      </c>
      <c r="I40" s="12">
        <f>I38*'2. Premissas'!C69</f>
        <v/>
      </c>
      <c r="J40" s="12">
        <f>J38*'2. Premissas'!C69</f>
        <v/>
      </c>
      <c r="K40" s="12">
        <f>K38*'2. Premissas'!C69</f>
        <v/>
      </c>
      <c r="L40" s="12">
        <f>L38*'2. Premissas'!C69</f>
        <v/>
      </c>
      <c r="M40" s="12">
        <f>M38*'2. Premissas'!C69</f>
        <v/>
      </c>
      <c r="N40" s="12">
        <f>N38*'2. Premissas'!C69</f>
        <v/>
      </c>
      <c r="P40" s="84">
        <f>SUM(C40:N40)</f>
        <v/>
      </c>
    </row>
    <row r="41">
      <c r="B41" s="17" t="inlineStr">
        <is>
          <t>(-) Inadimplência (PCLD)</t>
        </is>
      </c>
      <c r="C41" s="12">
        <f>C38*'2. Premissas'!C38</f>
        <v/>
      </c>
      <c r="D41" s="12">
        <f>D38*'2. Premissas'!C38</f>
        <v/>
      </c>
      <c r="E41" s="12">
        <f>E38*'2. Premissas'!C38</f>
        <v/>
      </c>
      <c r="F41" s="12">
        <f>F38*'2. Premissas'!C38</f>
        <v/>
      </c>
      <c r="G41" s="12">
        <f>G38*'2. Premissas'!C38</f>
        <v/>
      </c>
      <c r="H41" s="12">
        <f>H38*'2. Premissas'!C38</f>
        <v/>
      </c>
      <c r="I41" s="12">
        <f>I38*'2. Premissas'!C38</f>
        <v/>
      </c>
      <c r="J41" s="12">
        <f>J38*'2. Premissas'!C38</f>
        <v/>
      </c>
      <c r="K41" s="12">
        <f>K38*'2. Premissas'!C38</f>
        <v/>
      </c>
      <c r="L41" s="12">
        <f>L38*'2. Premissas'!C38</f>
        <v/>
      </c>
      <c r="M41" s="12">
        <f>M38*'2. Premissas'!C38</f>
        <v/>
      </c>
      <c r="N41" s="12">
        <f>N38*'2. Premissas'!C38</f>
        <v/>
      </c>
      <c r="P41" s="84">
        <f>SUM(C41:N41)</f>
        <v/>
      </c>
    </row>
    <row r="42">
      <c r="B42" s="17" t="inlineStr">
        <is>
          <t>(-) Custos Fixos (sem pró-labore)</t>
        </is>
      </c>
      <c r="C42" s="12">
        <f>'2. Premissas'!C62</f>
        <v/>
      </c>
      <c r="D42" s="12">
        <f>'2. Premissas'!C62</f>
        <v/>
      </c>
      <c r="E42" s="12">
        <f>'2. Premissas'!C62</f>
        <v/>
      </c>
      <c r="F42" s="12">
        <f>'2. Premissas'!C62</f>
        <v/>
      </c>
      <c r="G42" s="12">
        <f>'2. Premissas'!C62</f>
        <v/>
      </c>
      <c r="H42" s="12">
        <f>'2. Premissas'!C62</f>
        <v/>
      </c>
      <c r="I42" s="12">
        <f>'2. Premissas'!C62</f>
        <v/>
      </c>
      <c r="J42" s="12">
        <f>'2. Premissas'!C62</f>
        <v/>
      </c>
      <c r="K42" s="12">
        <f>'2. Premissas'!C62</f>
        <v/>
      </c>
      <c r="L42" s="12">
        <f>'2. Premissas'!C62</f>
        <v/>
      </c>
      <c r="M42" s="12">
        <f>'2. Premissas'!C62</f>
        <v/>
      </c>
      <c r="N42" s="12">
        <f>'2. Premissas'!C62</f>
        <v/>
      </c>
      <c r="P42" s="84">
        <f>SUM(C42:N42)</f>
        <v/>
      </c>
    </row>
    <row r="43">
      <c r="B43" s="17" t="inlineStr">
        <is>
          <t>(-) Pró-labore + INSS sócios</t>
        </is>
      </c>
      <c r="C43" s="12">
        <f>'2. Premissas'!C9+'2. Premissas'!C11</f>
        <v/>
      </c>
      <c r="D43" s="12">
        <f>'2. Premissas'!C9+'2. Premissas'!C11</f>
        <v/>
      </c>
      <c r="E43" s="12">
        <f>'2. Premissas'!C9+'2. Premissas'!C11</f>
        <v/>
      </c>
      <c r="F43" s="12">
        <f>'2. Premissas'!C9+'2. Premissas'!C11</f>
        <v/>
      </c>
      <c r="G43" s="12">
        <f>'2. Premissas'!C9+'2. Premissas'!C11</f>
        <v/>
      </c>
      <c r="H43" s="12">
        <f>'2. Premissas'!C9+'2. Premissas'!C11</f>
        <v/>
      </c>
      <c r="I43" s="12">
        <f>'2. Premissas'!C9+'2. Premissas'!C11</f>
        <v/>
      </c>
      <c r="J43" s="12">
        <f>'2. Premissas'!C9+'2. Premissas'!C11</f>
        <v/>
      </c>
      <c r="K43" s="12">
        <f>'2. Premissas'!C9+'2. Premissas'!C11</f>
        <v/>
      </c>
      <c r="L43" s="12">
        <f>'2. Premissas'!C9+'2. Premissas'!C11</f>
        <v/>
      </c>
      <c r="M43" s="12">
        <f>'2. Premissas'!C9+'2. Premissas'!C11</f>
        <v/>
      </c>
      <c r="N43" s="12">
        <f>'2. Premissas'!C9+'2. Premissas'!C11</f>
        <v/>
      </c>
      <c r="P43" s="84">
        <f>SUM(C43:N43)</f>
        <v/>
      </c>
    </row>
    <row r="44">
      <c r="B44" s="38" t="inlineStr">
        <is>
          <t>LUCRO MENSAL</t>
        </is>
      </c>
      <c r="C44" s="21">
        <f>C38-C39-C40-C41-C42-C43</f>
        <v/>
      </c>
      <c r="D44" s="21">
        <f>D38-D39-D40-D41-D42-D43</f>
        <v/>
      </c>
      <c r="E44" s="21">
        <f>E38-E39-E40-E41-E42-E43</f>
        <v/>
      </c>
      <c r="F44" s="21">
        <f>F38-F39-F40-F41-F42-F43</f>
        <v/>
      </c>
      <c r="G44" s="21">
        <f>G38-G39-G40-G41-G42-G43</f>
        <v/>
      </c>
      <c r="H44" s="21">
        <f>H38-H39-H40-H41-H42-H43</f>
        <v/>
      </c>
      <c r="I44" s="21">
        <f>I38-I39-I40-I41-I42-I43</f>
        <v/>
      </c>
      <c r="J44" s="21">
        <f>J38-J39-J40-J41-J42-J43</f>
        <v/>
      </c>
      <c r="K44" s="21">
        <f>K38-K39-K40-K41-K42-K43</f>
        <v/>
      </c>
      <c r="L44" s="21">
        <f>L38-L39-L40-L41-L42-L43</f>
        <v/>
      </c>
      <c r="M44" s="21">
        <f>M38-M39-M40-M41-M42-M43</f>
        <v/>
      </c>
      <c r="N44" s="21">
        <f>N38-N39-N40-N41-N42-N43</f>
        <v/>
      </c>
      <c r="P44" s="21">
        <f>SUM(C44:N44)</f>
        <v/>
      </c>
    </row>
    <row r="45">
      <c r="B45" s="17" t="inlineStr">
        <is>
          <t>Margem líquida %</t>
        </is>
      </c>
      <c r="C45" s="13">
        <f>IFERROR(C44/C38,0)</f>
        <v/>
      </c>
      <c r="D45" s="13">
        <f>IFERROR(D44/D38,0)</f>
        <v/>
      </c>
      <c r="E45" s="13">
        <f>IFERROR(E44/E38,0)</f>
        <v/>
      </c>
      <c r="F45" s="13">
        <f>IFERROR(F44/F38,0)</f>
        <v/>
      </c>
      <c r="G45" s="13">
        <f>IFERROR(G44/G38,0)</f>
        <v/>
      </c>
      <c r="H45" s="13">
        <f>IFERROR(H44/H38,0)</f>
        <v/>
      </c>
      <c r="I45" s="13">
        <f>IFERROR(I44/I38,0)</f>
        <v/>
      </c>
      <c r="J45" s="13">
        <f>IFERROR(J44/J38,0)</f>
        <v/>
      </c>
      <c r="K45" s="13">
        <f>IFERROR(K44/K38,0)</f>
        <v/>
      </c>
      <c r="L45" s="13">
        <f>IFERROR(L44/L38,0)</f>
        <v/>
      </c>
      <c r="M45" s="13">
        <f>IFERROR(M44/M38,0)</f>
        <v/>
      </c>
      <c r="N45" s="13">
        <f>IFERROR(N44/N38,0)</f>
        <v/>
      </c>
      <c r="P45" s="11">
        <f>IFERROR(P44/P38,0)</f>
        <v/>
      </c>
    </row>
    <row r="46">
      <c r="B46" s="4" t="inlineStr">
        <is>
          <t>Caixa acumulado</t>
        </is>
      </c>
      <c r="C46" s="86">
        <f>C44</f>
        <v/>
      </c>
      <c r="D46" s="86">
        <f>C46+D44</f>
        <v/>
      </c>
      <c r="E46" s="86">
        <f>D46+E44</f>
        <v/>
      </c>
      <c r="F46" s="86">
        <f>E46+F44</f>
        <v/>
      </c>
      <c r="G46" s="86">
        <f>F46+G44</f>
        <v/>
      </c>
      <c r="H46" s="86">
        <f>G46+H44</f>
        <v/>
      </c>
      <c r="I46" s="86">
        <f>H46+I44</f>
        <v/>
      </c>
      <c r="J46" s="86">
        <f>I46+J44</f>
        <v/>
      </c>
      <c r="K46" s="86">
        <f>J46+K44</f>
        <v/>
      </c>
      <c r="L46" s="86">
        <f>K46+L44</f>
        <v/>
      </c>
      <c r="M46" s="86">
        <f>L46+M44</f>
        <v/>
      </c>
      <c r="N46" s="86">
        <f>M46+N44</f>
        <v/>
      </c>
      <c r="O46" s="85">
        <f>N46</f>
        <v/>
      </c>
      <c r="P46" s="83" t="inlineStr"/>
    </row>
    <row r="49">
      <c r="B49" s="87" t="inlineStr">
        <is>
          <t>RESUMO ANUAL DO CENÁRIO</t>
        </is>
      </c>
    </row>
    <row r="58" ht="22" customHeight="1">
      <c r="A58" s="90" t="inlineStr">
        <is>
          <t>CENÁRIO OTIMISTA</t>
        </is>
      </c>
      <c r="B58" s="91" t="n"/>
      <c r="C58" s="91" t="n"/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</row>
    <row r="59">
      <c r="B59" s="6" t="inlineStr">
        <is>
          <t>Linha</t>
        </is>
      </c>
      <c r="C59" s="6" t="inlineStr">
        <is>
          <t>M1</t>
        </is>
      </c>
      <c r="D59" s="6" t="inlineStr">
        <is>
          <t>M2</t>
        </is>
      </c>
      <c r="E59" s="6" t="inlineStr">
        <is>
          <t>M3</t>
        </is>
      </c>
      <c r="F59" s="6" t="inlineStr">
        <is>
          <t>M4</t>
        </is>
      </c>
      <c r="G59" s="6" t="inlineStr">
        <is>
          <t>M5</t>
        </is>
      </c>
      <c r="H59" s="6" t="inlineStr">
        <is>
          <t>M6</t>
        </is>
      </c>
      <c r="I59" s="6" t="inlineStr">
        <is>
          <t>M7</t>
        </is>
      </c>
      <c r="J59" s="6" t="inlineStr">
        <is>
          <t>M8</t>
        </is>
      </c>
      <c r="K59" s="6" t="inlineStr">
        <is>
          <t>M9</t>
        </is>
      </c>
      <c r="L59" s="6" t="inlineStr">
        <is>
          <t>M10</t>
        </is>
      </c>
      <c r="M59" s="6" t="inlineStr">
        <is>
          <t>M11</t>
        </is>
      </c>
      <c r="N59" s="6" t="inlineStr">
        <is>
          <t>M12</t>
        </is>
      </c>
      <c r="O59" s="6" t="inlineStr">
        <is>
          <t>Caixa final</t>
        </is>
      </c>
      <c r="P59" s="6" t="inlineStr">
        <is>
          <t>TOTAL ANO</t>
        </is>
      </c>
    </row>
    <row r="60">
      <c r="B60" s="28" t="inlineStr">
        <is>
          <t>Receita Projeto 48h</t>
        </is>
      </c>
      <c r="C60" s="12" t="n">
        <v>15066</v>
      </c>
      <c r="D60" s="12" t="n">
        <v>20088</v>
      </c>
      <c r="E60" s="12" t="n">
        <v>20088</v>
      </c>
      <c r="F60" s="12" t="n">
        <v>25110</v>
      </c>
      <c r="G60" s="12" t="n">
        <v>25110</v>
      </c>
      <c r="H60" s="12" t="n">
        <v>25110</v>
      </c>
      <c r="I60" s="12" t="n">
        <v>25110</v>
      </c>
      <c r="J60" s="12" t="n">
        <v>25110</v>
      </c>
      <c r="K60" s="12" t="n">
        <v>25110</v>
      </c>
      <c r="L60" s="12" t="n">
        <v>25110</v>
      </c>
      <c r="M60" s="12" t="n">
        <v>25110</v>
      </c>
      <c r="N60" s="12" t="n">
        <v>25110</v>
      </c>
      <c r="O60" s="83" t="inlineStr"/>
      <c r="P60" s="10">
        <f>SUM(C60:N60)</f>
        <v/>
      </c>
    </row>
    <row r="61">
      <c r="B61" s="17" t="inlineStr">
        <is>
          <t>Receita Personalizados</t>
        </is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P61" s="84" t="n">
        <v>0</v>
      </c>
    </row>
    <row r="62">
      <c r="B62" s="28" t="inlineStr">
        <is>
          <t>Receita Suporte Mensal (acumulado)</t>
        </is>
      </c>
      <c r="C62" s="12" t="n">
        <v>1980</v>
      </c>
      <c r="D62" s="12" t="n">
        <v>4950</v>
      </c>
      <c r="E62" s="12" t="n">
        <v>7920</v>
      </c>
      <c r="F62" s="12" t="n">
        <v>10890</v>
      </c>
      <c r="G62" s="12" t="n">
        <v>13860</v>
      </c>
      <c r="H62" s="12" t="n">
        <v>16830</v>
      </c>
      <c r="I62" s="12" t="n">
        <v>19800</v>
      </c>
      <c r="J62" s="12" t="n">
        <v>22770</v>
      </c>
      <c r="K62" s="12" t="n">
        <v>25740</v>
      </c>
      <c r="L62" s="12" t="n">
        <v>28710</v>
      </c>
      <c r="M62" s="12" t="n">
        <v>31680</v>
      </c>
      <c r="N62" s="12" t="n">
        <v>34650</v>
      </c>
      <c r="P62" s="10">
        <f>SUM(C62:N62)</f>
        <v/>
      </c>
    </row>
    <row r="63">
      <c r="B63" s="17" t="inlineStr">
        <is>
          <t>Receita Parceria (acumulado)</t>
        </is>
      </c>
      <c r="C63" s="12" t="n">
        <v>60</v>
      </c>
      <c r="D63" s="12" t="n">
        <v>180</v>
      </c>
      <c r="E63" s="12" t="n">
        <v>300</v>
      </c>
      <c r="F63" s="12" t="n">
        <v>480</v>
      </c>
      <c r="G63" s="12" t="n">
        <v>660</v>
      </c>
      <c r="H63" s="12" t="n">
        <v>840</v>
      </c>
      <c r="I63" s="12" t="n">
        <v>1020</v>
      </c>
      <c r="J63" s="12" t="n">
        <v>1200</v>
      </c>
      <c r="K63" s="12" t="n">
        <v>1380</v>
      </c>
      <c r="L63" s="12" t="n">
        <v>1560</v>
      </c>
      <c r="M63" s="12" t="n">
        <v>1740</v>
      </c>
      <c r="N63" s="12" t="n">
        <v>1920</v>
      </c>
      <c r="P63" s="84">
        <f>SUM(C63:N63)</f>
        <v/>
      </c>
    </row>
    <row r="64">
      <c r="B64" s="17" t="inlineStr">
        <is>
          <t>Receita Tráfego Pago</t>
        </is>
      </c>
      <c r="C64" s="12" t="n">
        <v>2500</v>
      </c>
      <c r="D64" s="12" t="n">
        <v>2500</v>
      </c>
      <c r="E64" s="12" t="n">
        <v>5000</v>
      </c>
      <c r="F64" s="12" t="n">
        <v>5000</v>
      </c>
      <c r="G64" s="12" t="n">
        <v>5000</v>
      </c>
      <c r="H64" s="12" t="n">
        <v>5000</v>
      </c>
      <c r="I64" s="12" t="n">
        <v>5000</v>
      </c>
      <c r="J64" s="12" t="n">
        <v>5000</v>
      </c>
      <c r="K64" s="12" t="n">
        <v>5000</v>
      </c>
      <c r="L64" s="12" t="n">
        <v>5000</v>
      </c>
      <c r="M64" s="12" t="n">
        <v>5000</v>
      </c>
      <c r="N64" s="12" t="n">
        <v>5000</v>
      </c>
      <c r="P64" s="84">
        <f>SUM(C64:N64)</f>
        <v/>
      </c>
    </row>
    <row r="65">
      <c r="B65" s="56" t="inlineStr">
        <is>
          <t>RECEITA BRUTA TOTAL</t>
        </is>
      </c>
      <c r="C65" s="10">
        <f>SUM(C60:C64)</f>
        <v/>
      </c>
      <c r="D65" s="10">
        <f>SUM(D60:D64)</f>
        <v/>
      </c>
      <c r="E65" s="10">
        <f>SUM(E60:E64)</f>
        <v/>
      </c>
      <c r="F65" s="10">
        <f>SUM(F60:F64)</f>
        <v/>
      </c>
      <c r="G65" s="10">
        <f>SUM(G60:G64)</f>
        <v/>
      </c>
      <c r="H65" s="10">
        <f>SUM(H60:H64)</f>
        <v/>
      </c>
      <c r="I65" s="10">
        <f>SUM(I60:I64)</f>
        <v/>
      </c>
      <c r="J65" s="10">
        <f>SUM(J60:J64)</f>
        <v/>
      </c>
      <c r="K65" s="10">
        <f>SUM(K60:K64)</f>
        <v/>
      </c>
      <c r="L65" s="10">
        <f>SUM(L60:L64)</f>
        <v/>
      </c>
      <c r="M65" s="10">
        <f>SUM(M60:M64)</f>
        <v/>
      </c>
      <c r="N65" s="10">
        <f>SUM(N60:N64)</f>
        <v/>
      </c>
      <c r="P65" s="85">
        <f>SUM(C65:N65)</f>
        <v/>
      </c>
    </row>
    <row r="66">
      <c r="B66" s="17" t="inlineStr">
        <is>
          <t>(-) Impostos (Simples 12%)</t>
        </is>
      </c>
      <c r="C66" s="12">
        <f>C65*'2. Premissas'!C31</f>
        <v/>
      </c>
      <c r="D66" s="12">
        <f>D65*'2. Premissas'!C31</f>
        <v/>
      </c>
      <c r="E66" s="12">
        <f>E65*'2. Premissas'!C31</f>
        <v/>
      </c>
      <c r="F66" s="12">
        <f>F65*'2. Premissas'!C31</f>
        <v/>
      </c>
      <c r="G66" s="12">
        <f>G65*'2. Premissas'!C31</f>
        <v/>
      </c>
      <c r="H66" s="12">
        <f>H65*'2. Premissas'!C31</f>
        <v/>
      </c>
      <c r="I66" s="12">
        <f>I65*'2. Premissas'!C31</f>
        <v/>
      </c>
      <c r="J66" s="12">
        <f>J65*'2. Premissas'!C31</f>
        <v/>
      </c>
      <c r="K66" s="12">
        <f>K65*'2. Premissas'!C31</f>
        <v/>
      </c>
      <c r="L66" s="12">
        <f>L65*'2. Premissas'!C31</f>
        <v/>
      </c>
      <c r="M66" s="12">
        <f>M65*'2. Premissas'!C31</f>
        <v/>
      </c>
      <c r="N66" s="12">
        <f>N65*'2. Premissas'!C31</f>
        <v/>
      </c>
      <c r="P66" s="84">
        <f>SUM(C66:N66)</f>
        <v/>
      </c>
    </row>
    <row r="67">
      <c r="B67" s="17" t="inlineStr">
        <is>
          <t>(-) Taxas cartão (média)</t>
        </is>
      </c>
      <c r="C67" s="12">
        <f>C65*'2. Premissas'!C69</f>
        <v/>
      </c>
      <c r="D67" s="12">
        <f>D65*'2. Premissas'!C69</f>
        <v/>
      </c>
      <c r="E67" s="12">
        <f>E65*'2. Premissas'!C69</f>
        <v/>
      </c>
      <c r="F67" s="12">
        <f>F65*'2. Premissas'!C69</f>
        <v/>
      </c>
      <c r="G67" s="12">
        <f>G65*'2. Premissas'!C69</f>
        <v/>
      </c>
      <c r="H67" s="12">
        <f>H65*'2. Premissas'!C69</f>
        <v/>
      </c>
      <c r="I67" s="12">
        <f>I65*'2. Premissas'!C69</f>
        <v/>
      </c>
      <c r="J67" s="12">
        <f>J65*'2. Premissas'!C69</f>
        <v/>
      </c>
      <c r="K67" s="12">
        <f>K65*'2. Premissas'!C69</f>
        <v/>
      </c>
      <c r="L67" s="12">
        <f>L65*'2. Premissas'!C69</f>
        <v/>
      </c>
      <c r="M67" s="12">
        <f>M65*'2. Premissas'!C69</f>
        <v/>
      </c>
      <c r="N67" s="12">
        <f>N65*'2. Premissas'!C69</f>
        <v/>
      </c>
      <c r="P67" s="84">
        <f>SUM(C67:N67)</f>
        <v/>
      </c>
    </row>
    <row r="68">
      <c r="B68" s="17" t="inlineStr">
        <is>
          <t>(-) Inadimplência (PCLD)</t>
        </is>
      </c>
      <c r="C68" s="12">
        <f>C65*'2. Premissas'!C38</f>
        <v/>
      </c>
      <c r="D68" s="12">
        <f>D65*'2. Premissas'!C38</f>
        <v/>
      </c>
      <c r="E68" s="12">
        <f>E65*'2. Premissas'!C38</f>
        <v/>
      </c>
      <c r="F68" s="12">
        <f>F65*'2. Premissas'!C38</f>
        <v/>
      </c>
      <c r="G68" s="12">
        <f>G65*'2. Premissas'!C38</f>
        <v/>
      </c>
      <c r="H68" s="12">
        <f>H65*'2. Premissas'!C38</f>
        <v/>
      </c>
      <c r="I68" s="12">
        <f>I65*'2. Premissas'!C38</f>
        <v/>
      </c>
      <c r="J68" s="12">
        <f>J65*'2. Premissas'!C38</f>
        <v/>
      </c>
      <c r="K68" s="12">
        <f>K65*'2. Premissas'!C38</f>
        <v/>
      </c>
      <c r="L68" s="12">
        <f>L65*'2. Premissas'!C38</f>
        <v/>
      </c>
      <c r="M68" s="12">
        <f>M65*'2. Premissas'!C38</f>
        <v/>
      </c>
      <c r="N68" s="12">
        <f>N65*'2. Premissas'!C38</f>
        <v/>
      </c>
      <c r="P68" s="84">
        <f>SUM(C68:N68)</f>
        <v/>
      </c>
    </row>
    <row r="69">
      <c r="B69" s="17" t="inlineStr">
        <is>
          <t>(-) Custos Fixos (sem pró-labore)</t>
        </is>
      </c>
      <c r="C69" s="12">
        <f>'2. Premissas'!C62</f>
        <v/>
      </c>
      <c r="D69" s="12">
        <f>'2. Premissas'!C62</f>
        <v/>
      </c>
      <c r="E69" s="12">
        <f>'2. Premissas'!C62</f>
        <v/>
      </c>
      <c r="F69" s="12">
        <f>'2. Premissas'!C62</f>
        <v/>
      </c>
      <c r="G69" s="12">
        <f>'2. Premissas'!C62</f>
        <v/>
      </c>
      <c r="H69" s="12">
        <f>'2. Premissas'!C62</f>
        <v/>
      </c>
      <c r="I69" s="12">
        <f>'2. Premissas'!C62</f>
        <v/>
      </c>
      <c r="J69" s="12">
        <f>'2. Premissas'!C62</f>
        <v/>
      </c>
      <c r="K69" s="12">
        <f>'2. Premissas'!C62</f>
        <v/>
      </c>
      <c r="L69" s="12">
        <f>'2. Premissas'!C62</f>
        <v/>
      </c>
      <c r="M69" s="12">
        <f>'2. Premissas'!C62</f>
        <v/>
      </c>
      <c r="N69" s="12">
        <f>'2. Premissas'!C62</f>
        <v/>
      </c>
      <c r="P69" s="84">
        <f>SUM(C69:N69)</f>
        <v/>
      </c>
    </row>
    <row r="70">
      <c r="B70" s="17" t="inlineStr">
        <is>
          <t>(-) Pró-labore + INSS sócios</t>
        </is>
      </c>
      <c r="C70" s="12">
        <f>'2. Premissas'!C9+'2. Premissas'!C11</f>
        <v/>
      </c>
      <c r="D70" s="12">
        <f>'2. Premissas'!C9+'2. Premissas'!C11</f>
        <v/>
      </c>
      <c r="E70" s="12">
        <f>'2. Premissas'!C9+'2. Premissas'!C11</f>
        <v/>
      </c>
      <c r="F70" s="12">
        <f>'2. Premissas'!C9+'2. Premissas'!C11</f>
        <v/>
      </c>
      <c r="G70" s="12">
        <f>'2. Premissas'!C9+'2. Premissas'!C11</f>
        <v/>
      </c>
      <c r="H70" s="12">
        <f>'2. Premissas'!C9+'2. Premissas'!C11</f>
        <v/>
      </c>
      <c r="I70" s="12">
        <f>'2. Premissas'!C9+'2. Premissas'!C11</f>
        <v/>
      </c>
      <c r="J70" s="12">
        <f>'2. Premissas'!C9+'2. Premissas'!C11</f>
        <v/>
      </c>
      <c r="K70" s="12">
        <f>'2. Premissas'!C9+'2. Premissas'!C11</f>
        <v/>
      </c>
      <c r="L70" s="12">
        <f>'2. Premissas'!C9+'2. Premissas'!C11</f>
        <v/>
      </c>
      <c r="M70" s="12">
        <f>'2. Premissas'!C9+'2. Premissas'!C11</f>
        <v/>
      </c>
      <c r="N70" s="12">
        <f>'2. Premissas'!C9+'2. Premissas'!C11</f>
        <v/>
      </c>
      <c r="P70" s="84">
        <f>SUM(C70:N70)</f>
        <v/>
      </c>
    </row>
    <row r="71">
      <c r="B71" s="38" t="inlineStr">
        <is>
          <t>LUCRO MENSAL</t>
        </is>
      </c>
      <c r="C71" s="21">
        <f>C65-C66-C67-C68-C69-C70</f>
        <v/>
      </c>
      <c r="D71" s="21">
        <f>D65-D66-D67-D68-D69-D70</f>
        <v/>
      </c>
      <c r="E71" s="21">
        <f>E65-E66-E67-E68-E69-E70</f>
        <v/>
      </c>
      <c r="F71" s="21">
        <f>F65-F66-F67-F68-F69-F70</f>
        <v/>
      </c>
      <c r="G71" s="21">
        <f>G65-G66-G67-G68-G69-G70</f>
        <v/>
      </c>
      <c r="H71" s="21">
        <f>H65-H66-H67-H68-H69-H70</f>
        <v/>
      </c>
      <c r="I71" s="21">
        <f>I65-I66-I67-I68-I69-I70</f>
        <v/>
      </c>
      <c r="J71" s="21">
        <f>J65-J66-J67-J68-J69-J70</f>
        <v/>
      </c>
      <c r="K71" s="21">
        <f>K65-K66-K67-K68-K69-K70</f>
        <v/>
      </c>
      <c r="L71" s="21">
        <f>L65-L66-L67-L68-L69-L70</f>
        <v/>
      </c>
      <c r="M71" s="21">
        <f>M65-M66-M67-M68-M69-M70</f>
        <v/>
      </c>
      <c r="N71" s="21">
        <f>N65-N66-N67-N68-N69-N70</f>
        <v/>
      </c>
      <c r="P71" s="21">
        <f>SUM(C71:N71)</f>
        <v/>
      </c>
    </row>
    <row r="72">
      <c r="B72" s="17" t="inlineStr">
        <is>
          <t>Margem líquida %</t>
        </is>
      </c>
      <c r="C72" s="13">
        <f>IFERROR(C71/C65,0)</f>
        <v/>
      </c>
      <c r="D72" s="13">
        <f>IFERROR(D71/D65,0)</f>
        <v/>
      </c>
      <c r="E72" s="13">
        <f>IFERROR(E71/E65,0)</f>
        <v/>
      </c>
      <c r="F72" s="13">
        <f>IFERROR(F71/F65,0)</f>
        <v/>
      </c>
      <c r="G72" s="13">
        <f>IFERROR(G71/G65,0)</f>
        <v/>
      </c>
      <c r="H72" s="13">
        <f>IFERROR(H71/H65,0)</f>
        <v/>
      </c>
      <c r="I72" s="13">
        <f>IFERROR(I71/I65,0)</f>
        <v/>
      </c>
      <c r="J72" s="13">
        <f>IFERROR(J71/J65,0)</f>
        <v/>
      </c>
      <c r="K72" s="13">
        <f>IFERROR(K71/K65,0)</f>
        <v/>
      </c>
      <c r="L72" s="13">
        <f>IFERROR(L71/L65,0)</f>
        <v/>
      </c>
      <c r="M72" s="13">
        <f>IFERROR(M71/M65,0)</f>
        <v/>
      </c>
      <c r="N72" s="13">
        <f>IFERROR(N71/N65,0)</f>
        <v/>
      </c>
      <c r="P72" s="11">
        <f>IFERROR(P71/P65,0)</f>
        <v/>
      </c>
    </row>
    <row r="73">
      <c r="B73" s="4" t="inlineStr">
        <is>
          <t>Caixa acumulado</t>
        </is>
      </c>
      <c r="C73" s="86">
        <f>C71</f>
        <v/>
      </c>
      <c r="D73" s="86">
        <f>C73+D71</f>
        <v/>
      </c>
      <c r="E73" s="86">
        <f>D73+E71</f>
        <v/>
      </c>
      <c r="F73" s="86">
        <f>E73+F71</f>
        <v/>
      </c>
      <c r="G73" s="86">
        <f>F73+G71</f>
        <v/>
      </c>
      <c r="H73" s="86">
        <f>G73+H71</f>
        <v/>
      </c>
      <c r="I73" s="86">
        <f>H73+I71</f>
        <v/>
      </c>
      <c r="J73" s="86">
        <f>I73+J71</f>
        <v/>
      </c>
      <c r="K73" s="86">
        <f>J73+K71</f>
        <v/>
      </c>
      <c r="L73" s="86">
        <f>K73+L71</f>
        <v/>
      </c>
      <c r="M73" s="86">
        <f>L73+M71</f>
        <v/>
      </c>
      <c r="N73" s="86">
        <f>M73+N71</f>
        <v/>
      </c>
      <c r="O73" s="85">
        <f>N73</f>
        <v/>
      </c>
      <c r="P73" s="83" t="inlineStr"/>
    </row>
    <row r="76">
      <c r="B76" s="87" t="inlineStr">
        <is>
          <t>RESUMO ANUAL DO CENÁRIO</t>
        </is>
      </c>
    </row>
    <row r="80" ht="24" customHeight="1">
      <c r="B80" s="92" t="inlineStr">
        <is>
          <t>📊 RESUMO ANUAL COMPARATIVO (linkado à aba 1)</t>
        </is>
      </c>
    </row>
    <row r="81">
      <c r="B81" s="6" t="inlineStr">
        <is>
          <t>Indicador</t>
        </is>
      </c>
      <c r="C81" s="6" t="inlineStr">
        <is>
          <t>Pessimista</t>
        </is>
      </c>
      <c r="D81" s="6" t="inlineStr">
        <is>
          <t>Realista</t>
        </is>
      </c>
      <c r="E81" s="6" t="inlineStr">
        <is>
          <t>Otimista</t>
        </is>
      </c>
    </row>
    <row r="82">
      <c r="B82" s="7" t="inlineStr">
        <is>
          <t>Receita bruta anual</t>
        </is>
      </c>
      <c r="C82" s="93">
        <f>P11</f>
        <v/>
      </c>
      <c r="D82" s="19">
        <f>P38</f>
        <v/>
      </c>
      <c r="E82" s="21">
        <f>P65</f>
        <v/>
      </c>
    </row>
    <row r="83">
      <c r="B83" s="7" t="inlineStr">
        <is>
          <t>Lucro líquido anual</t>
        </is>
      </c>
      <c r="C83" s="93">
        <f>P17</f>
        <v/>
      </c>
      <c r="D83" s="19">
        <f>P44</f>
        <v/>
      </c>
      <c r="E83" s="21">
        <f>P71</f>
        <v/>
      </c>
    </row>
    <row r="84">
      <c r="B84" s="7" t="inlineStr">
        <is>
          <t>Margem líquida média</t>
        </is>
      </c>
      <c r="C84" s="94">
        <f>P18</f>
        <v/>
      </c>
      <c r="D84" s="95">
        <f>P45</f>
        <v/>
      </c>
      <c r="E84" s="32">
        <f>P72</f>
        <v/>
      </c>
    </row>
    <row r="85">
      <c r="B85" s="7" t="inlineStr">
        <is>
          <t>Caixa acumulado final mês 12</t>
        </is>
      </c>
      <c r="C85" s="93">
        <f>O19</f>
        <v/>
      </c>
      <c r="D85" s="19">
        <f>O46</f>
        <v/>
      </c>
      <c r="E85" s="21">
        <f>O73</f>
        <v/>
      </c>
    </row>
  </sheetData>
  <mergeCells count="5">
    <mergeCell ref="A1:P1"/>
    <mergeCell ref="B80:P80"/>
    <mergeCell ref="A31:P31"/>
    <mergeCell ref="A58:P58"/>
    <mergeCell ref="A4:P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3" customWidth="1" min="16" max="16"/>
  </cols>
  <sheetData>
    <row r="1" ht="28" customHeight="1">
      <c r="A1" s="1" t="inlineStr">
        <is>
          <t>DRE PROJETADA — CENÁRIO REALISTA (12 meses)</t>
        </is>
      </c>
    </row>
    <row r="2">
      <c r="B2" s="2" t="inlineStr">
        <is>
          <t>Estrutura conforme CPC 26 (R1). Vinculada à aba 12 — Realista (linhas 31-48)</t>
        </is>
      </c>
    </row>
    <row r="4">
      <c r="B4" s="6" t="inlineStr">
        <is>
          <t>Linha DRE</t>
        </is>
      </c>
      <c r="C4" s="6" t="inlineStr">
        <is>
          <t>M1</t>
        </is>
      </c>
      <c r="D4" s="6" t="inlineStr">
        <is>
          <t>M2</t>
        </is>
      </c>
      <c r="E4" s="6" t="inlineStr">
        <is>
          <t>M3</t>
        </is>
      </c>
      <c r="F4" s="6" t="inlineStr">
        <is>
          <t>M4</t>
        </is>
      </c>
      <c r="G4" s="6" t="inlineStr">
        <is>
          <t>M5</t>
        </is>
      </c>
      <c r="H4" s="6" t="inlineStr">
        <is>
          <t>M6</t>
        </is>
      </c>
      <c r="I4" s="6" t="inlineStr">
        <is>
          <t>M7</t>
        </is>
      </c>
      <c r="J4" s="6" t="inlineStr">
        <is>
          <t>M8</t>
        </is>
      </c>
      <c r="K4" s="6" t="inlineStr">
        <is>
          <t>M9</t>
        </is>
      </c>
      <c r="L4" s="6" t="inlineStr">
        <is>
          <t>M10</t>
        </is>
      </c>
      <c r="M4" s="6" t="inlineStr">
        <is>
          <t>M11</t>
        </is>
      </c>
      <c r="N4" s="6" t="inlineStr">
        <is>
          <t>M12</t>
        </is>
      </c>
      <c r="O4" s="6" t="inlineStr">
        <is>
          <t>ANO</t>
        </is>
      </c>
    </row>
    <row r="5">
      <c r="B5" s="4" t="inlineStr">
        <is>
          <t>RECEITA BRUTA OPERACIONAL</t>
        </is>
      </c>
      <c r="C5" s="86">
        <f>'12. Cenários'!C38</f>
        <v/>
      </c>
      <c r="D5" s="86">
        <f>'12. Cenários'!D38</f>
        <v/>
      </c>
      <c r="E5" s="86">
        <f>'12. Cenários'!E38</f>
        <v/>
      </c>
      <c r="F5" s="86">
        <f>'12. Cenários'!F38</f>
        <v/>
      </c>
      <c r="G5" s="86">
        <f>'12. Cenários'!G38</f>
        <v/>
      </c>
      <c r="H5" s="86">
        <f>'12. Cenários'!H38</f>
        <v/>
      </c>
      <c r="I5" s="86">
        <f>'12. Cenários'!I38</f>
        <v/>
      </c>
      <c r="J5" s="86">
        <f>'12. Cenários'!J38</f>
        <v/>
      </c>
      <c r="K5" s="86">
        <f>'12. Cenários'!K38</f>
        <v/>
      </c>
      <c r="L5" s="86">
        <f>'12. Cenários'!L38</f>
        <v/>
      </c>
      <c r="M5" s="86">
        <f>'12. Cenários'!M38</f>
        <v/>
      </c>
      <c r="N5" s="86">
        <f>'12. Cenários'!N38</f>
        <v/>
      </c>
      <c r="O5" s="86">
        <f>'12. Cenários'!P38</f>
        <v/>
      </c>
    </row>
    <row r="6">
      <c r="B6" s="96" t="inlineStr">
        <is>
          <t xml:space="preserve">  Projeto 48 Horas</t>
        </is>
      </c>
      <c r="C6" s="12">
        <f>'12. Cenários'!C33</f>
        <v/>
      </c>
      <c r="D6" s="12">
        <f>'12. Cenários'!D33</f>
        <v/>
      </c>
      <c r="E6" s="12">
        <f>'12. Cenários'!E33</f>
        <v/>
      </c>
      <c r="F6" s="12">
        <f>'12. Cenários'!F33</f>
        <v/>
      </c>
      <c r="G6" s="12">
        <f>'12. Cenários'!G33</f>
        <v/>
      </c>
      <c r="H6" s="12">
        <f>'12. Cenários'!H33</f>
        <v/>
      </c>
      <c r="I6" s="12">
        <f>'12. Cenários'!I33</f>
        <v/>
      </c>
      <c r="J6" s="12">
        <f>'12. Cenários'!J33</f>
        <v/>
      </c>
      <c r="K6" s="12">
        <f>'12. Cenários'!K33</f>
        <v/>
      </c>
      <c r="L6" s="12">
        <f>'12. Cenários'!L33</f>
        <v/>
      </c>
      <c r="M6" s="12">
        <f>'12. Cenários'!M33</f>
        <v/>
      </c>
      <c r="N6" s="12">
        <f>'12. Cenários'!N33</f>
        <v/>
      </c>
      <c r="O6" s="10">
        <f>'12. Cenários'!P33</f>
        <v/>
      </c>
    </row>
    <row r="7">
      <c r="B7" s="96" t="inlineStr">
        <is>
          <t xml:space="preserve">  Projetos Personalizados</t>
        </is>
      </c>
      <c r="C7" s="12">
        <f>'12. Cenários'!C34</f>
        <v/>
      </c>
      <c r="D7" s="12">
        <f>'12. Cenários'!D34</f>
        <v/>
      </c>
      <c r="E7" s="12">
        <f>'12. Cenários'!E34</f>
        <v/>
      </c>
      <c r="F7" s="12">
        <f>'12. Cenários'!F34</f>
        <v/>
      </c>
      <c r="G7" s="12">
        <f>'12. Cenários'!G34</f>
        <v/>
      </c>
      <c r="H7" s="12">
        <f>'12. Cenários'!H34</f>
        <v/>
      </c>
      <c r="I7" s="12">
        <f>'12. Cenários'!I34</f>
        <v/>
      </c>
      <c r="J7" s="12">
        <f>'12. Cenários'!J34</f>
        <v/>
      </c>
      <c r="K7" s="12">
        <f>'12. Cenários'!K34</f>
        <v/>
      </c>
      <c r="L7" s="12">
        <f>'12. Cenários'!L34</f>
        <v/>
      </c>
      <c r="M7" s="12">
        <f>'12. Cenários'!M34</f>
        <v/>
      </c>
      <c r="N7" s="12">
        <f>'12. Cenários'!N34</f>
        <v/>
      </c>
      <c r="O7" s="10">
        <f>'12. Cenários'!P34</f>
        <v/>
      </c>
    </row>
    <row r="8">
      <c r="B8" s="96" t="inlineStr">
        <is>
          <t xml:space="preserve">  Suporte Mensal Recorrente (MRR)</t>
        </is>
      </c>
      <c r="C8" s="12">
        <f>'12. Cenários'!C35</f>
        <v/>
      </c>
      <c r="D8" s="12">
        <f>'12. Cenários'!D35</f>
        <v/>
      </c>
      <c r="E8" s="12">
        <f>'12. Cenários'!E35</f>
        <v/>
      </c>
      <c r="F8" s="12">
        <f>'12. Cenários'!F35</f>
        <v/>
      </c>
      <c r="G8" s="12">
        <f>'12. Cenários'!G35</f>
        <v/>
      </c>
      <c r="H8" s="12">
        <f>'12. Cenários'!H35</f>
        <v/>
      </c>
      <c r="I8" s="12">
        <f>'12. Cenários'!I35</f>
        <v/>
      </c>
      <c r="J8" s="12">
        <f>'12. Cenários'!J35</f>
        <v/>
      </c>
      <c r="K8" s="12">
        <f>'12. Cenários'!K35</f>
        <v/>
      </c>
      <c r="L8" s="12">
        <f>'12. Cenários'!L35</f>
        <v/>
      </c>
      <c r="M8" s="12">
        <f>'12. Cenários'!M35</f>
        <v/>
      </c>
      <c r="N8" s="12">
        <f>'12. Cenários'!N35</f>
        <v/>
      </c>
      <c r="O8" s="10">
        <f>'12. Cenários'!P35</f>
        <v/>
      </c>
    </row>
    <row r="9">
      <c r="B9" s="96" t="inlineStr">
        <is>
          <t xml:space="preserve">  Parceria com Plataformas</t>
        </is>
      </c>
      <c r="C9" s="12">
        <f>'12. Cenários'!C36</f>
        <v/>
      </c>
      <c r="D9" s="12">
        <f>'12. Cenários'!D36</f>
        <v/>
      </c>
      <c r="E9" s="12">
        <f>'12. Cenários'!E36</f>
        <v/>
      </c>
      <c r="F9" s="12">
        <f>'12. Cenários'!F36</f>
        <v/>
      </c>
      <c r="G9" s="12">
        <f>'12. Cenários'!G36</f>
        <v/>
      </c>
      <c r="H9" s="12">
        <f>'12. Cenários'!H36</f>
        <v/>
      </c>
      <c r="I9" s="12">
        <f>'12. Cenários'!I36</f>
        <v/>
      </c>
      <c r="J9" s="12">
        <f>'12. Cenários'!J36</f>
        <v/>
      </c>
      <c r="K9" s="12">
        <f>'12. Cenários'!K36</f>
        <v/>
      </c>
      <c r="L9" s="12">
        <f>'12. Cenários'!L36</f>
        <v/>
      </c>
      <c r="M9" s="12">
        <f>'12. Cenários'!M36</f>
        <v/>
      </c>
      <c r="N9" s="12">
        <f>'12. Cenários'!N36</f>
        <v/>
      </c>
      <c r="O9" s="10">
        <f>'12. Cenários'!P36</f>
        <v/>
      </c>
    </row>
    <row r="10">
      <c r="B10" s="96" t="inlineStr">
        <is>
          <t xml:space="preserve">  Tráfego Pago (gestão)</t>
        </is>
      </c>
      <c r="C10" s="12">
        <f>'12. Cenários'!C37</f>
        <v/>
      </c>
      <c r="D10" s="12">
        <f>'12. Cenários'!D37</f>
        <v/>
      </c>
      <c r="E10" s="12">
        <f>'12. Cenários'!E37</f>
        <v/>
      </c>
      <c r="F10" s="12">
        <f>'12. Cenários'!F37</f>
        <v/>
      </c>
      <c r="G10" s="12">
        <f>'12. Cenários'!G37</f>
        <v/>
      </c>
      <c r="H10" s="12">
        <f>'12. Cenários'!H37</f>
        <v/>
      </c>
      <c r="I10" s="12">
        <f>'12. Cenários'!I37</f>
        <v/>
      </c>
      <c r="J10" s="12">
        <f>'12. Cenários'!J37</f>
        <v/>
      </c>
      <c r="K10" s="12">
        <f>'12. Cenários'!K37</f>
        <v/>
      </c>
      <c r="L10" s="12">
        <f>'12. Cenários'!L37</f>
        <v/>
      </c>
      <c r="M10" s="12">
        <f>'12. Cenários'!M37</f>
        <v/>
      </c>
      <c r="N10" s="12">
        <f>'12. Cenários'!N37</f>
        <v/>
      </c>
      <c r="O10" s="10">
        <f>'12. Cenários'!P37</f>
        <v/>
      </c>
    </row>
    <row r="11">
      <c r="B11" s="96" t="inlineStr">
        <is>
          <t>(–) Impostos sobre venda (Simples)</t>
        </is>
      </c>
      <c r="C11" s="12">
        <f>'12. Cenários'!C39</f>
        <v/>
      </c>
      <c r="D11" s="12">
        <f>'12. Cenários'!D39</f>
        <v/>
      </c>
      <c r="E11" s="12">
        <f>'12. Cenários'!E39</f>
        <v/>
      </c>
      <c r="F11" s="12">
        <f>'12. Cenários'!F39</f>
        <v/>
      </c>
      <c r="G11" s="12">
        <f>'12. Cenários'!G39</f>
        <v/>
      </c>
      <c r="H11" s="12">
        <f>'12. Cenários'!H39</f>
        <v/>
      </c>
      <c r="I11" s="12">
        <f>'12. Cenários'!I39</f>
        <v/>
      </c>
      <c r="J11" s="12">
        <f>'12. Cenários'!J39</f>
        <v/>
      </c>
      <c r="K11" s="12">
        <f>'12. Cenários'!K39</f>
        <v/>
      </c>
      <c r="L11" s="12">
        <f>'12. Cenários'!L39</f>
        <v/>
      </c>
      <c r="M11" s="12">
        <f>'12. Cenários'!M39</f>
        <v/>
      </c>
      <c r="N11" s="12">
        <f>'12. Cenários'!N39</f>
        <v/>
      </c>
      <c r="O11" s="10">
        <f>'12. Cenários'!P39</f>
        <v/>
      </c>
    </row>
    <row r="12">
      <c r="B12" s="96" t="inlineStr">
        <is>
          <t>(–) Taxas de cartão</t>
        </is>
      </c>
      <c r="C12" s="12">
        <f>'12. Cenários'!C40</f>
        <v/>
      </c>
      <c r="D12" s="12">
        <f>'12. Cenários'!D40</f>
        <v/>
      </c>
      <c r="E12" s="12">
        <f>'12. Cenários'!E40</f>
        <v/>
      </c>
      <c r="F12" s="12">
        <f>'12. Cenários'!F40</f>
        <v/>
      </c>
      <c r="G12" s="12">
        <f>'12. Cenários'!G40</f>
        <v/>
      </c>
      <c r="H12" s="12">
        <f>'12. Cenários'!H40</f>
        <v/>
      </c>
      <c r="I12" s="12">
        <f>'12. Cenários'!I40</f>
        <v/>
      </c>
      <c r="J12" s="12">
        <f>'12. Cenários'!J40</f>
        <v/>
      </c>
      <c r="K12" s="12">
        <f>'12. Cenários'!K40</f>
        <v/>
      </c>
      <c r="L12" s="12">
        <f>'12. Cenários'!L40</f>
        <v/>
      </c>
      <c r="M12" s="12">
        <f>'12. Cenários'!M40</f>
        <v/>
      </c>
      <c r="N12" s="12">
        <f>'12. Cenários'!N40</f>
        <v/>
      </c>
      <c r="O12" s="10">
        <f>'12. Cenários'!P40</f>
        <v/>
      </c>
    </row>
    <row r="13">
      <c r="B13" s="96" t="inlineStr">
        <is>
          <t>(–) Inadimplência (PCLD)</t>
        </is>
      </c>
      <c r="C13" s="12">
        <f>'12. Cenários'!C41</f>
        <v/>
      </c>
      <c r="D13" s="12">
        <f>'12. Cenários'!D41</f>
        <v/>
      </c>
      <c r="E13" s="12">
        <f>'12. Cenários'!E41</f>
        <v/>
      </c>
      <c r="F13" s="12">
        <f>'12. Cenários'!F41</f>
        <v/>
      </c>
      <c r="G13" s="12">
        <f>'12. Cenários'!G41</f>
        <v/>
      </c>
      <c r="H13" s="12">
        <f>'12. Cenários'!H41</f>
        <v/>
      </c>
      <c r="I13" s="12">
        <f>'12. Cenários'!I41</f>
        <v/>
      </c>
      <c r="J13" s="12">
        <f>'12. Cenários'!J41</f>
        <v/>
      </c>
      <c r="K13" s="12">
        <f>'12. Cenários'!K41</f>
        <v/>
      </c>
      <c r="L13" s="12">
        <f>'12. Cenários'!L41</f>
        <v/>
      </c>
      <c r="M13" s="12">
        <f>'12. Cenários'!M41</f>
        <v/>
      </c>
      <c r="N13" s="12">
        <f>'12. Cenários'!N41</f>
        <v/>
      </c>
      <c r="O13" s="10">
        <f>'12. Cenários'!P41</f>
        <v/>
      </c>
    </row>
    <row r="14">
      <c r="B14" s="38">
        <f> RECEITA LÍQUIDA</f>
        <v/>
      </c>
      <c r="C14" s="21">
        <f>'12. Cenários'!C38 - '12. Cenários'!C39 - '12. Cenários'!C40 - '12. Cenários'!C41</f>
        <v/>
      </c>
      <c r="D14" s="21">
        <f>'12. Cenários'!D38 - '12. Cenários'!D39 - '12. Cenários'!D40 - '12. Cenários'!D41</f>
        <v/>
      </c>
      <c r="E14" s="21">
        <f>'12. Cenários'!E38 - '12. Cenários'!E39 - '12. Cenários'!E40 - '12. Cenários'!E41</f>
        <v/>
      </c>
      <c r="F14" s="21">
        <f>'12. Cenários'!F38 - '12. Cenários'!F39 - '12. Cenários'!F40 - '12. Cenários'!F41</f>
        <v/>
      </c>
      <c r="G14" s="21">
        <f>'12. Cenários'!G38 - '12. Cenários'!G39 - '12. Cenários'!G40 - '12. Cenários'!G41</f>
        <v/>
      </c>
      <c r="H14" s="21">
        <f>'12. Cenários'!H38 - '12. Cenários'!H39 - '12. Cenários'!H40 - '12. Cenários'!H41</f>
        <v/>
      </c>
      <c r="I14" s="21">
        <f>'12. Cenários'!I38 - '12. Cenários'!I39 - '12. Cenários'!I40 - '12. Cenários'!I41</f>
        <v/>
      </c>
      <c r="J14" s="21">
        <f>'12. Cenários'!J38 - '12. Cenários'!J39 - '12. Cenários'!J40 - '12. Cenários'!J41</f>
        <v/>
      </c>
      <c r="K14" s="21">
        <f>'12. Cenários'!K38 - '12. Cenários'!K39 - '12. Cenários'!K40 - '12. Cenários'!K41</f>
        <v/>
      </c>
      <c r="L14" s="21">
        <f>'12. Cenários'!L38 - '12. Cenários'!L39 - '12. Cenários'!L40 - '12. Cenários'!L41</f>
        <v/>
      </c>
      <c r="M14" s="21">
        <f>'12. Cenários'!M38 - '12. Cenários'!M39 - '12. Cenários'!M40 - '12. Cenários'!M41</f>
        <v/>
      </c>
      <c r="N14" s="21">
        <f>'12. Cenários'!N38 - '12. Cenários'!N39 - '12. Cenários'!N40 - '12. Cenários'!N41</f>
        <v/>
      </c>
      <c r="O14" s="21">
        <f>'12. Cenários'!P38 - '12. Cenários'!P39 - '12. Cenários'!P40 - '12. Cenários'!P41</f>
        <v/>
      </c>
    </row>
    <row r="15">
      <c r="B15" s="96" t="inlineStr">
        <is>
          <t>(–) Custos Fixos Administrativos</t>
        </is>
      </c>
      <c r="C15" s="12">
        <f>'12. Cenários'!C42</f>
        <v/>
      </c>
      <c r="D15" s="12">
        <f>'12. Cenários'!D42</f>
        <v/>
      </c>
      <c r="E15" s="12">
        <f>'12. Cenários'!E42</f>
        <v/>
      </c>
      <c r="F15" s="12">
        <f>'12. Cenários'!F42</f>
        <v/>
      </c>
      <c r="G15" s="12">
        <f>'12. Cenários'!G42</f>
        <v/>
      </c>
      <c r="H15" s="12">
        <f>'12. Cenários'!H42</f>
        <v/>
      </c>
      <c r="I15" s="12">
        <f>'12. Cenários'!I42</f>
        <v/>
      </c>
      <c r="J15" s="12">
        <f>'12. Cenários'!J42</f>
        <v/>
      </c>
      <c r="K15" s="12">
        <f>'12. Cenários'!K42</f>
        <v/>
      </c>
      <c r="L15" s="12">
        <f>'12. Cenários'!L42</f>
        <v/>
      </c>
      <c r="M15" s="12">
        <f>'12. Cenários'!M42</f>
        <v/>
      </c>
      <c r="N15" s="12">
        <f>'12. Cenários'!N42</f>
        <v/>
      </c>
      <c r="O15" s="10">
        <f>'12. Cenários'!P42</f>
        <v/>
      </c>
    </row>
    <row r="16">
      <c r="B16" s="96" t="inlineStr">
        <is>
          <t>(–) Pró-labore + INSS sócios</t>
        </is>
      </c>
      <c r="C16" s="12">
        <f>'12. Cenários'!C43</f>
        <v/>
      </c>
      <c r="D16" s="12">
        <f>'12. Cenários'!D43</f>
        <v/>
      </c>
      <c r="E16" s="12">
        <f>'12. Cenários'!E43</f>
        <v/>
      </c>
      <c r="F16" s="12">
        <f>'12. Cenários'!F43</f>
        <v/>
      </c>
      <c r="G16" s="12">
        <f>'12. Cenários'!G43</f>
        <v/>
      </c>
      <c r="H16" s="12">
        <f>'12. Cenários'!H43</f>
        <v/>
      </c>
      <c r="I16" s="12">
        <f>'12. Cenários'!I43</f>
        <v/>
      </c>
      <c r="J16" s="12">
        <f>'12. Cenários'!J43</f>
        <v/>
      </c>
      <c r="K16" s="12">
        <f>'12. Cenários'!K43</f>
        <v/>
      </c>
      <c r="L16" s="12">
        <f>'12. Cenários'!L43</f>
        <v/>
      </c>
      <c r="M16" s="12">
        <f>'12. Cenários'!M43</f>
        <v/>
      </c>
      <c r="N16" s="12">
        <f>'12. Cenários'!N43</f>
        <v/>
      </c>
      <c r="O16" s="10">
        <f>'12. Cenários'!P43</f>
        <v/>
      </c>
    </row>
    <row r="17">
      <c r="B17" s="56">
        <f> LUCRO LÍQUIDO MENSAL</f>
        <v/>
      </c>
      <c r="C17" s="85">
        <f>'12. Cenários'!C44</f>
        <v/>
      </c>
      <c r="D17" s="85">
        <f>'12. Cenários'!D44</f>
        <v/>
      </c>
      <c r="E17" s="85">
        <f>'12. Cenários'!E44</f>
        <v/>
      </c>
      <c r="F17" s="85">
        <f>'12. Cenários'!F44</f>
        <v/>
      </c>
      <c r="G17" s="85">
        <f>'12. Cenários'!G44</f>
        <v/>
      </c>
      <c r="H17" s="85">
        <f>'12. Cenários'!H44</f>
        <v/>
      </c>
      <c r="I17" s="85">
        <f>'12. Cenários'!I44</f>
        <v/>
      </c>
      <c r="J17" s="85">
        <f>'12. Cenários'!J44</f>
        <v/>
      </c>
      <c r="K17" s="85">
        <f>'12. Cenários'!K44</f>
        <v/>
      </c>
      <c r="L17" s="85">
        <f>'12. Cenários'!L44</f>
        <v/>
      </c>
      <c r="M17" s="85">
        <f>'12. Cenários'!M44</f>
        <v/>
      </c>
      <c r="N17" s="85">
        <f>'12. Cenários'!N44</f>
        <v/>
      </c>
      <c r="O17" s="85">
        <f>'12. Cenários'!P44</f>
        <v/>
      </c>
    </row>
    <row r="18">
      <c r="B18" s="4" t="inlineStr">
        <is>
          <t>Margem líquida (%)</t>
        </is>
      </c>
      <c r="C18" s="97">
        <f>IFERROR('12. Cenários'!C44/'12. Cenários'!C38,0)</f>
        <v/>
      </c>
      <c r="D18" s="97">
        <f>IFERROR('12. Cenários'!D44/'12. Cenários'!D38,0)</f>
        <v/>
      </c>
      <c r="E18" s="97">
        <f>IFERROR('12. Cenários'!E44/'12. Cenários'!E38,0)</f>
        <v/>
      </c>
      <c r="F18" s="97">
        <f>IFERROR('12. Cenários'!F44/'12. Cenários'!F38,0)</f>
        <v/>
      </c>
      <c r="G18" s="97">
        <f>IFERROR('12. Cenários'!G44/'12. Cenários'!G38,0)</f>
        <v/>
      </c>
      <c r="H18" s="97">
        <f>IFERROR('12. Cenários'!H44/'12. Cenários'!H38,0)</f>
        <v/>
      </c>
      <c r="I18" s="97">
        <f>IFERROR('12. Cenários'!I44/'12. Cenários'!I38,0)</f>
        <v/>
      </c>
      <c r="J18" s="97">
        <f>IFERROR('12. Cenários'!J44/'12. Cenários'!J38,0)</f>
        <v/>
      </c>
      <c r="K18" s="97">
        <f>IFERROR('12. Cenários'!K44/'12. Cenários'!K38,0)</f>
        <v/>
      </c>
      <c r="L18" s="97">
        <f>IFERROR('12. Cenários'!L44/'12. Cenários'!L38,0)</f>
        <v/>
      </c>
      <c r="M18" s="97">
        <f>IFERROR('12. Cenários'!M44/'12. Cenários'!M38,0)</f>
        <v/>
      </c>
      <c r="N18" s="97">
        <f>IFERROR('12. Cenários'!N44/'12. Cenários'!N38,0)</f>
        <v/>
      </c>
      <c r="O18" s="97">
        <f>IFERROR('12. Cenários'!P44/'12. Cenários'!P38,0)</f>
        <v/>
      </c>
    </row>
  </sheetData>
  <mergeCells count="1">
    <mergeCell ref="A1:P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3" customWidth="1" min="16" max="16"/>
  </cols>
  <sheetData>
    <row r="1" ht="28" customHeight="1">
      <c r="A1" s="1" t="inlineStr">
        <is>
          <t>FLUXO DE CAIXA — CENÁRIO REALISTA (12 meses)</t>
        </is>
      </c>
    </row>
    <row r="2">
      <c r="B2" s="2" t="inlineStr">
        <is>
          <t>Considera descasamento entre receita reconhecida e caixa efetivamente recebido (parcelamento)</t>
        </is>
      </c>
    </row>
    <row r="4">
      <c r="B4" s="6" t="inlineStr">
        <is>
          <t>Movimento</t>
        </is>
      </c>
      <c r="C4" s="6" t="inlineStr">
        <is>
          <t>M1</t>
        </is>
      </c>
      <c r="D4" s="6" t="inlineStr">
        <is>
          <t>M2</t>
        </is>
      </c>
      <c r="E4" s="6" t="inlineStr">
        <is>
          <t>M3</t>
        </is>
      </c>
      <c r="F4" s="6" t="inlineStr">
        <is>
          <t>M4</t>
        </is>
      </c>
      <c r="G4" s="6" t="inlineStr">
        <is>
          <t>M5</t>
        </is>
      </c>
      <c r="H4" s="6" t="inlineStr">
        <is>
          <t>M6</t>
        </is>
      </c>
      <c r="I4" s="6" t="inlineStr">
        <is>
          <t>M7</t>
        </is>
      </c>
      <c r="J4" s="6" t="inlineStr">
        <is>
          <t>M8</t>
        </is>
      </c>
      <c r="K4" s="6" t="inlineStr">
        <is>
          <t>M9</t>
        </is>
      </c>
      <c r="L4" s="6" t="inlineStr">
        <is>
          <t>M10</t>
        </is>
      </c>
      <c r="M4" s="6" t="inlineStr">
        <is>
          <t>M11</t>
        </is>
      </c>
      <c r="N4" s="6" t="inlineStr">
        <is>
          <t>M12</t>
        </is>
      </c>
      <c r="O4" s="6" t="inlineStr">
        <is>
          <t>ANO</t>
        </is>
      </c>
    </row>
    <row r="5">
      <c r="B5" s="28" t="inlineStr">
        <is>
          <t>(+) Recebimentos à vista/PIX (60% da receita)</t>
        </is>
      </c>
      <c r="C5" s="12">
        <f>'12. Cenários'!C38*0.6</f>
        <v/>
      </c>
      <c r="D5" s="12">
        <f>'12. Cenários'!D38*0.6</f>
        <v/>
      </c>
      <c r="E5" s="12">
        <f>'12. Cenários'!E38*0.6</f>
        <v/>
      </c>
      <c r="F5" s="12">
        <f>'12. Cenários'!F38*0.6</f>
        <v/>
      </c>
      <c r="G5" s="12">
        <f>'12. Cenários'!G38*0.6</f>
        <v/>
      </c>
      <c r="H5" s="12">
        <f>'12. Cenários'!H38*0.6</f>
        <v/>
      </c>
      <c r="I5" s="12">
        <f>'12. Cenários'!I38*0.6</f>
        <v/>
      </c>
      <c r="J5" s="12">
        <f>'12. Cenários'!J38*0.6</f>
        <v/>
      </c>
      <c r="K5" s="12">
        <f>'12. Cenários'!K38*0.6</f>
        <v/>
      </c>
      <c r="L5" s="12">
        <f>'12. Cenários'!L38*0.6</f>
        <v/>
      </c>
      <c r="M5" s="12">
        <f>'12. Cenários'!M38*0.6</f>
        <v/>
      </c>
      <c r="N5" s="12">
        <f>'12. Cenários'!N38*0.6</f>
        <v/>
      </c>
      <c r="O5" s="98">
        <f>SUM(C5:N5)</f>
        <v/>
      </c>
    </row>
    <row r="6">
      <c r="B6" s="96" t="inlineStr">
        <is>
          <t>(+) Recebimentos parcelado 3x (30% receita, diluído em 3 meses)</t>
        </is>
      </c>
      <c r="C6" s="12">
        <f>'12. Cenários'!C38*0.3</f>
        <v/>
      </c>
      <c r="D6" s="12">
        <f>'12. Cenários'!D38*0.3</f>
        <v/>
      </c>
      <c r="E6" s="12">
        <f>'12. Cenários'!E38*0.3</f>
        <v/>
      </c>
      <c r="F6" s="12">
        <f>'12. Cenários'!F38*0.3</f>
        <v/>
      </c>
      <c r="G6" s="12">
        <f>'12. Cenários'!G38*0.3</f>
        <v/>
      </c>
      <c r="H6" s="12">
        <f>'12. Cenários'!H38*0.3</f>
        <v/>
      </c>
      <c r="I6" s="12">
        <f>'12. Cenários'!I38*0.3</f>
        <v/>
      </c>
      <c r="J6" s="12">
        <f>'12. Cenários'!J38*0.3</f>
        <v/>
      </c>
      <c r="K6" s="12">
        <f>'12. Cenários'!K38*0.3</f>
        <v/>
      </c>
      <c r="L6" s="12">
        <f>'12. Cenários'!L38*0.3</f>
        <v/>
      </c>
      <c r="M6" s="12">
        <f>'12. Cenários'!M38*0.3</f>
        <v/>
      </c>
      <c r="N6" s="12">
        <f>'12. Cenários'!N38*0.3</f>
        <v/>
      </c>
      <c r="O6" s="84">
        <f>SUM(C6:N6)</f>
        <v/>
      </c>
    </row>
    <row r="7">
      <c r="B7" s="96" t="inlineStr">
        <is>
          <t>(+) Recebimentos parcelado 6x+ (10% receita)</t>
        </is>
      </c>
      <c r="C7" s="12">
        <f>'12. Cenários'!C38*0.1</f>
        <v/>
      </c>
      <c r="D7" s="12">
        <f>'12. Cenários'!D38*0.1</f>
        <v/>
      </c>
      <c r="E7" s="12">
        <f>'12. Cenários'!E38*0.1</f>
        <v/>
      </c>
      <c r="F7" s="12">
        <f>'12. Cenários'!F38*0.1</f>
        <v/>
      </c>
      <c r="G7" s="12">
        <f>'12. Cenários'!G38*0.1</f>
        <v/>
      </c>
      <c r="H7" s="12">
        <f>'12. Cenários'!H38*0.1</f>
        <v/>
      </c>
      <c r="I7" s="12">
        <f>'12. Cenários'!I38*0.1</f>
        <v/>
      </c>
      <c r="J7" s="12">
        <f>'12. Cenários'!J38*0.1</f>
        <v/>
      </c>
      <c r="K7" s="12">
        <f>'12. Cenários'!K38*0.1</f>
        <v/>
      </c>
      <c r="L7" s="12">
        <f>'12. Cenários'!L38*0.1</f>
        <v/>
      </c>
      <c r="M7" s="12">
        <f>'12. Cenários'!M38*0.1</f>
        <v/>
      </c>
      <c r="N7" s="12">
        <f>'12. Cenários'!N38*0.1</f>
        <v/>
      </c>
      <c r="O7" s="84">
        <f>SUM(C7:N7)</f>
        <v/>
      </c>
    </row>
    <row r="8">
      <c r="B8" s="38">
        <f> TOTAL ENTRADAS</f>
        <v/>
      </c>
      <c r="C8" s="21">
        <f>SUM(C5:C7)</f>
        <v/>
      </c>
      <c r="D8" s="21">
        <f>SUM(D5:D7)</f>
        <v/>
      </c>
      <c r="E8" s="21">
        <f>SUM(E5:E7)</f>
        <v/>
      </c>
      <c r="F8" s="21">
        <f>SUM(F5:F7)</f>
        <v/>
      </c>
      <c r="G8" s="21">
        <f>SUM(G5:G7)</f>
        <v/>
      </c>
      <c r="H8" s="21">
        <f>SUM(H5:H7)</f>
        <v/>
      </c>
      <c r="I8" s="21">
        <f>SUM(I5:I7)</f>
        <v/>
      </c>
      <c r="J8" s="21">
        <f>SUM(J5:J7)</f>
        <v/>
      </c>
      <c r="K8" s="21">
        <f>SUM(K5:K7)</f>
        <v/>
      </c>
      <c r="L8" s="21">
        <f>SUM(L5:L7)</f>
        <v/>
      </c>
      <c r="M8" s="21">
        <f>SUM(M5:M7)</f>
        <v/>
      </c>
      <c r="N8" s="21">
        <f>SUM(N5:N7)</f>
        <v/>
      </c>
      <c r="O8" s="99">
        <f>SUM(C8:N8)</f>
        <v/>
      </c>
    </row>
    <row r="10">
      <c r="B10" s="96" t="inlineStr">
        <is>
          <t>(–) Impostos (Simples)</t>
        </is>
      </c>
      <c r="C10" s="12">
        <f>'12. Cenários'!C39</f>
        <v/>
      </c>
      <c r="D10" s="12">
        <f>'12. Cenários'!D39</f>
        <v/>
      </c>
      <c r="E10" s="12">
        <f>'12. Cenários'!E39</f>
        <v/>
      </c>
      <c r="F10" s="12">
        <f>'12. Cenários'!F39</f>
        <v/>
      </c>
      <c r="G10" s="12">
        <f>'12. Cenários'!G39</f>
        <v/>
      </c>
      <c r="H10" s="12">
        <f>'12. Cenários'!H39</f>
        <v/>
      </c>
      <c r="I10" s="12">
        <f>'12. Cenários'!I39</f>
        <v/>
      </c>
      <c r="J10" s="12">
        <f>'12. Cenários'!J39</f>
        <v/>
      </c>
      <c r="K10" s="12">
        <f>'12. Cenários'!K39</f>
        <v/>
      </c>
      <c r="L10" s="12">
        <f>'12. Cenários'!L39</f>
        <v/>
      </c>
      <c r="M10" s="12">
        <f>'12. Cenários'!M39</f>
        <v/>
      </c>
      <c r="N10" s="12">
        <f>'12. Cenários'!N39</f>
        <v/>
      </c>
      <c r="O10" s="84">
        <f>SUM(C10:N10)</f>
        <v/>
      </c>
    </row>
    <row r="11">
      <c r="B11" s="96" t="inlineStr">
        <is>
          <t>(–) Taxas cartão</t>
        </is>
      </c>
      <c r="C11" s="12">
        <f>'12. Cenários'!C40</f>
        <v/>
      </c>
      <c r="D11" s="12">
        <f>'12. Cenários'!D40</f>
        <v/>
      </c>
      <c r="E11" s="12">
        <f>'12. Cenários'!E40</f>
        <v/>
      </c>
      <c r="F11" s="12">
        <f>'12. Cenários'!F40</f>
        <v/>
      </c>
      <c r="G11" s="12">
        <f>'12. Cenários'!G40</f>
        <v/>
      </c>
      <c r="H11" s="12">
        <f>'12. Cenários'!H40</f>
        <v/>
      </c>
      <c r="I11" s="12">
        <f>'12. Cenários'!I40</f>
        <v/>
      </c>
      <c r="J11" s="12">
        <f>'12. Cenários'!J40</f>
        <v/>
      </c>
      <c r="K11" s="12">
        <f>'12. Cenários'!K40</f>
        <v/>
      </c>
      <c r="L11" s="12">
        <f>'12. Cenários'!L40</f>
        <v/>
      </c>
      <c r="M11" s="12">
        <f>'12. Cenários'!M40</f>
        <v/>
      </c>
      <c r="N11" s="12">
        <f>'12. Cenários'!N40</f>
        <v/>
      </c>
      <c r="O11" s="84">
        <f>SUM(C11:N11)</f>
        <v/>
      </c>
    </row>
    <row r="12">
      <c r="B12" s="96" t="inlineStr">
        <is>
          <t>(–) Inadimplência (PCLD)</t>
        </is>
      </c>
      <c r="C12" s="12">
        <f>'12. Cenários'!C41</f>
        <v/>
      </c>
      <c r="D12" s="12">
        <f>'12. Cenários'!D41</f>
        <v/>
      </c>
      <c r="E12" s="12">
        <f>'12. Cenários'!E41</f>
        <v/>
      </c>
      <c r="F12" s="12">
        <f>'12. Cenários'!F41</f>
        <v/>
      </c>
      <c r="G12" s="12">
        <f>'12. Cenários'!G41</f>
        <v/>
      </c>
      <c r="H12" s="12">
        <f>'12. Cenários'!H41</f>
        <v/>
      </c>
      <c r="I12" s="12">
        <f>'12. Cenários'!I41</f>
        <v/>
      </c>
      <c r="J12" s="12">
        <f>'12. Cenários'!J41</f>
        <v/>
      </c>
      <c r="K12" s="12">
        <f>'12. Cenários'!K41</f>
        <v/>
      </c>
      <c r="L12" s="12">
        <f>'12. Cenários'!L41</f>
        <v/>
      </c>
      <c r="M12" s="12">
        <f>'12. Cenários'!M41</f>
        <v/>
      </c>
      <c r="N12" s="12">
        <f>'12. Cenários'!N41</f>
        <v/>
      </c>
      <c r="O12" s="84">
        <f>SUM(C12:N12)</f>
        <v/>
      </c>
    </row>
    <row r="13">
      <c r="B13" s="96" t="inlineStr">
        <is>
          <t>(–) Custos fixos administrativos</t>
        </is>
      </c>
      <c r="C13" s="12">
        <f>'2. Premissas'!C62</f>
        <v/>
      </c>
      <c r="D13" s="12">
        <f>'2. Premissas'!C62</f>
        <v/>
      </c>
      <c r="E13" s="12">
        <f>'2. Premissas'!C62</f>
        <v/>
      </c>
      <c r="F13" s="12">
        <f>'2. Premissas'!C62</f>
        <v/>
      </c>
      <c r="G13" s="12">
        <f>'2. Premissas'!C62</f>
        <v/>
      </c>
      <c r="H13" s="12">
        <f>'2. Premissas'!C62</f>
        <v/>
      </c>
      <c r="I13" s="12">
        <f>'2. Premissas'!C62</f>
        <v/>
      </c>
      <c r="J13" s="12">
        <f>'2. Premissas'!C62</f>
        <v/>
      </c>
      <c r="K13" s="12">
        <f>'2. Premissas'!C62</f>
        <v/>
      </c>
      <c r="L13" s="12">
        <f>'2. Premissas'!C62</f>
        <v/>
      </c>
      <c r="M13" s="12">
        <f>'2. Premissas'!C62</f>
        <v/>
      </c>
      <c r="N13" s="12">
        <f>'2. Premissas'!C62</f>
        <v/>
      </c>
      <c r="O13" s="84">
        <f>SUM(C13:N13)</f>
        <v/>
      </c>
    </row>
    <row r="14">
      <c r="B14" s="96" t="inlineStr">
        <is>
          <t>(–) Pró-labore + INSS sócios</t>
        </is>
      </c>
      <c r="C14" s="12">
        <f>'2. Premissas'!C9+'2. Premissas'!C11</f>
        <v/>
      </c>
      <c r="D14" s="12">
        <f>'2. Premissas'!C9+'2. Premissas'!C11</f>
        <v/>
      </c>
      <c r="E14" s="12">
        <f>'2. Premissas'!C9+'2. Premissas'!C11</f>
        <v/>
      </c>
      <c r="F14" s="12">
        <f>'2. Premissas'!C9+'2. Premissas'!C11</f>
        <v/>
      </c>
      <c r="G14" s="12">
        <f>'2. Premissas'!C9+'2. Premissas'!C11</f>
        <v/>
      </c>
      <c r="H14" s="12">
        <f>'2. Premissas'!C9+'2. Premissas'!C11</f>
        <v/>
      </c>
      <c r="I14" s="12">
        <f>'2. Premissas'!C9+'2. Premissas'!C11</f>
        <v/>
      </c>
      <c r="J14" s="12">
        <f>'2. Premissas'!C9+'2. Premissas'!C11</f>
        <v/>
      </c>
      <c r="K14" s="12">
        <f>'2. Premissas'!C9+'2. Premissas'!C11</f>
        <v/>
      </c>
      <c r="L14" s="12">
        <f>'2. Premissas'!C9+'2. Premissas'!C11</f>
        <v/>
      </c>
      <c r="M14" s="12">
        <f>'2. Premissas'!C9+'2. Premissas'!C11</f>
        <v/>
      </c>
      <c r="N14" s="12">
        <f>'2. Premissas'!C9+'2. Premissas'!C11</f>
        <v/>
      </c>
      <c r="O14" s="84">
        <f>SUM(C14:N14)</f>
        <v/>
      </c>
    </row>
    <row r="15">
      <c r="B15" s="77">
        <f> TOTAL SAÍDAS</f>
        <v/>
      </c>
      <c r="C15" s="93">
        <f>C10+C11+C12+C13+C14</f>
        <v/>
      </c>
      <c r="D15" s="93">
        <f>D10+D11+D12+D13+D14</f>
        <v/>
      </c>
      <c r="E15" s="93">
        <f>E10+E11+E12+E13+E14</f>
        <v/>
      </c>
      <c r="F15" s="93">
        <f>F10+F11+F12+F13+F14</f>
        <v/>
      </c>
      <c r="G15" s="93">
        <f>G10+G11+G12+G13+G14</f>
        <v/>
      </c>
      <c r="H15" s="93">
        <f>H10+H11+H12+H13+H14</f>
        <v/>
      </c>
      <c r="I15" s="93">
        <f>I10+I11+I12+I13+I14</f>
        <v/>
      </c>
      <c r="J15" s="93">
        <f>J10+J11+J12+J13+J14</f>
        <v/>
      </c>
      <c r="K15" s="93">
        <f>K10+K11+K12+K13+K14</f>
        <v/>
      </c>
      <c r="L15" s="93">
        <f>L10+L11+L12+L13+L14</f>
        <v/>
      </c>
      <c r="M15" s="93">
        <f>M10+M11+M12+M13+M14</f>
        <v/>
      </c>
      <c r="N15" s="93">
        <f>N10+N11+N12+N13+N14</f>
        <v/>
      </c>
      <c r="O15" s="100">
        <f>SUM(C15:N15)</f>
        <v/>
      </c>
    </row>
    <row r="17">
      <c r="B17" s="56">
        <f> FLUXO DE CAIXA DO MÊS</f>
        <v/>
      </c>
      <c r="C17" s="85">
        <f>C8-C15</f>
        <v/>
      </c>
      <c r="D17" s="85">
        <f>D8-D15</f>
        <v/>
      </c>
      <c r="E17" s="85">
        <f>E8-E15</f>
        <v/>
      </c>
      <c r="F17" s="85">
        <f>F8-F15</f>
        <v/>
      </c>
      <c r="G17" s="85">
        <f>G8-G15</f>
        <v/>
      </c>
      <c r="H17" s="85">
        <f>H8-H15</f>
        <v/>
      </c>
      <c r="I17" s="85">
        <f>I8-I15</f>
        <v/>
      </c>
      <c r="J17" s="85">
        <f>J8-J15</f>
        <v/>
      </c>
      <c r="K17" s="85">
        <f>K8-K15</f>
        <v/>
      </c>
      <c r="L17" s="85">
        <f>L8-L15</f>
        <v/>
      </c>
      <c r="M17" s="85">
        <f>M8-M15</f>
        <v/>
      </c>
      <c r="N17" s="85">
        <f>N8-N15</f>
        <v/>
      </c>
      <c r="O17" s="101">
        <f>SUM(C17:N17)</f>
        <v/>
      </c>
    </row>
    <row r="18">
      <c r="B18" s="96" t="inlineStr">
        <is>
          <t>(+) Caixa inicial (reserva)</t>
        </is>
      </c>
      <c r="C18" s="74" t="n">
        <v>50000</v>
      </c>
      <c r="D18" s="12">
        <f>C19</f>
        <v/>
      </c>
      <c r="E18" s="12">
        <f>D19</f>
        <v/>
      </c>
      <c r="F18" s="12">
        <f>E19</f>
        <v/>
      </c>
      <c r="G18" s="12">
        <f>F19</f>
        <v/>
      </c>
      <c r="H18" s="12">
        <f>G19</f>
        <v/>
      </c>
      <c r="I18" s="12">
        <f>H19</f>
        <v/>
      </c>
      <c r="J18" s="12">
        <f>I19</f>
        <v/>
      </c>
      <c r="K18" s="12">
        <f>J19</f>
        <v/>
      </c>
      <c r="L18" s="12">
        <f>K19</f>
        <v/>
      </c>
      <c r="M18" s="12">
        <f>L19</f>
        <v/>
      </c>
      <c r="N18" s="12">
        <f>M19</f>
        <v/>
      </c>
    </row>
    <row r="19">
      <c r="B19" s="4">
        <f> CAIXA FINAL ACUMULADO</f>
        <v/>
      </c>
      <c r="C19" s="86">
        <f>C18+C17</f>
        <v/>
      </c>
      <c r="D19" s="86">
        <f>D18+D17</f>
        <v/>
      </c>
      <c r="E19" s="86">
        <f>E18+E17</f>
        <v/>
      </c>
      <c r="F19" s="86">
        <f>F18+F17</f>
        <v/>
      </c>
      <c r="G19" s="86">
        <f>G18+G17</f>
        <v/>
      </c>
      <c r="H19" s="86">
        <f>H18+H17</f>
        <v/>
      </c>
      <c r="I19" s="86">
        <f>I18+I17</f>
        <v/>
      </c>
      <c r="J19" s="86">
        <f>J18+J17</f>
        <v/>
      </c>
      <c r="K19" s="86">
        <f>K18+K17</f>
        <v/>
      </c>
      <c r="L19" s="86">
        <f>L18+L17</f>
        <v/>
      </c>
      <c r="M19" s="86">
        <f>M18+M17</f>
        <v/>
      </c>
      <c r="N19" s="86">
        <f>N18+N17</f>
        <v/>
      </c>
      <c r="O19" s="86">
        <f>N19</f>
        <v/>
      </c>
    </row>
    <row r="21" ht="50" customHeight="1">
      <c r="B21" s="15" t="inlineStr">
        <is>
          <t>⚠️ Premissa de fluxo: 60% PIX/à vista | 30% em até 3x | 10% em 6x+. Modelo simplificado — não considera antecipação de recebíveis. Capital de giro inicial: R$ 50.000 (recomendação CFO; ajustar em B41 se mudar). Risco do parcelado: descasamento receita reconhecida vs caixa pode chegar a 60-90 dias.</t>
        </is>
      </c>
    </row>
  </sheetData>
  <mergeCells count="2">
    <mergeCell ref="A1:P1"/>
    <mergeCell ref="B21:O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38" customWidth="1" min="4" max="4"/>
    <col width="3" customWidth="1" min="5" max="5"/>
  </cols>
  <sheetData>
    <row r="1" ht="28" customHeight="1">
      <c r="A1" s="1" t="inlineStr">
        <is>
          <t>PONTO DE EQUILÍBRIO — FATURAMENTO MÍNIMO MENSAL</t>
        </is>
      </c>
    </row>
    <row r="3" ht="22" customHeight="1">
      <c r="A3" s="3" t="inlineStr">
        <is>
          <t>FÓRMULA E CÁLCULO</t>
        </is>
      </c>
    </row>
    <row r="4">
      <c r="B4" s="6" t="inlineStr">
        <is>
          <t>Componente</t>
        </is>
      </c>
      <c r="C4" s="6" t="inlineStr">
        <is>
          <t>Valor</t>
        </is>
      </c>
      <c r="D4" s="6" t="inlineStr">
        <is>
          <t>Origem</t>
        </is>
      </c>
    </row>
    <row r="5" ht="22" customHeight="1">
      <c r="B5" s="28" t="inlineStr">
        <is>
          <t>Custo fixo total mensal (com pró-labore + INSS)</t>
        </is>
      </c>
      <c r="C5" s="10">
        <f>'2. Premissas'!C63</f>
        <v/>
      </c>
      <c r="D5" s="39" t="inlineStr">
        <is>
          <t>Soma da aba 2 — premissas</t>
        </is>
      </c>
    </row>
    <row r="6" ht="22" customHeight="1">
      <c r="B6" s="28" t="inlineStr">
        <is>
          <t>Imposto Simples</t>
        </is>
      </c>
      <c r="C6" s="11">
        <f>'2. Premissas'!C31</f>
        <v/>
      </c>
      <c r="D6" s="39" t="inlineStr">
        <is>
          <t>Premissa editável</t>
        </is>
      </c>
    </row>
    <row r="7" ht="22" customHeight="1">
      <c r="B7" s="28" t="inlineStr">
        <is>
          <t>Taxa cartão média</t>
        </is>
      </c>
      <c r="C7" s="11">
        <f>'2. Premissas'!C69</f>
        <v/>
      </c>
      <c r="D7" s="39" t="inlineStr">
        <is>
          <t>Média ponderada</t>
        </is>
      </c>
    </row>
    <row r="8" ht="22" customHeight="1">
      <c r="B8" s="28" t="inlineStr">
        <is>
          <t>Inadimplência</t>
        </is>
      </c>
      <c r="C8" s="11">
        <f>'2. Premissas'!C38</f>
        <v/>
      </c>
      <c r="D8" s="39" t="inlineStr">
        <is>
          <t>PCLD 4%</t>
        </is>
      </c>
    </row>
    <row r="9" ht="22" customHeight="1">
      <c r="B9" s="28" t="inlineStr">
        <is>
          <t>Deduções variáveis totais (impostos + taxa + inad)</t>
        </is>
      </c>
      <c r="C9" s="11">
        <f>'2. Premissas'!C70</f>
        <v/>
      </c>
      <c r="D9" s="39" t="inlineStr">
        <is>
          <t>Soma das 3 deduções</t>
        </is>
      </c>
    </row>
    <row r="10" ht="22" customHeight="1">
      <c r="B10" s="28" t="inlineStr">
        <is>
          <t>Margem de contribuição efetiva</t>
        </is>
      </c>
      <c r="C10" s="11">
        <f>1-'2. Premissas'!C70</f>
        <v/>
      </c>
      <c r="D10" s="39">
        <f> 1 - deduções</f>
        <v/>
      </c>
    </row>
    <row r="12" ht="28" customHeight="1">
      <c r="B12" s="47" t="inlineStr">
        <is>
          <t>🎯 PONTO DE EQUILÍBRIO MENSAL (R$)</t>
        </is>
      </c>
      <c r="C12" s="102">
        <f>'2. Premissas'!C63/(1-'2. Premissas'!C70)</f>
        <v/>
      </c>
      <c r="D12" s="64" t="inlineStr">
        <is>
          <t>PE = CF / (1 - deduções variáveis)</t>
        </is>
      </c>
    </row>
    <row r="13">
      <c r="B13" s="28" t="inlineStr">
        <is>
          <t>Ponto de equilíbrio ANUAL</t>
        </is>
      </c>
      <c r="C13" s="10">
        <f>C12*12</f>
        <v/>
      </c>
    </row>
    <row r="14">
      <c r="B14" s="28" t="inlineStr">
        <is>
          <t>Margem de segurança recomendada (+30%)</t>
        </is>
      </c>
      <c r="C14" s="21">
        <f>C12*1.3</f>
        <v/>
      </c>
      <c r="D14" s="64" t="inlineStr">
        <is>
          <t>Patamar saudável de operação</t>
        </is>
      </c>
    </row>
    <row r="16" ht="22" customHeight="1">
      <c r="A16" s="3" t="inlineStr">
        <is>
          <t>COMBINAÇÕES PARA ATINGIR O PE (exemplos)</t>
        </is>
      </c>
    </row>
    <row r="17">
      <c r="B17" s="6" t="inlineStr">
        <is>
          <t>Combinação</t>
        </is>
      </c>
      <c r="C17" s="6" t="inlineStr">
        <is>
          <t>Receita projetada</t>
        </is>
      </c>
      <c r="D17" s="6" t="inlineStr">
        <is>
          <t>Atinge PE?</t>
        </is>
      </c>
    </row>
    <row r="18">
      <c r="B18" s="96" t="inlineStr">
        <is>
          <t>4 projetos Pro/mês (R$ 4.990 × 4)</t>
        </is>
      </c>
      <c r="C18" s="12">
        <f>4990*4</f>
        <v/>
      </c>
      <c r="D18" s="51">
        <f>IF(C18&gt;=$C$12,"✅ Sim","❌ Não")</f>
        <v/>
      </c>
    </row>
    <row r="19">
      <c r="B19" s="96" t="inlineStr">
        <is>
          <t>3 Start + 1 Pro/mês</t>
        </is>
      </c>
      <c r="C19" s="12">
        <f>2490*3+4990</f>
        <v/>
      </c>
      <c r="D19" s="51">
        <f>IF(C19&gt;=$C$12,"✅ Sim","❌ Não")</f>
        <v/>
      </c>
    </row>
    <row r="20">
      <c r="B20" s="96" t="inlineStr">
        <is>
          <t>2 Pro + 1 Premium</t>
        </is>
      </c>
      <c r="C20" s="12">
        <f>4990*2+8900</f>
        <v/>
      </c>
      <c r="D20" s="51">
        <f>IF(C20&gt;=$C$12,"✅ Sim","❌ Não")</f>
        <v/>
      </c>
    </row>
    <row r="21">
      <c r="B21" s="96" t="inlineStr">
        <is>
          <t>10 contratos Suporte Pro (MRR)</t>
        </is>
      </c>
      <c r="C21" s="12">
        <f>990*10</f>
        <v/>
      </c>
      <c r="D21" s="51">
        <f>IF(C21&gt;=$C$12,"✅ Sim","❌ Não")</f>
        <v/>
      </c>
    </row>
    <row r="22">
      <c r="B22" s="96" t="inlineStr">
        <is>
          <t>8 contratos Suporte Pro + 1 Start</t>
        </is>
      </c>
      <c r="C22" s="12">
        <f>990*8+2490</f>
        <v/>
      </c>
      <c r="D22" s="51">
        <f>IF(C22&gt;=$C$12,"✅ Sim","❌ Não")</f>
        <v/>
      </c>
    </row>
    <row r="23">
      <c r="B23" s="96" t="inlineStr">
        <is>
          <t>2 Start + 1 Pro + 5 Suporte Pro (MIX REALISTA)</t>
        </is>
      </c>
      <c r="C23" s="12">
        <f>2490*2+4990+990*5</f>
        <v/>
      </c>
      <c r="D23" s="51">
        <f>IF(C23&gt;=$C$12,"✅ Sim","❌ Não")</f>
        <v/>
      </c>
    </row>
    <row r="24">
      <c r="B24" s="96" t="inlineStr">
        <is>
          <t>1 Premium + 8 Suporte Pro</t>
        </is>
      </c>
      <c r="C24" s="12">
        <f>8900+990*8</f>
        <v/>
      </c>
      <c r="D24" s="51">
        <f>IF(C24&gt;=$C$12,"✅ Sim","❌ Não")</f>
        <v/>
      </c>
    </row>
    <row r="26" ht="44" customHeight="1">
      <c r="B26" s="15" t="inlineStr">
        <is>
          <t>💡 PE em horas faturáveis: dividir o PE pela hora de venda recomendada (R$ 89-118/h) — equivale a ~140-180h/mês. Isso representa 40-50% da capacidade produtiva total. Operar a partir de R$ 25.000/mês oferece margem de segurança confortável.</t>
        </is>
      </c>
    </row>
  </sheetData>
  <mergeCells count="4">
    <mergeCell ref="A16:E16"/>
    <mergeCell ref="A1:E1"/>
    <mergeCell ref="B26:D26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0" customWidth="1" min="3" max="3"/>
    <col width="20" customWidth="1" min="4" max="4"/>
    <col width="40" customWidth="1" min="5" max="5"/>
    <col width="3" customWidth="1" min="6" max="6"/>
  </cols>
  <sheetData>
    <row r="1" ht="28" customHeight="1">
      <c r="A1" s="1" t="inlineStr">
        <is>
          <t>INDICADORES ESTRATÉGICOS (KPIs)</t>
        </is>
      </c>
    </row>
    <row r="2">
      <c r="B2" s="2" t="inlineStr">
        <is>
          <t>Dashboard de acompanhamento mensal — use as fórmulas como referência</t>
        </is>
      </c>
    </row>
    <row r="4" ht="22" customHeight="1">
      <c r="A4" s="3" t="inlineStr">
        <is>
          <t>INDICADORES OPERACIONAIS E FINANCEIROS</t>
        </is>
      </c>
    </row>
    <row r="5">
      <c r="B5" s="6" t="inlineStr">
        <is>
          <t>Indicador</t>
        </is>
      </c>
      <c r="C5" s="6" t="inlineStr">
        <is>
          <t>Fórmula</t>
        </is>
      </c>
      <c r="D5" s="6" t="inlineStr">
        <is>
          <t>Meta</t>
        </is>
      </c>
      <c r="E5" s="6" t="inlineStr">
        <is>
          <t>Como medir / Observação</t>
        </is>
      </c>
    </row>
    <row r="6" ht="32" customHeight="1">
      <c r="A6" s="37" t="n"/>
      <c r="B6" s="103" t="inlineStr">
        <is>
          <t>Ticket médio Projeto 48h</t>
        </is>
      </c>
      <c r="C6" s="75" t="inlineStr">
        <is>
          <t>Receita 48h / qtd projetos</t>
        </is>
      </c>
      <c r="D6" s="104" t="inlineStr">
        <is>
          <t>R$ 4.500-5.500</t>
        </is>
      </c>
      <c r="E6" s="39" t="inlineStr">
        <is>
          <t>Mix Start/Pro/Premium influencia</t>
        </is>
      </c>
    </row>
    <row r="7" ht="32" customHeight="1">
      <c r="A7" s="37" t="n"/>
      <c r="B7" s="103" t="inlineStr">
        <is>
          <t>MRR (Monthly Recurring Revenue)</t>
        </is>
      </c>
      <c r="C7" s="75" t="inlineStr">
        <is>
          <t>Soma das mensalidades ativas no mês</t>
        </is>
      </c>
      <c r="D7" s="104" t="inlineStr">
        <is>
          <t>R$ 25.000 até mês 12</t>
        </is>
      </c>
      <c r="E7" s="39" t="inlineStr">
        <is>
          <t>Coração do negócio — KR principal do OKR2</t>
        </is>
      </c>
    </row>
    <row r="8" ht="32" customHeight="1">
      <c r="A8" s="37" t="n"/>
      <c r="B8" s="103" t="inlineStr">
        <is>
          <t>ARR (Annual Recurring Revenue)</t>
        </is>
      </c>
      <c r="C8" s="75" t="inlineStr">
        <is>
          <t>MRR × 12</t>
        </is>
      </c>
      <c r="D8" s="104" t="inlineStr">
        <is>
          <t>R$ 300.000 até mês 12</t>
        </is>
      </c>
      <c r="E8" s="39" t="inlineStr">
        <is>
          <t>Para avaliação do negócio</t>
        </is>
      </c>
    </row>
    <row r="9" ht="32" customHeight="1">
      <c r="A9" s="37" t="n"/>
      <c r="B9" s="103" t="inlineStr">
        <is>
          <t>CAC (Custo de Aquisição de Cliente)</t>
        </is>
      </c>
      <c r="C9" s="75" t="inlineStr">
        <is>
          <t>Marketing total / clientes novos</t>
        </is>
      </c>
      <c r="D9" s="104" t="inlineStr">
        <is>
          <t>&lt; R$ 800</t>
        </is>
      </c>
      <c r="E9" s="39" t="inlineStr">
        <is>
          <t>Payback &lt; 3 meses</t>
        </is>
      </c>
    </row>
    <row r="10" ht="32" customHeight="1">
      <c r="A10" s="37" t="n"/>
      <c r="B10" s="103" t="inlineStr">
        <is>
          <t>LTV (Lifetime Value)</t>
        </is>
      </c>
      <c r="C10" s="75" t="inlineStr">
        <is>
          <t>Ticket × meses de retenção × margem</t>
        </is>
      </c>
      <c r="D10" s="104" t="inlineStr">
        <is>
          <t>&gt; R$ 5.000</t>
        </is>
      </c>
      <c r="E10" s="39" t="inlineStr">
        <is>
          <t>LTV/CAC ratio &gt; 5</t>
        </is>
      </c>
    </row>
    <row r="11" ht="32" customHeight="1">
      <c r="A11" s="37" t="n"/>
      <c r="B11" s="103" t="inlineStr">
        <is>
          <t>Churn mensal</t>
        </is>
      </c>
      <c r="C11" s="75" t="inlineStr">
        <is>
          <t>Cancelamentos / base ativa</t>
        </is>
      </c>
      <c r="D11" s="104" t="inlineStr">
        <is>
          <t>&lt; 4%</t>
        </is>
      </c>
      <c r="E11" s="39" t="inlineStr">
        <is>
          <t>Crítico para MRR sustentável</t>
        </is>
      </c>
    </row>
    <row r="12" ht="32" customHeight="1">
      <c r="A12" s="37" t="n"/>
      <c r="B12" s="103" t="inlineStr">
        <is>
          <t>Conversão Projeto → Suporte mensal</t>
        </is>
      </c>
      <c r="C12" s="75" t="inlineStr">
        <is>
          <t>Clientes em suporte / clientes total</t>
        </is>
      </c>
      <c r="D12" s="104" t="inlineStr">
        <is>
          <t>60% em 12m | 65% em 24m</t>
        </is>
      </c>
      <c r="E12" s="39" t="inlineStr">
        <is>
          <t>Mecânicas: bundle, revisão D+30/D+60</t>
        </is>
      </c>
    </row>
    <row r="13" ht="32" customHeight="1">
      <c r="A13" s="37" t="n"/>
      <c r="B13" s="103" t="inlineStr">
        <is>
          <t>Capacidade ocupada</t>
        </is>
      </c>
      <c r="C13" s="75" t="inlineStr">
        <is>
          <t>Horas faturáveis / horas alvo</t>
        </is>
      </c>
      <c r="D13" s="104" t="inlineStr">
        <is>
          <t>≤ 80%</t>
        </is>
      </c>
      <c r="E13" s="39" t="inlineStr">
        <is>
          <t>Gatilho de contratação &gt; 85% por 2 meses</t>
        </is>
      </c>
    </row>
    <row r="14" ht="32" customHeight="1">
      <c r="A14" s="37" t="n"/>
      <c r="B14" s="103" t="inlineStr">
        <is>
          <t>Receita por sócio</t>
        </is>
      </c>
      <c r="C14" s="75" t="inlineStr">
        <is>
          <t>Receita total / 2 sócios</t>
        </is>
      </c>
      <c r="D14" s="104" t="inlineStr">
        <is>
          <t>R$ 15-20k mês 12 (realista)</t>
        </is>
      </c>
      <c r="E14" s="39" t="inlineStr">
        <is>
          <t>Métrica de saúde individual</t>
        </is>
      </c>
    </row>
    <row r="15" ht="32" customHeight="1">
      <c r="A15" s="37" t="n"/>
      <c r="B15" s="103" t="inlineStr">
        <is>
          <t>Receita por hora produtiva</t>
        </is>
      </c>
      <c r="C15" s="75" t="inlineStr">
        <is>
          <t>Receita / horas produtivas</t>
        </is>
      </c>
      <c r="D15" s="104" t="inlineStr">
        <is>
          <t>R$ 110-150/h</t>
        </is>
      </c>
      <c r="E15" s="39" t="inlineStr">
        <is>
          <t>Indica eficiência de monetização</t>
        </is>
      </c>
    </row>
    <row r="16" ht="32" customHeight="1">
      <c r="A16" s="37" t="n"/>
      <c r="B16" s="103" t="inlineStr">
        <is>
          <t>Margem por linha de serviço</t>
        </is>
      </c>
      <c r="C16" s="75" t="inlineStr">
        <is>
          <t>Lucro linha / Receita linha</t>
        </is>
      </c>
      <c r="D16" s="104" t="inlineStr">
        <is>
          <t>48h: 40% | Suporte: 50% | Parceria: ~95%</t>
        </is>
      </c>
      <c r="E16" s="39" t="inlineStr">
        <is>
          <t>Identifica linhas a expandir</t>
        </is>
      </c>
    </row>
    <row r="17" ht="32" customHeight="1">
      <c r="A17" s="37" t="n"/>
      <c r="B17" s="103" t="inlineStr">
        <is>
          <t>Taxa de retrabalho</t>
        </is>
      </c>
      <c r="C17" s="75" t="inlineStr">
        <is>
          <t>Horas extras não faturadas / horas total</t>
        </is>
      </c>
      <c r="D17" s="104" t="inlineStr">
        <is>
          <t>&lt; 10%</t>
        </is>
      </c>
      <c r="E17" s="39" t="inlineStr">
        <is>
          <t>Sinal de aceite/escopo ambíguo</t>
        </is>
      </c>
    </row>
    <row r="18" ht="32" customHeight="1">
      <c r="A18" s="37" t="n"/>
      <c r="B18" s="103" t="inlineStr">
        <is>
          <t>% receita recorrente</t>
        </is>
      </c>
      <c r="C18" s="75" t="inlineStr">
        <is>
          <t>(Suporte + Parceria) / Receita total</t>
        </is>
      </c>
      <c r="D18" s="104" t="inlineStr">
        <is>
          <t>30% em 12m | 50% em 24m</t>
        </is>
      </c>
      <c r="E18" s="39" t="inlineStr">
        <is>
          <t>Métrica de previsibilidade</t>
        </is>
      </c>
    </row>
    <row r="19" ht="32" customHeight="1">
      <c r="A19" s="37" t="n"/>
      <c r="B19" s="103" t="inlineStr">
        <is>
          <t>% receita projetos avulsos</t>
        </is>
      </c>
      <c r="C19" s="75" t="inlineStr">
        <is>
          <t>(48h + Personalizados) / Receita</t>
        </is>
      </c>
      <c r="D19" s="104" t="inlineStr">
        <is>
          <t>70% em 12m | 50% em 24m</t>
        </is>
      </c>
      <c r="E19" s="39" t="inlineStr">
        <is>
          <t>Complemento do anterior</t>
        </is>
      </c>
    </row>
    <row r="20" ht="32" customHeight="1">
      <c r="A20" s="37" t="n"/>
      <c r="B20" s="103" t="inlineStr">
        <is>
          <t>NPS pós-projeto</t>
        </is>
      </c>
      <c r="C20" s="75" t="inlineStr">
        <is>
          <t>Pesquisa após handover</t>
        </is>
      </c>
      <c r="D20" s="104" t="inlineStr">
        <is>
          <t>&gt; 8</t>
        </is>
      </c>
      <c r="E20" s="39" t="inlineStr">
        <is>
          <t>Trigger de upsell para suporte</t>
        </is>
      </c>
    </row>
    <row r="21" ht="32" customHeight="1">
      <c r="A21" s="37" t="n"/>
      <c r="B21" s="103" t="inlineStr">
        <is>
          <t>Tempo médio de entrega (real vs prometido)</t>
        </is>
      </c>
      <c r="C21" s="75" t="inlineStr">
        <is>
          <t>Dias entrega / dias prometidos</t>
        </is>
      </c>
      <c r="D21" s="104" t="inlineStr">
        <is>
          <t>≤ 1,2× (atraso &lt; 20%)</t>
        </is>
      </c>
      <c r="E21" s="39" t="inlineStr">
        <is>
          <t>Sinal de overbooking</t>
        </is>
      </c>
    </row>
    <row r="22" ht="32" customHeight="1">
      <c r="A22" s="37" t="n"/>
      <c r="B22" s="103" t="inlineStr">
        <is>
          <t>Fator R (folha / receita)</t>
        </is>
      </c>
      <c r="C22" s="75" t="inlineStr">
        <is>
          <t>Pró-labore × 12 / RBT12</t>
        </is>
      </c>
      <c r="D22" s="104" t="inlineStr">
        <is>
          <t>≥ 28% (Anexo III)</t>
        </is>
      </c>
      <c r="E22" s="39" t="inlineStr">
        <is>
          <t>Crítico fiscal — Resolução CGSN 140/18</t>
        </is>
      </c>
    </row>
  </sheetData>
  <mergeCells count="2">
    <mergeCell ref="A1:F1"/>
    <mergeCell ref="A4:F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80" customWidth="1" min="3" max="3"/>
    <col width="3" customWidth="1" min="4" max="4"/>
  </cols>
  <sheetData>
    <row r="1" ht="28" customHeight="1">
      <c r="A1" s="1" t="inlineStr">
        <is>
          <t>ANÁLISE DOS AGENTES ESPECIALISTAS DO SQUAD</t>
        </is>
      </c>
    </row>
    <row r="2">
      <c r="B2" s="2" t="inlineStr">
        <is>
          <t>Cada especialista do squad avalia o plano sob sua ótica. Síntese das análises detalhadas.</t>
        </is>
      </c>
    </row>
    <row r="4" ht="26" customHeight="1">
      <c r="B4" s="105" t="inlineStr">
        <is>
          <t>🧮 AGENTE CONTÁBIL</t>
        </is>
      </c>
    </row>
    <row r="5" ht="32" customHeight="1">
      <c r="B5" s="106" t="inlineStr">
        <is>
          <t>Parecer: VIÁVEL com Anexo III ativo. Pró-labore R$ 8k calibrado para Fator R ≥ 28%. Premissa de 12% imposto é CONSERVADORA — efetivo real é 6-8,4% até R$ 30k/mês.</t>
        </is>
      </c>
    </row>
    <row r="6" ht="84" customHeight="1">
      <c r="B6" s="103" t="inlineStr">
        <is>
          <t>Imposto de 12% é suficiente?</t>
        </is>
      </c>
      <c r="C6" s="37" t="inlineStr">
        <is>
          <t>Conservadora demais para a fase inicial. Anexo III com Fator R ≥ 28%: efetivo de 6% até R$ 180k/ano e 8,4% até R$ 360k/ano. A premissa de 12% só se torna realista quando o faturamento ultrapassa R$ 33k/mês. Acima de R$ 28,5k/mês com pró-labore R$ 8k, o Fator R cai abaixo de 28% e a empresa pode despencar para o Anexo V (15,5%) — RISCO CRÍTICO a monitorar mensalmente.</t>
        </is>
      </c>
    </row>
    <row r="7" ht="56" customHeight="1">
      <c r="B7" s="103" t="inlineStr">
        <is>
          <t>Como pró-labore impacta o PE?</t>
        </is>
      </c>
      <c r="C7" s="37" t="inlineStr">
        <is>
          <t>Pró-labore + INSS = R$ 8.880 mensais = 70% dos custos fixos. PE com R$ 8k pró-labore ≈ R$ 16-19k/mês. Se reduzido para R$ 6k (escalonado), PE cai para ~R$ 14k. Recomendação CFO: pró-labore progressivo nos 6 primeiros meses.</t>
        </is>
      </c>
    </row>
    <row r="8" ht="56" customHeight="1">
      <c r="B8" s="103" t="inlineStr">
        <is>
          <t>Estrutura de custos adequada?</t>
        </is>
      </c>
      <c r="C8" s="37" t="inlineStr">
        <is>
          <t>Razoável, com lacunas: faltam previsões de (a) provisão 13º pró-labore + férias proporcionais (CPC 25); (b) certificado digital A1 anual; (c) contingência fiscal 1-2% receita; (d) ISS antecipado em municípios de SP/RJ/BH; (e) provisão cancelamentos 1-3%. Lista completa inserida na aba 4.</t>
        </is>
      </c>
    </row>
    <row r="9" ht="70" customHeight="1">
      <c r="B9" s="103" t="inlineStr">
        <is>
          <t>DRE está coerente?</t>
        </is>
      </c>
      <c r="C9" s="37" t="inlineStr">
        <is>
          <t>Estrutura conforme CPC 26 (R1). Atenção a: (a) receita de exportação Shopify entra com isenção de ISS (art. 18 §14 LC 123/06) — segregar; (b) registrar pró-labore como despesa, não distribuição; (c) manter escrituração completa para distribuição isenta acima do limite presumido (art. 145 Res CGSN 140/18).</t>
        </is>
      </c>
    </row>
    <row r="10" ht="98" customHeight="1">
      <c r="B10" s="103" t="inlineStr">
        <is>
          <t>Riscos contábeis/fiscais</t>
        </is>
      </c>
      <c r="C10" s="37" t="inlineStr">
        <is>
          <t>1) Desenquadramento Anexo III → V se Fator R cair: +9% de imposto = R$ 2.700/mês a +. 2) Distribuição de lucros acima do limite presumido sem escrituração completa = tributável (Lei 9.249/95). 3) Sócio com participação &gt;10% em outra empresa cuja receita global ultrapasse R$ 4,8 mi/ano = desenquadramento. 4) NFS-e nacional obrigatória desde 2023 — precisa de certificado e credenciamento.</t>
        </is>
      </c>
    </row>
    <row r="11" ht="70" customHeight="1">
      <c r="B11" s="103" t="inlineStr">
        <is>
          <t>Contador especializado é necessário?</t>
        </is>
      </c>
      <c r="C11" s="37" t="inlineStr">
        <is>
          <t>SIM. Honorário R$ 700-1.200/mês para escritório com experiência em TI/agência (vs R$ 195 Contabilizei online). Justifica-se por: gestão mensal do Fator R, segregação de receita de exportação, limite de distribuição isenta, eSocial sócios, NFS-e.</t>
        </is>
      </c>
    </row>
    <row r="12" ht="56" customHeight="1">
      <c r="B12" s="103" t="inlineStr">
        <is>
          <t>5 ações OBRIGATÓRIAS antes do 1º faturamento</t>
        </is>
      </c>
      <c r="C12" s="37" t="inlineStr">
        <is>
          <t>1) Registrar LTDA na Junta com CNAEs corretos (6201-5/01 principal + 6202-3/00 + 6209-1/00 + 7319-0/04 + 6311-9/00); 2) Optar pelo Simples até 30 dias após CNPJ; 3) Emitir Certificado A1 + credenciar NFS-e; 4) Estruturar plano de contas + contratar contador especializado; 5) Cadastrar pró-labore no eSocial + formalizar acordo de sócios.</t>
        </is>
      </c>
    </row>
    <row r="14" ht="26" customHeight="1">
      <c r="B14" s="107" t="inlineStr">
        <is>
          <t>⚖️ AGENTE JURÍDICO</t>
        </is>
      </c>
    </row>
    <row r="15" ht="32" customHeight="1">
      <c r="B15" s="106" t="inlineStr">
        <is>
          <t>Parecer: VIÁVEL com cláusulas e estrutura adequadas. SEM Política do Projeto 48h + contrato dual-track + LGPD = NÃO LANÇAR. Risco real de processo no PROCON.</t>
        </is>
      </c>
    </row>
    <row r="16" ht="84" customHeight="1">
      <c r="B16" s="103" t="inlineStr">
        <is>
          <t>Riscos da promessa '48 horas'</t>
        </is>
      </c>
      <c r="C16" s="37" t="inlineStr">
        <is>
          <t>Oferta vinculante (CDC art. 30). Atraso = publicidade enganosa (art. 37 §1º) + direito de cumprimento forçado/rescisão+perdas (art. 35). Cliente B2B (PME) que usa loja como insumo → CC; MEI/PF → CDC. Necessário CONTRATO DUAL-TRACK (B2B + B2C/CDC) + Política Pública obrigatória.</t>
        </is>
      </c>
    </row>
    <row r="17" ht="140" customHeight="1">
      <c r="B17" s="103" t="inlineStr">
        <is>
          <t>Contrato — cláusulas obrigatórias</t>
        </is>
      </c>
      <c r="C17" s="37" t="inlineStr">
        <is>
          <t>1) Escopo TAXATIVO (art. 114 CC); 2) Cláusula 'Marco Zero' do prazo (pagamento + briefing + assets + aceite Política); 3) Cláusula de suspensão; 4) Aceite + DoD com silêncio = anuência (art. 111 CC, 5 du); 5) Política de revisões (2 incluídas, excedente faturado); 6) Change Request escrito; 7) Mora 1% a.m. + multa 2% + cláusula penal art. 408/411/412 CC (cap 10% do projeto); 8) Cancelamento + taxa mobilização não reembolsável (20-30%); 9) Limitação de responsabilidade = valor pago; 10) Garantia: B2C 90 dias (CDC art. 26 II), B2B 30/90 (CC 445); 11) Confidencialidade mútua; 12) PI: cliente recebe arte final; Impulso retém templates/boilerplate; 13) LGPD: papel + DPA + sub-operadores; 14) Isenção plataformas/integrações de terceiros.</t>
        </is>
      </c>
    </row>
    <row r="18" ht="98" customHeight="1">
      <c r="B18" s="103" t="inlineStr">
        <is>
          <t>Tipo societário</t>
        </is>
      </c>
      <c r="C18" s="37" t="inlineStr">
        <is>
          <t>LTDA (CC arts. 1.052-1.087). Contrato Social com: quotas (não 50/50 puro), administração, pró-labore, distribuição (pode ser desproporcional — art. 1.007), Acordo de Sócios apartado (vesting/cliff/não-competição/buy-sell/arbitragem), CNAEs corretos. CNAE principal 6201-5/01.</t>
        </is>
      </c>
    </row>
    <row r="19" ht="98" customHeight="1">
      <c r="B19" s="103" t="inlineStr">
        <is>
          <t>LGPD</t>
        </is>
      </c>
      <c r="C19" s="37" t="inlineStr">
        <is>
          <t>Papel da Impulso geralmente = OPERADORA (art. 39); pode ser CO-CONTROLADORA em tráfego pago/segmentação. DPA obrigatório. Medidas de segurança (arts. 46-49). Sub-operadores (Shopify/Meta/Google) com cláusula back-to-back. Comunicação de incidentes à ANPD (art. 48). Multa: até 2% do faturamento (cap R$ 50 mi).</t>
        </is>
      </c>
    </row>
    <row r="20" ht="112" customHeight="1">
      <c r="B20" s="103" t="inlineStr">
        <is>
          <t>Parceria plataformas (Shopify Partners)</t>
        </is>
      </c>
      <c r="C20" s="37" t="inlineStr">
        <is>
          <t>Comissão = intermediação (LC 116/03 item 10.02 ou 17.12). Para plataforma estrangeira (Shopify Inc.): EXPORTAÇÃO de serviço → ISS isento (art. 2º I LC 116/03), PIS/COFINS alíquota zero. NÃO confundir com IRRF/CIDE/PIS-COFINS-Importação (esses incidem na remessa AO exterior, não no INGRESSO). Contrato de câmbio obrigatório (Lei 14.286/21).</t>
        </is>
      </c>
    </row>
    <row r="21" ht="84" customHeight="1">
      <c r="B21" s="103" t="inlineStr">
        <is>
          <t>Mídia paga — RISCO ALTO</t>
        </is>
      </c>
      <c r="C21" s="37" t="inlineStr">
        <is>
          <t>NUNCA receber verba de mídia em conta da Impulso → estouro Simples (art. 3º §14 LC 123/06), risco COAF (Lei 9.613/98), exposição cambial. CLIENTE PAGA DIRETO Meta/Google. Impulso cobra apenas FEE de gestão. Cláusula expressa de não-garantia de resultado (art. 39 IV CDC).</t>
        </is>
      </c>
    </row>
    <row r="22" ht="56" customHeight="1">
      <c r="B22" s="103" t="inlineStr">
        <is>
          <t>Top 5 riscos jurídicos</t>
        </is>
      </c>
      <c r="C22" s="37" t="inlineStr">
        <is>
          <t>1) Publicidade enganosa '48h' sem Política + gatilhos; 2) Receber verba de mídia em conta própria; 3) Ausência de DPA / papel LGPD indefinido; 4) Contrato social 50/50 sem buy/sell (paralisia → dissolução judicial art. 1.034); 5) IP não segregado (perda de ativo intangível).</t>
        </is>
      </c>
    </row>
    <row r="23" ht="56" customHeight="1">
      <c r="B23" s="103" t="inlineStr">
        <is>
          <t>7 ações OBRIGATÓRIAS antes da 1ª venda</t>
        </is>
      </c>
      <c r="C23" s="37" t="inlineStr">
        <is>
          <t>1) Registrar LTDA + CNAEs + Simples + IM/IE; 2) Acordo de Sócios (vesting/cliff/buy-sell/arbitragem); 3) Termos de Uso + Política Privacidade do site (LGPD + Marco Civil); 4) Política do Projeto 48 Horas com aceite eletrônico; 5) Contrato dual-track B2B/B2C + Termo Aceite + DPA; 6) Registrar marca IMPULSO no INPI (classes 35/41/42); 7) Seguro RC profissional (E&amp;O) + canal LGPD/DPO.</t>
        </is>
      </c>
    </row>
    <row r="25" ht="26" customHeight="1">
      <c r="B25" s="108" t="inlineStr">
        <is>
          <t>💰 AGENTE FINANCEIRO</t>
        </is>
      </c>
    </row>
    <row r="26" ht="32" customHeight="1">
      <c r="B26" s="106" t="inlineStr">
        <is>
          <t>Parecer: VIÁVEL no Realista (margem 24%, payback 9m). Insustentável no Pessimista. Pró-labore escalonado + foco em MRR são as alavancas-chave.</t>
        </is>
      </c>
    </row>
    <row r="27" ht="42" customHeight="1">
      <c r="B27" s="103" t="inlineStr">
        <is>
          <t>Viabilidade do modelo</t>
        </is>
      </c>
      <c r="C27" s="37" t="inlineStr">
        <is>
          <t>Realista: receita anual R$ 275k, margem 24%, lucro R$ 67k, payback ~9m. Otimista: R$ 427k, margem 44%, payback 4m. Pessimista: receita R$ 115k, prejuízo R$ 67k — INVIÁVEL sem aporte ou ajuste.</t>
        </is>
      </c>
    </row>
    <row r="28" ht="84" customHeight="1">
      <c r="B28" s="103" t="inlineStr">
        <is>
          <t>Preço mínimo sustentável</t>
        </is>
      </c>
      <c r="C28" s="37" t="inlineStr">
        <is>
          <t>Custo/h interno = R$ 34,72 (Custo Fixo Total R$ 12,5k ÷ 360h capacidade). Vender abaixo = prejuízo certo. Preço/h MÍNIMO R$ 58,85 (margem 20%); RECOMENDADO R$ 89,03 (margem 40%); PREMIUM R$ 144,68 (55%). Para alinhar com mercado real (freela R$ 150-400/h, agência R$ 200-600/h), trabalhar com 75% utilização real eleva preço/h recomendado para R$ 118.</t>
        </is>
      </c>
    </row>
    <row r="29" ht="98" customHeight="1">
      <c r="B29" s="103" t="inlineStr">
        <is>
          <t>Pacote 48h — preço recomendado</t>
        </is>
      </c>
      <c r="C29" s="37" t="inlineStr">
        <is>
          <t>Start 32h → R$ 1.781 mínimo / R$ 2.490 sugerido comercial. Pro 70h → R$ 3.561 mínimo / R$ 4.990. Premium 130h → R$ 6.232 mínimo / R$ 8.900. Ancoragem psicológica + colchão p/ desconto.</t>
        </is>
      </c>
    </row>
    <row r="30" ht="56" customHeight="1">
      <c r="B30" s="103" t="inlineStr">
        <is>
          <t>Mix de receita ideal</t>
        </is>
      </c>
      <c r="C30" s="37" t="inlineStr">
        <is>
          <t>12m: 55% projetos 48h | 20% personalizados | 15% MRR | 5% parceria | 5% tráfego. 24m: 40% / 20% / 25% / 8% / 7%. 36m: 30% / 20% / 30% / 10% / 10%. META: 50% recorrente em 36 meses.</t>
        </is>
      </c>
    </row>
    <row r="31" ht="70" customHeight="1">
      <c r="B31" s="103" t="inlineStr">
        <is>
          <t>Ponto de equilíbrio</t>
        </is>
      </c>
      <c r="C31" s="37" t="inlineStr">
        <is>
          <t>PE = R$ 12.500 / 0,79 = R$ 15.823/mês (com Simples 12% + taxa 5% + inad 4%). Margem de segurança recomendada: operar a partir de R$ 25.000/mês. Em horas: 178h/mês a R$ 89/h (49% da capacidade).</t>
        </is>
      </c>
    </row>
    <row r="32" ht="98" customHeight="1">
      <c r="B32" s="103" t="inlineStr">
        <is>
          <t>Capital de giro</t>
        </is>
      </c>
      <c r="C32" s="37" t="inlineStr">
        <is>
          <t>Burn rate mensal = R$ 12.500. Reserva mínima 3× = R$ 37.500. RECOMENDADA 6× = R$ 75.000. Conservadora 12× = R$ 150.000. Reserva inicial obrigatória ANTES do mês 1: **R$ 50.000** + linha de antecipação de recebíveis pré-aprovada.</t>
        </is>
      </c>
    </row>
    <row r="33" ht="70" customHeight="1">
      <c r="B33" s="103" t="inlineStr">
        <is>
          <t>Risco do parcelamento</t>
        </is>
      </c>
      <c r="C33" s="37" t="inlineStr">
        <is>
          <t>Vender Pro R$ 3.561 em 12x → recebe R$ 296,75/mês (não R$ 3.561 hoje). Se 50% das vendas parcelarem em 6x+, descasamento caixa de 60-90 dias. POLÍTICA: 5% off PIX/à vista; máx 3x sem juros; 6x+ com juros repassados; antecipação só se ROI &gt; custo.</t>
        </is>
      </c>
    </row>
    <row r="34" ht="84" customHeight="1">
      <c r="B34" s="103" t="inlineStr">
        <is>
          <t>Top 5 riscos financeiros + mitigação</t>
        </is>
      </c>
      <c r="C34" s="37" t="inlineStr">
        <is>
          <t>1) Pró-labore R$ 8k mês 1 inviável → ESCALONAR R$ 3k → R$ 3,5k → R$ 4k condicional a MRR &gt; R$ 10k. 2) Capacidade 360h é teto teórico — usar 270h faturáveis; freela a partir 70% util. 3) Concentração transacional → 5 contratos MRR/mês desde mês 1. 4) Inad B2B 4% + parcelado → política de pagamento agressiva. 5) Key-person (2 sócios) → seguro vida cruzado + SOPs.</t>
        </is>
      </c>
    </row>
    <row r="35" ht="84" customHeight="1">
      <c r="B35" s="103" t="inlineStr">
        <is>
          <t>Veredito</t>
        </is>
      </c>
      <c r="C35" s="37" t="inlineStr">
        <is>
          <t>VIÁVEL no realista com 3 ajustes: (1) pró-labore escalonado; (2) repricing comercial (Start 2.490/Pro 4.990/Premium 8.900); (3) foco agressivo em MRR. Sem ajustes, ainda viável, mas margem cai e payback estende. O upside real do negócio está em virar SaaS-like via MRR.</t>
        </is>
      </c>
    </row>
    <row r="37" ht="26" customHeight="1">
      <c r="B37" s="109" t="inlineStr">
        <is>
          <t>🎯 AGENTE DE PLANEJAMENTO ESTRATÉGICO</t>
        </is>
      </c>
    </row>
    <row r="38" ht="32" customHeight="1">
      <c r="B38" s="106" t="inlineStr">
        <is>
          <t>Parecer: '48h' é GATILHO DE CONVERSÃO, NÃO vantagem sustentável. Sem migrar para 'operador de crescimento' em 24-36m, perde para IA gratuita. Recorrente é o coração.</t>
        </is>
      </c>
    </row>
    <row r="39" ht="84" customHeight="1">
      <c r="B39" s="103" t="inlineStr">
        <is>
          <t>Posicionamento</t>
        </is>
      </c>
      <c r="C39" s="37" t="inlineStr">
        <is>
          <t>Foco/Nicho com diferenciação operacional. Custo puro = suicídio. Diferenciação ampla = cara para 2 sócios. Nicho viável: PMEs físicas migrando para digital + lojistas em SaaS BR (Tray/Nuvemshop) profissionalizando. Proposta: 'Sua loja online profissional no ar em 48 horas — pronta para vender — com método, suporte e crescimento contínuo, sem freelancer sumido nem agência que demora 3 meses.'</t>
        </is>
      </c>
    </row>
    <row r="40" ht="70" customHeight="1">
      <c r="B40" s="103" t="inlineStr">
        <is>
          <t>'48 horas' é vantagem real?</t>
        </is>
      </c>
      <c r="C40" s="37" t="inlineStr">
        <is>
          <t>É GATILHO DE CONVERSÃO, NÃO vantagem sustentável. Qualquer agência ou freelancer copia em 60 dias. Vantagem real = método/processo proprietário por trás das 48h: checklist 80-100 pontos, kit fiscal BR, biblioteca 30+ blocos, integrações pré-configuradas, prompts de IA versionados. '48h' vende; o processo defende.</t>
        </is>
      </c>
    </row>
    <row r="41" ht="84" customHeight="1">
      <c r="B41" s="103" t="inlineStr">
        <is>
          <t>ICP — 3 personas</t>
        </is>
      </c>
      <c r="C41" s="37" t="inlineStr">
        <is>
          <t>1) CARLA, Lojista Física 42a, boutique R$ 30-150k/mês, vende no DM — ticket R$ 3,5-6k setup + R$ 600-1,2k suporte; canal Insta orgânico + indicação contador/SEBRAE. 2) RODRIGO, Empreendedor DTC 32a, lançando marca, capital R$ 20-80k — ticket R$ 5-12k + R$ 1,5-5k tráfego; canal Google Ads + LinkedIn. 3) MARIANA, Gestora B2B PME 38a, distribuidora migrando catálogo — ticket R$ 8-20k + R$ 1,5-3k; canal LinkedIn outbound + parceria ERPs.</t>
        </is>
      </c>
    </row>
    <row r="42" ht="56" customHeight="1">
      <c r="B42" s="103" t="inlineStr">
        <is>
          <t>Mercado (TAM/SAM/SOM)</t>
        </is>
      </c>
      <c r="C42" s="37" t="inlineStr">
        <is>
          <t>TAM ~R$ 2,4bi (600k lojas SaaS × ticket R$ 4k lifetime serviço). SAM ~R$ 400-450M/ano (30k contratações + 360k×R$ 800×12 suporte). SOM 24m ~R$ 730k/ano (~0,15% SAM). Conclusão: mercado não é restrição — EXECUÇÃO é.</t>
        </is>
      </c>
    </row>
    <row r="43" ht="98" customHeight="1">
      <c r="B43" s="103" t="inlineStr">
        <is>
          <t>5 Forças (resumo)</t>
        </is>
      </c>
      <c r="C43" s="37" t="inlineStr">
        <is>
          <t>Rivalidade ALTA (agências boutique, freelancers, Shopify Partners BR). Substitutos ALTA E CRESCENTE (Shopify Magic, Wix ADI, Canva sites). Fornecedor MÉDIO-ALTO (dependência plataformas). Cliente ALTO no início, MÉDIO depois. Novos entrantes ALTA (barreira baixíssima). CONCLUSÃO: comoditizável — defesa = nicho + marca + processo + recorrência.</t>
        </is>
      </c>
    </row>
    <row r="44" ht="42" customHeight="1">
      <c r="B44" s="103" t="inlineStr">
        <is>
          <t>Vantagem competitiva sustentável</t>
        </is>
      </c>
      <c r="C44" s="37" t="inlineStr">
        <is>
          <t>Ativos a construir (em ordem): 1) Método Impulso 48h documentado (80-100 checkpoints); 2) Biblioteca templates verticais (moda/beleza/pet/alimentos/B2B); 3) Kit IA proprietário (reduz custo marginal 30-40%); 4) Cases de receita real do cliente (não 'site bonito'); 5) Comunidade Impulso (reduz churn de suporte).</t>
        </is>
      </c>
    </row>
    <row r="45" ht="84" customHeight="1">
      <c r="B45" s="103" t="inlineStr">
        <is>
          <t>OKRs do 1º ano</t>
        </is>
      </c>
      <c r="C45" s="37" t="inlineStr">
        <is>
          <t>O1 — Validar motor comercial: KR1 R$ 480k em 12m; KR2 CAC &lt; R$ 800, payback &lt; 3m; KR3 70+ SQL/mês a partir mês 6. O2 — Construir MRR previsível: KR1 R$ 25k MRR mês 12; KR2 60% conversão setup→suporte; KR3 churn &lt; 4%. O3 — Ativos defensáveis e marca: KR1 método v1.0 documentado mês 4; KR2 12 cases publicados; KR3 10k seguidores combinados sócios.</t>
        </is>
      </c>
    </row>
    <row r="46" ht="84" customHeight="1">
      <c r="B46" s="103" t="inlineStr">
        <is>
          <t>Riscos estratégicos top 5</t>
        </is>
      </c>
      <c r="C46" s="37" t="inlineStr">
        <is>
          <t>1) IA generativa (Shopify Magic/Wix ADI) elimina setup básico 24-36m → subir na cadeia, vender vendas. 2) Comoditização → nicho vertical + bundle + recusar baixo ticket. 3) Dependência plataformas → multi-plataforma + comissão &lt;15% receita. 4) Burnout sócios → cap 5 projetos/sócio/mês + playbook + férias. 5) Falta de diferenciação → investir nos 5 ativos.</t>
        </is>
      </c>
    </row>
    <row r="47" ht="70" customHeight="1">
      <c r="B47" s="103" t="inlineStr">
        <is>
          <t>Trade-offs explícitos — NÃO fazer</t>
        </is>
      </c>
      <c r="C47" s="37" t="inlineStr">
        <is>
          <t>NÃO atende enterprise/VTEX/Magento; NÃO faz projeto &lt;R$ 3.500; NÃO entrega site sem suporte mensal anexado; NÃO faz 'só design' ou 'só consultoria avulsa'; NÃO trabalha com cliente sem CNPJ/produto/capital; NÃO faz marketplace-only; NÃO promete prazo fora do método; NÃO aceita horas avulsas no suporte; NÃO compete em licitação pública/RFP.</t>
        </is>
      </c>
    </row>
    <row r="48" ht="84" customHeight="1">
      <c r="B48" s="103" t="inlineStr">
        <is>
          <t>Veredito</t>
        </is>
      </c>
      <c r="C48" s="37" t="inlineStr">
        <is>
          <t>Defensável hoje? Parcialmente. Sustentável aos 24m? SIM, condicional a: (1) reposicionar de 'implementador' para 'operador de crescimento de PMEs digitais'; (2) recorrente vira CORAÇÃO (50% em 24m); (3) verticalizar em 2-3 nichos. Sem ajustes: R$ 600k/ano com 2 sócios exaustos competindo com IA gratuita em 2027. Com ajustes: R$ 1,5-2M aos 36m, margem 35-45%, EV vendável.</t>
        </is>
      </c>
    </row>
    <row r="50" ht="26" customHeight="1">
      <c r="B50" s="110" t="inlineStr">
        <is>
          <t>⚙️ AGENTE DE OPERAÇÕES DIGITAIS E E-COMMERCE</t>
        </is>
      </c>
    </row>
    <row r="51" ht="32" customHeight="1">
      <c r="B51" s="106" t="inlineStr">
        <is>
          <t>Parecer: 'Todos os produtos, todas as integrações em 48h' é ARMADILHA. Com escopo brutalmente recortado (até 20 SKUs), o modelo cabe — e gera throughput sustentável.</t>
        </is>
      </c>
    </row>
    <row r="52" ht="70" customHeight="1">
      <c r="B52" s="103" t="inlineStr">
        <is>
          <t>Viabilidade real do 48h</t>
        </is>
      </c>
      <c r="C52" s="37" t="inlineStr">
        <is>
          <t>Shopify 20 SKUs: 26-66h de execução com 2 pessoas em paralelo — CABE em 48h SE pré-condições 100% fechadas. WooCommerce: 40-90h equivalente — NÃO CABE em 48h salvo escopo mínimo. Site institucional 5-8 páginas: 21-42h — cabe. 50-100 SKUs, integração ERP/OMS, marketplace, gateway custom — NÃO CABEM.</t>
        </is>
      </c>
    </row>
    <row r="53" ht="112" customHeight="1">
      <c r="B53" s="103" t="inlineStr">
        <is>
          <t>3 pacotes recomendados</t>
        </is>
      </c>
      <c r="C53" s="37" t="inlineStr">
        <is>
          <t>START: até 15 SKUs, 5 páginas, 1 gateway, 1 frete, 3 reuniões, 1 treinamento, 7d suporte. Horas: 22/32/45. PRO: até 50 SKUs, 8 páginas, 2 gateways, 2 fretes, 1 integração (Bling OU Tiny OU RD), 15d suporte. Horas: 45/70/100. PREMIUM: até 150 SKUs, 12 páginas, 2 integrações (ERP+marketplace), automações carrinho, 2 landing pages, 30d suporte. Horas: 90/130/180. WooCommerce só PRO/PREMIUM com +30% prazo/preço — DESENCORAJAR.</t>
        </is>
      </c>
    </row>
    <row r="54" ht="84" customHeight="1">
      <c r="B54" s="103" t="inlineStr">
        <is>
          <t>Capacidade operacional realista</t>
        </is>
      </c>
      <c r="C54" s="37" t="inlineStr">
        <is>
          <t>Bruto: 352h (2 sócios × 22du × 8h). Descontos: comercial 15% + atendimento 10% + pós-venda 10% + admin 8% + gestão 7% = 50% só. EXECUÇÃO PURA = ~176h/mês combinada. Alvo ≤80% = 144h para projetos. Mix sustentável: 2 Start + 1 Pro (134h) OU 1 Start + 1 Premium (162h). Premium a cada 2 meses máx enquanto dupla.</t>
        </is>
      </c>
    </row>
    <row r="55" ht="56" customHeight="1">
      <c r="B55" s="103" t="inlineStr">
        <is>
          <t>Suporte recorrente — limites</t>
        </is>
      </c>
      <c r="C55" s="37" t="inlineStr">
        <is>
          <t>Essencial 4h: 4-5 contratos/sócio = 8-10 total. Pro 10h: 2-3/sócio = 4-6 total. Growth 20h: 1-2/sócio = 2-4 total. Cada sócio MÁX 50% capacidade (90h) em suporte.</t>
        </is>
      </c>
    </row>
    <row r="56" ht="140" customHeight="1">
      <c r="B56" s="103" t="inlineStr">
        <is>
          <t>Top 10 riscos operacionais + mitigação</t>
        </is>
      </c>
      <c r="C56" s="37" t="inlineStr">
        <is>
          <t>1) Cliente atrasa assets → cláusula pausa cronômetro + 50% upfront. 2) Gateway em KYC → pré-condição rígida. 3) Doença sócio → buffer 20% + SOPs + freela plug-in. 4) Escopo creep → tabela adicionais + change request formal. 5) Cliente revende '48h' como milagre → FAQ visível 'o que NÃO entra'. 6) Pós-venda canibaliza execução → suporte pago obrigatório dia 30. 7) Plataforma quebra integração → especializar Shopify+Nuvemshop. 8) NPS baixo treinamento → videoteca + sessão gravada. 9) IA caída → templates locais + SOP fallback. 10) Inadimplência pós go-live → 50/40/10 + DNS sob Impulso até pagamento.</t>
        </is>
      </c>
    </row>
    <row r="57" ht="56" customHeight="1">
      <c r="B57" s="103" t="inlineStr">
        <is>
          <t>IA: onde dá ganho REAL ≥30%</t>
        </is>
      </c>
      <c r="C57" s="37" t="inlineStr">
        <is>
          <t>Descrições de produto 30-40%; copy institucional + políticas 40-60%; SEO title/meta/alt em massa 40%; tradução 50%; FAQ a partir de transcrição 50%. ONDE NÃO DÁ (&lt;10%): briefing, decisão UX, QA crítico (checkout/fiscal/pixel), gateway/frete/domínio, treinamento ao vivo, negociação comercial.</t>
        </is>
      </c>
    </row>
    <row r="58" ht="56" customHeight="1">
      <c r="B58" s="103" t="inlineStr">
        <is>
          <t>SOPs/checklists INDISPENSÁVEIS antes da 1ª venda</t>
        </is>
      </c>
      <c r="C58" s="37" t="inlineStr">
        <is>
          <t>1) Checklist pré-condições D-5 (cliente assina); 2) SOP onboarding (kickoff/kit boas-vindas/acessos); 3) SOP implementação Shopify (60+ itens); 4) SOP implementação WordPress/Woo; 5) Checklist QA pré go-live (checkout/mobile/emails/fiscal/LGPD/pixels); 6) SOP handover + treinamento (roteiro + videoteca + termo aceite); 7) SOP pós-venda 30 dias.</t>
        </is>
      </c>
    </row>
    <row r="59" ht="56" customHeight="1">
      <c r="B59" s="103" t="inlineStr">
        <is>
          <t>Definition of Done</t>
        </is>
      </c>
      <c r="C59" s="37" t="inlineStr">
        <is>
          <t>Loja Shopify: compra teste real (cartão+Pix+boleto); e-mails transacionais renderizados; responsivo iOS/Android+Chrome/Safari/Edge; GA4+Pixel+GTM disparando view_item/add_to_cart/begin_checkout/purchase validados; SEO title/meta únicos + sitemap; LGPD: política+cookie banner+e-mail DPO; HTTPS+redirect www↔raiz; backup salvo; termo aceite assinado; owner 100% no cliente.</t>
        </is>
      </c>
    </row>
    <row r="60" ht="56" customHeight="1">
      <c r="B60" s="103" t="inlineStr">
        <is>
          <t>Gatilhos para 3º profissional</t>
        </is>
      </c>
      <c r="C60" s="37" t="inlineStr">
        <is>
          <t>Sustentado por 2 meses: backlog &gt; 200h, capacidade &gt; 85%, recusa ≥2 projetos qualificados/mês, suporte &gt; 50h combinado, NPS &lt; 8 ou atraso &gt; 20%, MRR ≥ R$ 20k (sustenta CLT-flex R$ 6-9k all-in). Perfil: IMPLEMENTADOR PLENO Shopify/Tray (não sênior). Sócios sobem para vendas + suporte estratégico + conteúdo.</t>
        </is>
      </c>
    </row>
    <row r="61" ht="112" customHeight="1">
      <c r="B61" s="103" t="inlineStr">
        <is>
          <t>Veredito</t>
        </is>
      </c>
      <c r="C61" s="37" t="inlineStr">
        <is>
          <t>SIM, lançar com modificações INEGOCIÁVEIS: (1) renomear 'Express 48h úteis' padrão + 'Sprint 48h corridas' premium +40%; (2) escopo TAXATIVO máx 20 SKUs/1 gateway/1 frete/4 páginas/Shopify+Nuvemshop+Tray (Woo fora); (3) pré-condições D-5 com pausa cronômetro; (4) 50/40/10 + DNS sob Impulso; (5) DoD no contrato; (6) target 2 Start + 1 Pro/mês ou 1 Premium; (7) SOPs 1-7 + videoteca antes da 1ª venda; (8) marketing com 'o que NÃO entra' visível; (9) suporte recorrente obrigatório dia 30; (10) revisão trimestral horas reais vs estimadas. Sem isso: NÃO LANÇAR.</t>
        </is>
      </c>
    </row>
  </sheetData>
  <mergeCells count="11">
    <mergeCell ref="A1:D1"/>
    <mergeCell ref="B38:C38"/>
    <mergeCell ref="B15:C15"/>
    <mergeCell ref="B25:C25"/>
    <mergeCell ref="B5:C5"/>
    <mergeCell ref="B37:C37"/>
    <mergeCell ref="B51:C51"/>
    <mergeCell ref="B14:C14"/>
    <mergeCell ref="B50:C50"/>
    <mergeCell ref="B26:C26"/>
    <mergeCell ref="B4:C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80" customWidth="1" min="3" max="3"/>
    <col width="3" customWidth="1" min="4" max="4"/>
  </cols>
  <sheetData>
    <row r="1" ht="28" customHeight="1">
      <c r="A1" s="1" t="inlineStr">
        <is>
          <t>ANÁLISE CRÍTICA GERAL — DEVIL'S ADVOCATE</t>
        </is>
      </c>
    </row>
    <row r="2">
      <c r="B2" s="2" t="inlineStr">
        <is>
          <t>Pressure-test honesto das premissas. Atacar a ideia, respeitar a pessoa.</t>
        </is>
      </c>
    </row>
    <row r="4" ht="60" customHeight="1">
      <c r="B4" s="111" t="inlineStr">
        <is>
          <t>O modelo do Projeto 48 Horas é viável?</t>
        </is>
      </c>
      <c r="C4" s="37" t="inlineStr">
        <is>
          <t>SIM, com escopo recortado. O '48h corridas com todos os produtos e integrações' é falso por design. O '48h úteis com até 20 SKUs, 1 gateway, 1 frete, plataformas Shopify/Nuvemshop/Tray' é defensável, lucrativo e operacionalmente sustentável.</t>
        </is>
      </c>
    </row>
    <row r="5" ht="45" customHeight="1">
      <c r="B5" s="111" t="inlineStr">
        <is>
          <t>Qual escopo máximo deve ser prometido?</t>
        </is>
      </c>
      <c r="C5" s="37" t="inlineStr">
        <is>
          <t>Loja Shopify/Nuvemshop/Tray: 20 SKUs, 5 páginas, 1 gateway, 1 frete, GA4+Pixel padrão, SEO on-page básico, 1 sessão treinamento (60min), 7 dias suporte. Site institucional: até 8 páginas.</t>
        </is>
      </c>
    </row>
    <row r="6" ht="60" customHeight="1">
      <c r="B6" s="111" t="inlineStr">
        <is>
          <t>Qual escopo NÃO deve ser prometido?</t>
        </is>
      </c>
      <c r="C6" s="37" t="inlineStr">
        <is>
          <t>Migração de plataforma; +30 SKUs; tema customizado (código); integração ERP/OMS/PDV; multi-idioma; marketplace (ML/Amazon); assinaturas; B2B com tabela de preço; app mobile; blog populado; fotografia; copywriting longo; tradução. WooCommerce no regime de 48h.</t>
        </is>
      </c>
    </row>
    <row r="7" ht="45" customHeight="1">
      <c r="B7" s="111" t="inlineStr">
        <is>
          <t>O preço sugerido cobre o esforço real?</t>
        </is>
      </c>
      <c r="C7" s="37" t="inlineStr">
        <is>
          <t>Sim, no nível recomendado (Start R$ 2.490 / Pro R$ 4.990 / Premium R$ 8.900). Margem 40% considerando 12% imposto + 5% taxa + 4% inad. Vender abaixo do preço mínimo (R$ 1.781 / R$ 3.561 / R$ 6.232) = prejuízo certo.</t>
        </is>
      </c>
    </row>
    <row r="8" ht="45" customHeight="1">
      <c r="B8" s="111" t="inlineStr">
        <is>
          <t>O modelo depende demais dos 2 sócios?</t>
        </is>
      </c>
      <c r="C8" s="37" t="inlineStr">
        <is>
          <t>SIM. Risco de key-person crítico. Doença/saída de 1 sócio = -50% capacidade. Mitigação: SOPs documentados, seguro de vida cruzado, freela plug-in pré-aprovado, reserva 6 meses.</t>
        </is>
      </c>
    </row>
    <row r="9" ht="60" customHeight="1">
      <c r="B9" s="111" t="inlineStr">
        <is>
          <t>Quando contratar a 3ª pessoa?</t>
        </is>
      </c>
      <c r="C9" s="37" t="inlineStr">
        <is>
          <t>Gatilhos quantitativos (sustentados por 2 meses): backlog vendido &gt; 200h; capacidade &gt; 85%; recusa ≥2 projetos/mês; suporte &gt; 50h combinado; NPS &lt; 8 ou atraso &gt; 20%; MRR ≥ R$ 20k. Perfil: implementador PLENO (não sênior) Shopify/Tray, CLT-flex ou PJ R$ 5-7k.</t>
        </is>
      </c>
    </row>
    <row r="10" ht="45" customHeight="1">
      <c r="B10" s="111" t="inlineStr">
        <is>
          <t>Qual serviço tende a ser mais lucrativo?</t>
        </is>
      </c>
      <c r="C10" s="37" t="inlineStr">
        <is>
          <t>1) Parceria com plataformas: ~95% margem líquida (receita passiva, custo zero). 2) Suporte mensal Growth: ~50% margem. 3) Projetos personalizados Premium: 45%. 4) Projeto 48h Premium: 40%. 5) Projeto 48h Start: 35%.</t>
        </is>
      </c>
    </row>
    <row r="11" ht="45" customHeight="1">
      <c r="B11" s="111" t="inlineStr">
        <is>
          <t>Qual serviço tende a gerar mais recorrência?</t>
        </is>
      </c>
      <c r="C11" s="37" t="inlineStr">
        <is>
          <t>Suporte mensal (MRR) — coração da tese. Parceria com plataformas — recorrência passiva. Tráfego pago — sticky por dependência operacional. Projeto 48h gera recorrência SOMENTE se converte para suporte mensal (meta: 60% conversão em 12m).</t>
        </is>
      </c>
    </row>
    <row r="12" ht="60" customHeight="1">
      <c r="B12" s="111" t="inlineStr">
        <is>
          <t>Quais serviços devem ser evitados?</t>
        </is>
      </c>
      <c r="C12" s="37" t="inlineStr">
        <is>
          <t>1) Projetos abaixo de R$ 2.000 (canibalizam capacidade). 2) WooCommerce no formato 48h. 3) VTEX/Magento (enterprise). 4) Marketplace-only. 5) Consultoria avulsa sem entregável. 6) Migração com escopo aberto. 7) Receber verba de mídia em conta (risco fiscal).</t>
        </is>
      </c>
    </row>
    <row r="13" ht="60" customHeight="1">
      <c r="B13" s="111" t="inlineStr">
        <is>
          <t>Quais serviços devem ser cobrados como EXTRA?</t>
        </is>
      </c>
      <c r="C13" s="37" t="inlineStr">
        <is>
          <t>Tudo que não estiver no escopo taxativo: SKUs adicionais (R$/SKU), páginas adicionais, integrações além das listadas, copywriting customizado (R$/página), fotografia, banco de imagens premium, design de logo, sessões extra de treinamento, suporte pós-go-live além do contratado, change requests.</t>
        </is>
      </c>
    </row>
    <row r="14" ht="75" customHeight="1">
      <c r="B14" s="111" t="inlineStr">
        <is>
          <t>Quais premissas precisam ser validadas no mercado?</t>
        </is>
      </c>
      <c r="C14" s="37" t="inlineStr">
        <is>
          <t>1) Disposição real dos clientes a pagar R$ 4.990 em Pro (PoC: 5 clientes em 60 dias). 2) Taxa de conversão setup→suporte de 60% (PoC: contratos em 6 meses). 3) CAC &lt; R$ 800 (depende de canal escolhido). 4) Ganho real de produtividade com IA = 25% (medir nos primeiros 3 projetos). 5) Capacidade 360h é teto — validar com 1º trimestre real.</t>
        </is>
      </c>
    </row>
    <row r="15" ht="90" customHeight="1">
      <c r="B15" s="111" t="inlineStr">
        <is>
          <t>Pró-labore de R$ 8.000 é sustentável no início?</t>
        </is>
      </c>
      <c r="C15" s="37" t="inlineStr">
        <is>
          <t>NÃO no mês 1 do realista (PE só atinge no mês 4). RECOMENDAÇÃO: escalonar — R$ 3.000/sócio (mês 1-3) → R$ 3.500 (4-6) → R$ 4.000 (7+) condicional a MRR &gt; R$ 10k. Diferencial vai para reserva de capital de giro. ATENÇÃO FISCAL: pró-labore total &lt; R$ 6.700/mês pode quebrar Fator R ≥ 28% e jogar a empresa no Anexo V (15,5% imposto vs 6%). Pró-labore mínimo p/ sustentar Anexo III em R$ 25k/mês de receita = ~R$ 7.000/mês.</t>
        </is>
      </c>
    </row>
    <row r="16" ht="45" customHeight="1">
      <c r="B16" s="111" t="inlineStr">
        <is>
          <t>Faturamento mínimo mensal para operar?</t>
        </is>
      </c>
      <c r="C16" s="37" t="inlineStr">
        <is>
          <t>PE = R$ 15.823/mês (com 12% imposto + 5% taxa + 4% inad). Operar com folga: R$ 25.000/mês. Para gerar lucro saudável (margem &gt; 20%): R$ 30.000/mês.</t>
        </is>
      </c>
    </row>
    <row r="18" ht="24" customHeight="1">
      <c r="B18" s="112" t="inlineStr">
        <is>
          <t>🔥 VEREDITO DEVIL'S ADVOCATE</t>
        </is>
      </c>
    </row>
    <row r="19">
      <c r="B19" s="113" t="inlineStr">
        <is>
          <t>🟡 PROSSEGUIR COM REVISÕES CRÍTICAS.
A tese resiste ao ataque NOS PARÂMETROS REALISTAS. Não resiste com a promessa original de '48h para tudo'. Os 3 pontos de fragilidade real são:
1) PRÓ-LABORE: começar com R$ 8k mês 1 destrói o caixa. Escalonar é mandatório.
2) ESCOPO DA OFERTA: '48h corridas para tudo' é commodities-promise inexequível. Recortar para escopo taxativo (Start/Pro/Premium com limites duros) protege a operação E aumenta percepção de profissionalismo.
3) DEPENDÊNCIA DE IA GENERATIVA: a tese estratégica precisa evoluir nos 24-36 meses para 'operador de crescimento de PMEs', não 'implementador de loja'. Quem só monta loja perde para Shopify Magic/Wix ADI até 2027.
Critério de falsificação: se aos 6 meses NÃO houver pelo menos R$ 10k MRR consolidado e taxa de conversão setup→suporte abaixo de 30%, a tese falha — pivotar para verticalização ou outro modelo.</t>
        </is>
      </c>
    </row>
    <row r="20"/>
    <row r="21"/>
    <row r="22"/>
    <row r="23"/>
    <row r="24"/>
    <row r="25"/>
    <row r="26"/>
    <row r="27"/>
  </sheetData>
  <mergeCells count="3">
    <mergeCell ref="B18:C18"/>
    <mergeCell ref="A1:D1"/>
    <mergeCell ref="B19:C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80" customWidth="1" min="3" max="3"/>
    <col width="3" customWidth="1" min="4" max="4"/>
  </cols>
  <sheetData>
    <row r="1" ht="28" customHeight="1">
      <c r="A1" s="1" t="inlineStr">
        <is>
          <t>RECOMENDAÇÕES FINAIS DO SQUAD</t>
        </is>
      </c>
    </row>
    <row r="2">
      <c r="B2" s="2" t="inlineStr">
        <is>
          <t>Ações objetivas e prontas para execução.</t>
        </is>
      </c>
    </row>
    <row r="4" ht="45" customHeight="1">
      <c r="B4" s="111" t="inlineStr">
        <is>
          <t>Melhor modelo de precificação</t>
        </is>
      </c>
      <c r="C4" s="37" t="inlineStr">
        <is>
          <t>Pacote fechado com escopo TAXATIVO + preço de tabela público + change request formal para adicionais. Hora avulsa SOMENTE para suporte excedente e consultoria pontual. Mensalidades com vigência mínima de 12m (B2B).</t>
        </is>
      </c>
    </row>
    <row r="5" ht="36" customHeight="1">
      <c r="B5" s="111" t="inlineStr">
        <is>
          <t>Pacote 48h para entrada no mercado</t>
        </is>
      </c>
      <c r="C5" s="37" t="inlineStr">
        <is>
          <t>Pacote PRO (R$ 4.990) como gancho principal. Start (R$ 2.490) só com promo de lançamento para construir cases. Premium (R$ 8.900) para clientes qualificados.</t>
        </is>
      </c>
    </row>
    <row r="6" ht="36" customHeight="1">
      <c r="B6" s="111" t="inlineStr">
        <is>
          <t>Preço mínimo do Projeto 48 Horas</t>
        </is>
      </c>
      <c r="C6" s="37" t="inlineStr">
        <is>
          <t>Start: R$ 1.781 | Pro: R$ 3.561 | Premium: R$ 6.232 — NUNCA vender abaixo disso (margem mínima 20%).</t>
        </is>
      </c>
    </row>
    <row r="7" ht="36" customHeight="1">
      <c r="B7" s="111" t="inlineStr">
        <is>
          <t>Preço recomendado</t>
        </is>
      </c>
      <c r="C7" s="37" t="inlineStr">
        <is>
          <t>Start: R$ 2.490 | Pro: R$ 4.990 | Premium: R$ 8.900 — preço comercial sugerido com colchão para descontos.</t>
        </is>
      </c>
    </row>
    <row r="8" ht="36" customHeight="1">
      <c r="B8" s="111" t="inlineStr">
        <is>
          <t>Preço premium (sem desconto)</t>
        </is>
      </c>
      <c r="C8" s="37" t="inlineStr">
        <is>
          <t>Start: R$ 2.893 | Pro: R$ 5.787 | Premium: R$ 10.127 — preço de ancoragem para clientes que aceitam pagar mais por sprint dedicado.</t>
        </is>
      </c>
    </row>
    <row r="9" ht="60" customHeight="1">
      <c r="B9" s="111" t="inlineStr">
        <is>
          <t>Como proteger de escopo aberto</t>
        </is>
      </c>
      <c r="C9" s="37" t="inlineStr">
        <is>
          <t>1) Escopo TAXATIVO no contrato (lista exaustiva de incluso). 2) Política do Projeto 48h pública. 3) Cláusula de Change Request escrito + valor por hora. 4) Pacote de adicionais publicado. 5) Briefing assinado eletronicamente. 6) Pré-condições D-5. 7) Aceite + DoD com silêncio = anuência (5 du).</t>
        </is>
      </c>
    </row>
    <row r="10" ht="60" customHeight="1">
      <c r="B10" s="111" t="inlineStr">
        <is>
          <t>Como transformar projeto em receita recorrente</t>
        </is>
      </c>
      <c r="C10" s="37" t="inlineStr">
        <is>
          <t>1) Bundle de saída: setup já inclui 30 dias suporte cortesia + oferta 20% off se contratar em 7 dias. 2) Revisão D+30 e D+60 com sócio (mostra dados → abre upsell). 3) Suporte em camadas com 'próximo degrau' claro. 4) Comunidade Impulso acessível só a clientes recorrentes. 5) SLA visível no contrato.</t>
        </is>
      </c>
    </row>
    <row r="11" ht="45" customHeight="1">
      <c r="B11" s="111" t="inlineStr">
        <is>
          <t>Como vender suporte mensal</t>
        </is>
      </c>
      <c r="C11" s="37" t="inlineStr">
        <is>
          <t>Foco comercial: 70% do esforço de vendas no suporte mensal, não em projetos. Meta agressiva: 5 contratos novos MRR/mês desde mês 1. Oferta no fechamento do projeto (timing crítico). Mecânica de auto-renovação.</t>
        </is>
      </c>
    </row>
    <row r="12" ht="60" customHeight="1">
      <c r="B12" s="111" t="inlineStr">
        <is>
          <t>Como estruturar contrato</t>
        </is>
      </c>
      <c r="C12" s="37" t="inlineStr">
        <is>
          <t>Contrato dual-track (B2B/CC + B2C/CDC). Cláusulas obrigatórias (ver aba 17 — Jurídico). Termo de Aceite/Briefing com Marco Zero. DPA LGPD. Política do Projeto 48 Horas pública. Forma de pagamento 50/40/10. Foro Sede da Impulso (B2B) ou domicílio cliente (B2C).</t>
        </is>
      </c>
    </row>
    <row r="13" ht="45" customHeight="1">
      <c r="B13" s="111" t="inlineStr">
        <is>
          <t>Como evitar prejuízo com cartão parcelado</t>
        </is>
      </c>
      <c r="C13" s="37" t="inlineStr">
        <is>
          <t>1) 5% off PIX/à vista. 2) Máximo 3x sem juros. 3) 6x+ com juros repassados ao cliente. 4) Antecipação de recebíveis APENAS se ROI &gt; custo (2-3% a.m.). 5) Reserva de capital de giro R$ 50k antes do mês 1.</t>
        </is>
      </c>
    </row>
    <row r="14" ht="75" customHeight="1">
      <c r="B14" s="111" t="inlineStr">
        <is>
          <t>Como usar IA sem comprometer qualidade</t>
        </is>
      </c>
      <c r="C14" s="37" t="inlineStr">
        <is>
          <t>IA SIM para: descrições de produto (30-40% ganho), copy institucional + políticas (40-60%), SEO em massa (40%), tradução (50%), FAQ a partir de transcrição (50%). IA NÃO para: briefing, decisão UX, QA crítico (checkout/fiscal/pixel), gateway/frete/domínio, treinamento ao vivo, negociação. Templates locais como fallback se a IA cair.</t>
        </is>
      </c>
    </row>
    <row r="15" ht="45" customHeight="1">
      <c r="B15" s="111" t="inlineStr">
        <is>
          <t>Como validar a aceitação do mercado</t>
        </is>
      </c>
      <c r="C15" s="37" t="inlineStr">
        <is>
          <t>Soft launch nos primeiros 90 dias com 5-10 clientes-piloto. Coletar: taxa de fechamento da proposta; tempo real vs prometido; NPS pós-projeto; conversão para suporte; CAC por canal. Pivotar pacotes/preço se desvio &gt; 20% nas premissas.</t>
        </is>
      </c>
    </row>
    <row r="16" ht="45" customHeight="1">
      <c r="B16" s="111" t="inlineStr">
        <is>
          <t>Como organizar os primeiros 90 dias</t>
        </is>
      </c>
      <c r="C16" s="37" t="inlineStr">
        <is>
          <t>Ver aba 20 — Plano de Ação detalhado. Resumo: 30 dias estruturar (LTDA, contratos, SOPs, pacotes, site); 31-60 dias prospectar e fechar primeiros 3-5 clientes; 61-90 dias otimizar processo, criar cases, oferecer suporte recorrente.</t>
        </is>
      </c>
    </row>
    <row r="17" ht="60" customHeight="1">
      <c r="B17" s="111" t="inlineStr">
        <is>
          <t>Marca e propriedade intelectual</t>
        </is>
      </c>
      <c r="C17" s="37" t="inlineStr">
        <is>
          <t>Registrar marca IMPULSO no INPI nas classes 35 (publicidade/marketing), 42 (TI/desenvolvimento) e 41 (treinamento) — sem registro, sem proteção. Custo: ~R$ 355/classe. Contrato Social com cláusula de PI dos sócios sobre processos/templates.</t>
        </is>
      </c>
    </row>
    <row r="18" ht="45" customHeight="1">
      <c r="B18" s="111" t="inlineStr">
        <is>
          <t>Capital de giro</t>
        </is>
      </c>
      <c r="C18" s="37" t="inlineStr">
        <is>
          <t>R$ 50.000 ANTES do mês 1 (recomendação CFO conservadora). Aumentar para R$ 75.000 (6× burn) se cenário pessimista for risco real. Linha de antecipação pré-aprovada como segurança.</t>
        </is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50" customWidth="1" min="3" max="3"/>
    <col width="18" customWidth="1" min="4" max="4"/>
    <col width="18" customWidth="1" min="5" max="5"/>
    <col width="22" customWidth="1" min="6" max="6"/>
    <col width="3" customWidth="1" min="7" max="7"/>
  </cols>
  <sheetData>
    <row r="1" ht="28" customHeight="1">
      <c r="A1" s="1" t="inlineStr">
        <is>
          <t>PLANO DE AÇÃO — PRIMEIROS 90 DIAS DA IMPULSO</t>
        </is>
      </c>
    </row>
    <row r="2">
      <c r="B2" s="2" t="inlineStr">
        <is>
          <t>Checklist executável. Marque [✓] quando concluir. Responsável e prazo por iniciativa.</t>
        </is>
      </c>
    </row>
    <row r="4">
      <c r="B4" s="6" t="inlineStr">
        <is>
          <t>#</t>
        </is>
      </c>
      <c r="C4" s="6" t="inlineStr">
        <is>
          <t>Ação</t>
        </is>
      </c>
      <c r="D4" s="6" t="inlineStr">
        <is>
          <t>Prazo</t>
        </is>
      </c>
      <c r="E4" s="6" t="inlineStr">
        <is>
          <t>Responsável</t>
        </is>
      </c>
      <c r="F4" s="6" t="inlineStr">
        <is>
          <t>Status</t>
        </is>
      </c>
    </row>
    <row r="5" ht="22" customHeight="1">
      <c r="A5" s="3" t="inlineStr">
        <is>
          <t>🟦 DIAS 1-30 — ESTRUTURAÇÃO LEGAL, COMERCIAL E OPERACIONAL</t>
        </is>
      </c>
    </row>
    <row r="6" ht="24" customHeight="1">
      <c r="B6" s="51" t="n">
        <v>1</v>
      </c>
      <c r="C6" s="37" t="inlineStr">
        <is>
          <t>Registrar LTDA na Junta Comercial + CNAEs corretos</t>
        </is>
      </c>
      <c r="D6" s="14" t="inlineStr">
        <is>
          <t>D+7</t>
        </is>
      </c>
      <c r="E6" s="14" t="inlineStr">
        <is>
          <t>Sócio 1 + Contador</t>
        </is>
      </c>
      <c r="F6" s="14" t="inlineStr">
        <is>
          <t>☐ Pendente</t>
        </is>
      </c>
    </row>
    <row r="7" ht="24" customHeight="1">
      <c r="B7" s="51" t="n">
        <v>2</v>
      </c>
      <c r="C7" s="37" t="inlineStr">
        <is>
          <t>Optar pelo Simples Nacional + emitir Certificado A1</t>
        </is>
      </c>
      <c r="D7" s="14" t="inlineStr">
        <is>
          <t>D+10</t>
        </is>
      </c>
      <c r="E7" s="14" t="inlineStr">
        <is>
          <t>Contador</t>
        </is>
      </c>
      <c r="F7" s="14" t="inlineStr">
        <is>
          <t>☐ Pendente</t>
        </is>
      </c>
    </row>
    <row r="8" ht="24" customHeight="1">
      <c r="B8" s="51" t="n">
        <v>3</v>
      </c>
      <c r="C8" s="37" t="inlineStr">
        <is>
          <t>Credenciar NFS-e nacional + município</t>
        </is>
      </c>
      <c r="D8" s="14" t="inlineStr">
        <is>
          <t>D+15</t>
        </is>
      </c>
      <c r="E8" s="14" t="inlineStr">
        <is>
          <t>Contador</t>
        </is>
      </c>
      <c r="F8" s="14" t="inlineStr">
        <is>
          <t>☐ Pendente</t>
        </is>
      </c>
    </row>
    <row r="9" ht="24" customHeight="1">
      <c r="B9" s="51" t="n">
        <v>4</v>
      </c>
      <c r="C9" s="37" t="inlineStr">
        <is>
          <t>Assinar Acordo de Sócios (vesting/cliff/buy-sell)</t>
        </is>
      </c>
      <c r="D9" s="14" t="inlineStr">
        <is>
          <t>D+10</t>
        </is>
      </c>
      <c r="E9" s="14" t="inlineStr">
        <is>
          <t>Advogado + sócios</t>
        </is>
      </c>
      <c r="F9" s="14" t="inlineStr">
        <is>
          <t>☐ Pendente</t>
        </is>
      </c>
    </row>
    <row r="10" ht="24" customHeight="1">
      <c r="B10" s="51" t="n">
        <v>5</v>
      </c>
      <c r="C10" s="37" t="inlineStr">
        <is>
          <t>Aprovar contrato dual-track B2B/B2C + Termo Aceite + DPA</t>
        </is>
      </c>
      <c r="D10" s="14" t="inlineStr">
        <is>
          <t>D+15</t>
        </is>
      </c>
      <c r="E10" s="14" t="inlineStr">
        <is>
          <t>Advogado</t>
        </is>
      </c>
      <c r="F10" s="14" t="inlineStr">
        <is>
          <t>☐ Pendente</t>
        </is>
      </c>
    </row>
    <row r="11" ht="24" customHeight="1">
      <c r="B11" s="51" t="n">
        <v>6</v>
      </c>
      <c r="C11" s="37" t="inlineStr">
        <is>
          <t>Publicar Política do Projeto 48 Horas com aceite eletrônico</t>
        </is>
      </c>
      <c r="D11" s="14" t="inlineStr">
        <is>
          <t>D+15</t>
        </is>
      </c>
      <c r="E11" s="14" t="inlineStr">
        <is>
          <t>Advogado + sócios</t>
        </is>
      </c>
      <c r="F11" s="14" t="inlineStr">
        <is>
          <t>☐ Pendente</t>
        </is>
      </c>
    </row>
    <row r="12" ht="24" customHeight="1">
      <c r="B12" s="51" t="n">
        <v>7</v>
      </c>
      <c r="C12" s="37" t="inlineStr">
        <is>
          <t>Publicar Termos de Uso + Política de Privacidade</t>
        </is>
      </c>
      <c r="D12" s="14" t="inlineStr">
        <is>
          <t>D+20</t>
        </is>
      </c>
      <c r="E12" s="14" t="inlineStr">
        <is>
          <t>Advogado</t>
        </is>
      </c>
      <c r="F12" s="14" t="inlineStr">
        <is>
          <t>☐ Pendente</t>
        </is>
      </c>
    </row>
    <row r="13" ht="24" customHeight="1">
      <c r="B13" s="51" t="n">
        <v>8</v>
      </c>
      <c r="C13" s="37" t="inlineStr">
        <is>
          <t>Registrar marca IMPULSO no INPI (classes 35/41/42)</t>
        </is>
      </c>
      <c r="D13" s="14" t="inlineStr">
        <is>
          <t>D+30</t>
        </is>
      </c>
      <c r="E13" s="14" t="inlineStr">
        <is>
          <t>Advogado</t>
        </is>
      </c>
      <c r="F13" s="14" t="inlineStr">
        <is>
          <t>☐ Pendente</t>
        </is>
      </c>
    </row>
    <row r="14" ht="24" customHeight="1">
      <c r="B14" s="51" t="n">
        <v>9</v>
      </c>
      <c r="C14" s="37" t="inlineStr">
        <is>
          <t>Definir pacotes 48h (Start/Pro/Premium) com escopo TAXATIVO</t>
        </is>
      </c>
      <c r="D14" s="14" t="inlineStr">
        <is>
          <t>D+15</t>
        </is>
      </c>
      <c r="E14" s="14" t="inlineStr">
        <is>
          <t>Sócios</t>
        </is>
      </c>
      <c r="F14" s="14" t="inlineStr">
        <is>
          <t>☐ Pendente</t>
        </is>
      </c>
    </row>
    <row r="15" ht="24" customHeight="1">
      <c r="B15" s="51" t="n">
        <v>10</v>
      </c>
      <c r="C15" s="37" t="inlineStr">
        <is>
          <t>Definir planos de suporte (Essencial/Pro/Growth)</t>
        </is>
      </c>
      <c r="D15" s="14" t="inlineStr">
        <is>
          <t>D+15</t>
        </is>
      </c>
      <c r="E15" s="14" t="inlineStr">
        <is>
          <t>Sócios</t>
        </is>
      </c>
      <c r="F15" s="14" t="inlineStr">
        <is>
          <t>☐ Pendente</t>
        </is>
      </c>
    </row>
    <row r="16" ht="24" customHeight="1">
      <c r="B16" s="51" t="n">
        <v>11</v>
      </c>
      <c r="C16" s="37" t="inlineStr">
        <is>
          <t>Criar tabela de preços + descontos públicos</t>
        </is>
      </c>
      <c r="D16" s="14" t="inlineStr">
        <is>
          <t>D+18</t>
        </is>
      </c>
      <c r="E16" s="14" t="inlineStr">
        <is>
          <t>Sócios</t>
        </is>
      </c>
      <c r="F16" s="14" t="inlineStr">
        <is>
          <t>☐ Pendente</t>
        </is>
      </c>
    </row>
    <row r="17" ht="24" customHeight="1">
      <c r="B17" s="51" t="n">
        <v>12</v>
      </c>
      <c r="C17" s="37" t="inlineStr">
        <is>
          <t>Documentar SOPs 1-7 (pré-condições, onboarding, Shopify, Woo, QA, handover, pós-venda)</t>
        </is>
      </c>
      <c r="D17" s="14" t="inlineStr">
        <is>
          <t>D+25</t>
        </is>
      </c>
      <c r="E17" s="14" t="inlineStr">
        <is>
          <t>Sócios</t>
        </is>
      </c>
      <c r="F17" s="14" t="inlineStr">
        <is>
          <t>☐ Pendente</t>
        </is>
      </c>
    </row>
    <row r="18" ht="24" customHeight="1">
      <c r="B18" s="51" t="n">
        <v>13</v>
      </c>
      <c r="C18" s="37" t="inlineStr">
        <is>
          <t>Criar biblioteca de templates Shopify (3 verticais)</t>
        </is>
      </c>
      <c r="D18" s="14" t="inlineStr">
        <is>
          <t>D+25</t>
        </is>
      </c>
      <c r="E18" s="14" t="inlineStr">
        <is>
          <t>Sócios</t>
        </is>
      </c>
      <c r="F18" s="14" t="inlineStr">
        <is>
          <t>☐ Pendente</t>
        </is>
      </c>
    </row>
    <row r="19" ht="24" customHeight="1">
      <c r="B19" s="51" t="n">
        <v>14</v>
      </c>
      <c r="C19" s="37" t="inlineStr">
        <is>
          <t>Criar biblioteca de blocos + prompts de IA versionados</t>
        </is>
      </c>
      <c r="D19" s="14" t="inlineStr">
        <is>
          <t>D+25</t>
        </is>
      </c>
      <c r="E19" s="14" t="inlineStr">
        <is>
          <t>Sócios</t>
        </is>
      </c>
      <c r="F19" s="14" t="inlineStr">
        <is>
          <t>☐ Pendente</t>
        </is>
      </c>
    </row>
    <row r="20" ht="24" customHeight="1">
      <c r="B20" s="51" t="n">
        <v>15</v>
      </c>
      <c r="C20" s="37" t="inlineStr">
        <is>
          <t>Configurar ClickUp/Notion + Trello + Google Workspace</t>
        </is>
      </c>
      <c r="D20" s="14" t="inlineStr">
        <is>
          <t>D+20</t>
        </is>
      </c>
      <c r="E20" s="14" t="inlineStr">
        <is>
          <t>Sócios</t>
        </is>
      </c>
      <c r="F20" s="14" t="inlineStr">
        <is>
          <t>☐ Pendente</t>
        </is>
      </c>
    </row>
    <row r="21" ht="24" customHeight="1">
      <c r="B21" s="51" t="n">
        <v>16</v>
      </c>
      <c r="C21" s="37" t="inlineStr">
        <is>
          <t>Configurar CRM (HubSpot Free) + funil + automações</t>
        </is>
      </c>
      <c r="D21" s="14" t="inlineStr">
        <is>
          <t>D+25</t>
        </is>
      </c>
      <c r="E21" s="14" t="inlineStr">
        <is>
          <t>Sócios</t>
        </is>
      </c>
      <c r="F21" s="14" t="inlineStr">
        <is>
          <t>☐ Pendente</t>
        </is>
      </c>
    </row>
    <row r="22" ht="24" customHeight="1">
      <c r="B22" s="51" t="n">
        <v>17</v>
      </c>
      <c r="C22" s="37" t="inlineStr">
        <is>
          <t>Criar página de vendas (landing) com pacotes + FAQ + casos</t>
        </is>
      </c>
      <c r="D22" s="14" t="inlineStr">
        <is>
          <t>D+27</t>
        </is>
      </c>
      <c r="E22" s="14" t="inlineStr">
        <is>
          <t>Sócios</t>
        </is>
      </c>
      <c r="F22" s="14" t="inlineStr">
        <is>
          <t>☐ Pendente</t>
        </is>
      </c>
    </row>
    <row r="23" ht="24" customHeight="1">
      <c r="B23" s="51" t="n">
        <v>18</v>
      </c>
      <c r="C23" s="37" t="inlineStr">
        <is>
          <t>Material comercial: deck de venda, kit boas-vindas, agenda sprint</t>
        </is>
      </c>
      <c r="D23" s="14" t="inlineStr">
        <is>
          <t>D+30</t>
        </is>
      </c>
      <c r="E23" s="14" t="inlineStr">
        <is>
          <t>Sócios</t>
        </is>
      </c>
      <c r="F23" s="14" t="inlineStr">
        <is>
          <t>☐ Pendente</t>
        </is>
      </c>
    </row>
    <row r="24" ht="24" customHeight="1">
      <c r="B24" s="51" t="n">
        <v>19</v>
      </c>
      <c r="C24" s="37" t="inlineStr">
        <is>
          <t>Reservar R$ 50.000 de capital de giro em conta segregada</t>
        </is>
      </c>
      <c r="D24" s="14" t="inlineStr">
        <is>
          <t>D+1</t>
        </is>
      </c>
      <c r="E24" s="14" t="inlineStr">
        <is>
          <t>Sócios</t>
        </is>
      </c>
      <c r="F24" s="14" t="inlineStr">
        <is>
          <t>☐ Pendente</t>
        </is>
      </c>
    </row>
    <row r="25" ht="24" customHeight="1">
      <c r="B25" s="51" t="n">
        <v>20</v>
      </c>
      <c r="C25" s="37" t="inlineStr">
        <is>
          <t>Contratar seguro RC profissional (E&amp;O)</t>
        </is>
      </c>
      <c r="D25" s="14" t="inlineStr">
        <is>
          <t>D+30</t>
        </is>
      </c>
      <c r="E25" s="14" t="inlineStr">
        <is>
          <t>Sócios</t>
        </is>
      </c>
      <c r="F25" s="14" t="inlineStr">
        <is>
          <t>☐ Pendente</t>
        </is>
      </c>
    </row>
    <row r="26" ht="22" customHeight="1">
      <c r="A26" s="3" t="inlineStr">
        <is>
          <t>🟨 DIAS 31-60 — PROSPECÇÃO E PRIMEIROS CLIENTES</t>
        </is>
      </c>
    </row>
    <row r="27" ht="22" customHeight="1">
      <c r="B27" s="51" t="n">
        <v>1</v>
      </c>
      <c r="C27" s="5" t="inlineStr">
        <is>
          <t>Lançar conta Instagram + YouTube Shorts (rosto dos sócios)</t>
        </is>
      </c>
      <c r="D27" s="14" t="inlineStr">
        <is>
          <t>D+35</t>
        </is>
      </c>
      <c r="E27" s="14" t="inlineStr">
        <is>
          <t>Sócio 1</t>
        </is>
      </c>
      <c r="F27" s="14" t="inlineStr">
        <is>
          <t>☐</t>
        </is>
      </c>
    </row>
    <row r="28" ht="22" customHeight="1">
      <c r="B28" s="51" t="n">
        <v>2</v>
      </c>
      <c r="C28" s="5" t="inlineStr">
        <is>
          <t>Publicar lead magnet: 'Checklist 48h - 47 coisas que sua loja precisa'</t>
        </is>
      </c>
      <c r="D28" s="14" t="inlineStr">
        <is>
          <t>D+33</t>
        </is>
      </c>
      <c r="E28" s="14" t="inlineStr">
        <is>
          <t>Sócios</t>
        </is>
      </c>
      <c r="F28" s="14" t="inlineStr">
        <is>
          <t>☐</t>
        </is>
      </c>
    </row>
    <row r="29" ht="22" customHeight="1">
      <c r="B29" s="51" t="n">
        <v>3</v>
      </c>
      <c r="C29" s="5" t="inlineStr">
        <is>
          <t>Abrir formulário 'Diagnóstico Express 30min' (gratuito)</t>
        </is>
      </c>
      <c r="D29" s="14" t="inlineStr">
        <is>
          <t>D+33</t>
        </is>
      </c>
      <c r="E29" s="14" t="inlineStr">
        <is>
          <t>Sócios</t>
        </is>
      </c>
      <c r="F29" s="14" t="inlineStr">
        <is>
          <t>☐</t>
        </is>
      </c>
    </row>
    <row r="30" ht="22" customHeight="1">
      <c r="B30" s="51" t="n">
        <v>4</v>
      </c>
      <c r="C30" s="5" t="inlineStr">
        <is>
          <t>Iniciar outbound LinkedIn (50 mensagens/sem por sócio)</t>
        </is>
      </c>
      <c r="D30" s="14" t="inlineStr">
        <is>
          <t>D+35</t>
        </is>
      </c>
      <c r="E30" s="14" t="inlineStr">
        <is>
          <t>Sócios</t>
        </is>
      </c>
      <c r="F30" s="14" t="inlineStr">
        <is>
          <t>☐</t>
        </is>
      </c>
    </row>
    <row r="31" ht="22" customHeight="1">
      <c r="B31" s="51" t="n">
        <v>5</v>
      </c>
      <c r="C31" s="5" t="inlineStr">
        <is>
          <t>Cadastrar como Shopify Partner / Tray Partner / Nuvemshop Expert</t>
        </is>
      </c>
      <c r="D31" s="14" t="inlineStr">
        <is>
          <t>D+35</t>
        </is>
      </c>
      <c r="E31" s="14" t="inlineStr">
        <is>
          <t>Sócio 2</t>
        </is>
      </c>
      <c r="F31" s="14" t="inlineStr">
        <is>
          <t>☐</t>
        </is>
      </c>
    </row>
    <row r="32" ht="22" customHeight="1">
      <c r="B32" s="51" t="n">
        <v>6</v>
      </c>
      <c r="C32" s="5" t="inlineStr">
        <is>
          <t>Definir 1ª campanha Meta Ads (R$ 3-5k/mês, segmentação ICP)</t>
        </is>
      </c>
      <c r="D32" s="14" t="inlineStr">
        <is>
          <t>D+40</t>
        </is>
      </c>
      <c r="E32" s="14" t="inlineStr">
        <is>
          <t>Sócios</t>
        </is>
      </c>
      <c r="F32" s="14" t="inlineStr">
        <is>
          <t>☐</t>
        </is>
      </c>
    </row>
    <row r="33" ht="22" customHeight="1">
      <c r="B33" s="51" t="n">
        <v>7</v>
      </c>
      <c r="C33" s="5" t="inlineStr">
        <is>
          <t>Prospectar contadores parceiros para indicação cruzada (10 contatos)</t>
        </is>
      </c>
      <c r="D33" s="14" t="inlineStr">
        <is>
          <t>D+45</t>
        </is>
      </c>
      <c r="E33" s="14" t="inlineStr">
        <is>
          <t>Sócios</t>
        </is>
      </c>
      <c r="F33" s="14" t="inlineStr">
        <is>
          <t>☐</t>
        </is>
      </c>
    </row>
    <row r="34" ht="22" customHeight="1">
      <c r="B34" s="51" t="n">
        <v>8</v>
      </c>
      <c r="C34" s="5" t="inlineStr">
        <is>
          <t>Fechar 1º cliente Projeto 48h (validação de processo)</t>
        </is>
      </c>
      <c r="D34" s="14" t="inlineStr">
        <is>
          <t>D+50</t>
        </is>
      </c>
      <c r="E34" s="14" t="inlineStr">
        <is>
          <t>Sócios</t>
        </is>
      </c>
      <c r="F34" s="14" t="inlineStr">
        <is>
          <t>☐</t>
        </is>
      </c>
    </row>
    <row r="35" ht="22" customHeight="1">
      <c r="B35" s="51" t="n">
        <v>9</v>
      </c>
      <c r="C35" s="5" t="inlineStr">
        <is>
          <t>Fechar 2º cliente (ajustar tempo real vs prometido)</t>
        </is>
      </c>
      <c r="D35" s="14" t="inlineStr">
        <is>
          <t>D+55</t>
        </is>
      </c>
      <c r="E35" s="14" t="inlineStr">
        <is>
          <t>Sócios</t>
        </is>
      </c>
      <c r="F35" s="14" t="inlineStr">
        <is>
          <t>☐</t>
        </is>
      </c>
    </row>
    <row r="36" ht="22" customHeight="1">
      <c r="B36" s="51" t="n">
        <v>10</v>
      </c>
      <c r="C36" s="5" t="inlineStr">
        <is>
          <t>Fechar 3º cliente (consolidar SOPs)</t>
        </is>
      </c>
      <c r="D36" s="14" t="inlineStr">
        <is>
          <t>D+60</t>
        </is>
      </c>
      <c r="E36" s="14" t="inlineStr">
        <is>
          <t>Sócios</t>
        </is>
      </c>
      <c r="F36" s="14" t="inlineStr">
        <is>
          <t>☐</t>
        </is>
      </c>
    </row>
    <row r="37" ht="22" customHeight="1">
      <c r="B37" s="51" t="n">
        <v>11</v>
      </c>
      <c r="C37" s="5" t="inlineStr">
        <is>
          <t>Coletar NPS pós-projeto + ajustar processo se &lt; 8</t>
        </is>
      </c>
      <c r="D37" s="14" t="inlineStr">
        <is>
          <t>D+60</t>
        </is>
      </c>
      <c r="E37" s="14" t="inlineStr">
        <is>
          <t>Sócios</t>
        </is>
      </c>
      <c r="F37" s="14" t="inlineStr">
        <is>
          <t>☐</t>
        </is>
      </c>
    </row>
    <row r="38" ht="22" customHeight="1">
      <c r="B38" s="51" t="n">
        <v>12</v>
      </c>
      <c r="C38" s="5" t="inlineStr">
        <is>
          <t>Oferecer suporte mensal aos primeiros clientes (meta: 2 conversões)</t>
        </is>
      </c>
      <c r="D38" s="14" t="inlineStr">
        <is>
          <t>D+60</t>
        </is>
      </c>
      <c r="E38" s="14" t="inlineStr">
        <is>
          <t>Sócios</t>
        </is>
      </c>
      <c r="F38" s="14" t="inlineStr">
        <is>
          <t>☐</t>
        </is>
      </c>
    </row>
    <row r="39" ht="22" customHeight="1">
      <c r="B39" s="51" t="n">
        <v>13</v>
      </c>
      <c r="C39" s="5" t="inlineStr">
        <is>
          <t>Documentar 1º case real (com receita do cliente) para portfólio</t>
        </is>
      </c>
      <c r="D39" s="14" t="inlineStr">
        <is>
          <t>D+60</t>
        </is>
      </c>
      <c r="E39" s="14" t="inlineStr">
        <is>
          <t>Sócios</t>
        </is>
      </c>
      <c r="F39" s="14" t="inlineStr">
        <is>
          <t>☐</t>
        </is>
      </c>
    </row>
    <row r="40" ht="22" customHeight="1">
      <c r="B40" s="51" t="n">
        <v>14</v>
      </c>
      <c r="C40" s="5" t="inlineStr">
        <is>
          <t>Revisão semanal de horas reais vs estimadas (ajustar preço se desvio &gt; 15%)</t>
        </is>
      </c>
      <c r="D40" s="14" t="inlineStr">
        <is>
          <t>Semanal</t>
        </is>
      </c>
      <c r="E40" s="14" t="inlineStr">
        <is>
          <t>Sócios</t>
        </is>
      </c>
      <c r="F40" s="14" t="inlineStr">
        <is>
          <t>☐</t>
        </is>
      </c>
    </row>
    <row r="41" ht="22" customHeight="1">
      <c r="A41" s="3" t="inlineStr">
        <is>
          <t>🟩 DIAS 61-90 — OTIMIZAÇÃO, RECORRÊNCIA E PRÉ-ESCALA</t>
        </is>
      </c>
    </row>
    <row r="42" ht="22" customHeight="1">
      <c r="B42" s="51" t="n">
        <v>1</v>
      </c>
      <c r="C42" s="5" t="inlineStr">
        <is>
          <t>Revisar pacotes 48h com base nos primeiros 3-5 projetos</t>
        </is>
      </c>
      <c r="D42" s="14" t="inlineStr">
        <is>
          <t>D+65</t>
        </is>
      </c>
      <c r="E42" s="14" t="inlineStr">
        <is>
          <t>Sócios</t>
        </is>
      </c>
      <c r="F42" s="14" t="inlineStr">
        <is>
          <t>☐</t>
        </is>
      </c>
    </row>
    <row r="43" ht="22" customHeight="1">
      <c r="B43" s="51" t="n">
        <v>2</v>
      </c>
      <c r="C43" s="5" t="inlineStr">
        <is>
          <t>Ajustar preços se margem real divergir &gt; 15% da projetada</t>
        </is>
      </c>
      <c r="D43" s="14" t="inlineStr">
        <is>
          <t>D+65</t>
        </is>
      </c>
      <c r="E43" s="14" t="inlineStr">
        <is>
          <t>Sócios</t>
        </is>
      </c>
      <c r="F43" s="14" t="inlineStr">
        <is>
          <t>☐</t>
        </is>
      </c>
    </row>
    <row r="44" ht="22" customHeight="1">
      <c r="B44" s="51" t="n">
        <v>3</v>
      </c>
      <c r="C44" s="5" t="inlineStr">
        <is>
          <t>Formalizar parceria com Shopify/Tray/Nuvemshop (receber comissões)</t>
        </is>
      </c>
      <c r="D44" s="14" t="inlineStr">
        <is>
          <t>D+70</t>
        </is>
      </c>
      <c r="E44" s="14" t="inlineStr">
        <is>
          <t>Sócios</t>
        </is>
      </c>
      <c r="F44" s="14" t="inlineStr">
        <is>
          <t>☐</t>
        </is>
      </c>
    </row>
    <row r="45" ht="22" customHeight="1">
      <c r="B45" s="51" t="n">
        <v>4</v>
      </c>
      <c r="C45" s="5" t="inlineStr">
        <is>
          <t>Criar processo comercial documentado (funil + scripts + propostas)</t>
        </is>
      </c>
      <c r="D45" s="14" t="inlineStr">
        <is>
          <t>D+75</t>
        </is>
      </c>
      <c r="E45" s="14" t="inlineStr">
        <is>
          <t>Sócios</t>
        </is>
      </c>
      <c r="F45" s="14" t="inlineStr">
        <is>
          <t>☐</t>
        </is>
      </c>
    </row>
    <row r="46" ht="22" customHeight="1">
      <c r="B46" s="51" t="n">
        <v>5</v>
      </c>
      <c r="C46" s="5" t="inlineStr">
        <is>
          <t>Meta: 6 clientes Projeto 48h fechados nos primeiros 90 dias</t>
        </is>
      </c>
      <c r="D46" s="14" t="inlineStr">
        <is>
          <t>D+90</t>
        </is>
      </c>
      <c r="E46" s="14" t="inlineStr">
        <is>
          <t>Sócios</t>
        </is>
      </c>
      <c r="F46" s="14" t="inlineStr">
        <is>
          <t>☐</t>
        </is>
      </c>
    </row>
    <row r="47" ht="22" customHeight="1">
      <c r="B47" s="51" t="n">
        <v>6</v>
      </c>
      <c r="C47" s="5" t="inlineStr">
        <is>
          <t>Meta: 3 contratos de suporte mensal ativos (MRR &gt; R$ 3.000)</t>
        </is>
      </c>
      <c r="D47" s="14" t="inlineStr">
        <is>
          <t>D+90</t>
        </is>
      </c>
      <c r="E47" s="14" t="inlineStr">
        <is>
          <t>Sócios</t>
        </is>
      </c>
      <c r="F47" s="14" t="inlineStr">
        <is>
          <t>☐</t>
        </is>
      </c>
    </row>
    <row r="48" ht="22" customHeight="1">
      <c r="B48" s="51" t="n">
        <v>7</v>
      </c>
      <c r="C48" s="5" t="inlineStr">
        <is>
          <t>Atingir 60% de conversão setup → suporte mensal</t>
        </is>
      </c>
      <c r="D48" s="14" t="inlineStr">
        <is>
          <t>D+90</t>
        </is>
      </c>
      <c r="E48" s="14" t="inlineStr">
        <is>
          <t>Sócios</t>
        </is>
      </c>
      <c r="F48" s="14" t="inlineStr">
        <is>
          <t>☐</t>
        </is>
      </c>
    </row>
    <row r="49" ht="22" customHeight="1">
      <c r="B49" s="51" t="n">
        <v>8</v>
      </c>
      <c r="C49" s="5" t="inlineStr">
        <is>
          <t>Publicar 3 cases com receita real do cliente</t>
        </is>
      </c>
      <c r="D49" s="14" t="inlineStr">
        <is>
          <t>D+90</t>
        </is>
      </c>
      <c r="E49" s="14" t="inlineStr">
        <is>
          <t>Sócios</t>
        </is>
      </c>
      <c r="F49" s="14" t="inlineStr">
        <is>
          <t>☐</t>
        </is>
      </c>
    </row>
    <row r="50" ht="22" customHeight="1">
      <c r="B50" s="51" t="n">
        <v>9</v>
      </c>
      <c r="C50" s="5" t="inlineStr">
        <is>
          <t>Analisar capacidade real e gargalos (planejar 3º profissional)</t>
        </is>
      </c>
      <c r="D50" s="14" t="inlineStr">
        <is>
          <t>D+85</t>
        </is>
      </c>
      <c r="E50" s="14" t="inlineStr">
        <is>
          <t>Sócios</t>
        </is>
      </c>
      <c r="F50" s="14" t="inlineStr">
        <is>
          <t>☐</t>
        </is>
      </c>
    </row>
    <row r="51" ht="22" customHeight="1">
      <c r="B51" s="51" t="n">
        <v>10</v>
      </c>
      <c r="C51" s="5" t="inlineStr">
        <is>
          <t>Revisar metas O1/O2/O3 dos OKRs e definir KRs do trimestre seguinte</t>
        </is>
      </c>
      <c r="D51" s="14" t="inlineStr">
        <is>
          <t>D+90</t>
        </is>
      </c>
      <c r="E51" s="14" t="inlineStr">
        <is>
          <t>Sócios</t>
        </is>
      </c>
      <c r="F51" s="14" t="inlineStr">
        <is>
          <t>☐</t>
        </is>
      </c>
    </row>
    <row r="52" ht="22" customHeight="1">
      <c r="B52" s="51" t="n">
        <v>11</v>
      </c>
      <c r="C52" s="5" t="inlineStr">
        <is>
          <t>Criar v1.0 do Método Impulso 48h documentado (playbook + blocos + IA)</t>
        </is>
      </c>
      <c r="D52" s="14" t="inlineStr">
        <is>
          <t>D+90</t>
        </is>
      </c>
      <c r="E52" s="14" t="inlineStr">
        <is>
          <t>Sócios</t>
        </is>
      </c>
      <c r="F52" s="14" t="inlineStr">
        <is>
          <t>☐</t>
        </is>
      </c>
    </row>
    <row r="53" ht="22" customHeight="1">
      <c r="B53" s="51" t="n">
        <v>12</v>
      </c>
      <c r="C53" s="5" t="inlineStr">
        <is>
          <t>Revisão financeira: faturamento atingido vs PE, ajustar pró-labore</t>
        </is>
      </c>
      <c r="D53" s="14" t="inlineStr">
        <is>
          <t>D+90</t>
        </is>
      </c>
      <c r="E53" s="14" t="inlineStr">
        <is>
          <t>Sócios + Contador</t>
        </is>
      </c>
      <c r="F53" s="14" t="inlineStr">
        <is>
          <t>☐</t>
        </is>
      </c>
    </row>
    <row r="55" ht="22" customHeight="1">
      <c r="A55" s="3" t="inlineStr">
        <is>
          <t>🎯 METAS DOS 90 DIAS (resumo)</t>
        </is>
      </c>
    </row>
    <row r="56" ht="22" customHeight="1">
      <c r="B56" s="38" t="inlineStr">
        <is>
          <t>✅ 6 clientes Projeto 48h fechados</t>
        </is>
      </c>
    </row>
    <row r="57" ht="22" customHeight="1">
      <c r="B57" s="38" t="inlineStr">
        <is>
          <t>✅ 3 contratos de suporte mensal ativos (MRR &gt; R$ 3.000)</t>
        </is>
      </c>
    </row>
    <row r="58" ht="22" customHeight="1">
      <c r="B58" s="38" t="inlineStr">
        <is>
          <t>✅ Taxa de conversão setup → suporte ≥ 60%</t>
        </is>
      </c>
    </row>
    <row r="59" ht="22" customHeight="1">
      <c r="B59" s="38" t="inlineStr">
        <is>
          <t>✅ NPS médio &gt; 8</t>
        </is>
      </c>
    </row>
    <row r="60" ht="22" customHeight="1">
      <c r="B60" s="38" t="inlineStr">
        <is>
          <t>✅ Faturamento total 90d &gt; R$ 25.000</t>
        </is>
      </c>
    </row>
    <row r="61" ht="22" customHeight="1">
      <c r="B61" s="38" t="inlineStr">
        <is>
          <t>✅ Método Impulso 48h v1.0 documentado</t>
        </is>
      </c>
    </row>
    <row r="62" ht="22" customHeight="1">
      <c r="B62" s="38" t="inlineStr">
        <is>
          <t>✅ 3 cases publicados com receita real do cliente</t>
        </is>
      </c>
    </row>
    <row r="63" ht="22" customHeight="1">
      <c r="B63" s="38" t="inlineStr">
        <is>
          <t>✅ Estrutura jurídica, contábil e operacional 100% pronta</t>
        </is>
      </c>
    </row>
  </sheetData>
  <mergeCells count="13">
    <mergeCell ref="A1:G1"/>
    <mergeCell ref="B62:F62"/>
    <mergeCell ref="A55:G55"/>
    <mergeCell ref="B58:F58"/>
    <mergeCell ref="B59:F59"/>
    <mergeCell ref="B60:F60"/>
    <mergeCell ref="A26:G26"/>
    <mergeCell ref="B63:F63"/>
    <mergeCell ref="B61:F61"/>
    <mergeCell ref="A41:G41"/>
    <mergeCell ref="B56:F56"/>
    <mergeCell ref="B57:F5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2026-06-10T14:50:51Z</dcterms:created>
  <dcterms:modified xsi:type="dcterms:W3CDTF">2026-06-10T14:50:51Z</dcterms:modified>
</cp:coreProperties>
</file>