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sumo por Mês" sheetId="2" state="visible" r:id="rId2"/>
    <sheet name="Contas Pessoais" sheetId="3" state="visible" r:id="rId3"/>
    <sheet name="Contas Studio" sheetId="4" state="visible" r:id="rId4"/>
    <sheet name="Resumo por Categoria" sheetId="5" state="visible" r:id="rId5"/>
    <sheet name="Controle Mensal" sheetId="6" state="visible" r:id="rId6"/>
    <sheet name="Lançamentos" sheetId="7" state="visible" r:id="rId7"/>
    <sheet name="Projeção Futura" sheetId="8" state="visible" r:id="rId8"/>
    <sheet name="Alimentação Futura" sheetId="9" state="visible" r:id="rId9"/>
  </sheets>
  <definedNames>
    <definedName name="_xlnm._FilterDatabase" localSheetId="6" hidden="1">'Lançamentos'!$A$1:$O$752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R$ #,##0.00;[Red]R$ -#,##0.00"/>
    <numFmt numFmtId="167" formatCode="0.0%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i val="1"/>
    </font>
    <font>
      <b val="1"/>
      <color rgb="00C00000"/>
    </font>
    <font>
      <b val="1"/>
      <color rgb="00006100"/>
    </font>
    <font>
      <b val="1"/>
      <color rgb="007F6000"/>
    </font>
    <font>
      <b val="1"/>
      <color rgb="00305496"/>
      <sz val="12"/>
    </font>
    <font>
      <b val="1"/>
      <color rgb="00305496"/>
      <sz val="16"/>
    </font>
    <font/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10" fillId="0" borderId="0" pivotButton="0" quotePrefix="0" xfId="0"/>
    <xf numFmtId="166" fontId="3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8" fillId="0" borderId="0" pivotButton="0" quotePrefix="0" xfId="0"/>
    <xf numFmtId="0" fontId="1" fillId="2" borderId="0" pivotButton="0" quotePrefix="0" xfId="0"/>
    <xf numFmtId="167" fontId="0" fillId="0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3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0" fontId="4" fillId="5" borderId="1" pivotButton="0" quotePrefix="0" xfId="0"/>
    <xf numFmtId="0" fontId="0" fillId="5" borderId="1" pivotButton="0" quotePrefix="0" xfId="0"/>
    <xf numFmtId="166" fontId="4" fillId="5" borderId="1" pivotButton="0" quotePrefix="0" xfId="0"/>
    <xf numFmtId="0" fontId="3" fillId="6" borderId="1" pivotButton="0" quotePrefix="0" xfId="0"/>
    <xf numFmtId="0" fontId="0" fillId="6" borderId="1" pivotButton="0" quotePrefix="0" xfId="0"/>
    <xf numFmtId="0" fontId="0" fillId="3" borderId="1" pivotButton="0" quotePrefix="0" xfId="0"/>
    <xf numFmtId="166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165" fontId="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</cols>
  <sheetData>
    <row r="1">
      <c r="A1" s="1" t="inlineStr">
        <is>
          <t>DASHBOARD FINANCEIRO</t>
        </is>
      </c>
    </row>
    <row r="3">
      <c r="A3" s="2" t="inlineStr">
        <is>
          <t>Período analisado</t>
        </is>
      </c>
      <c r="B3">
        <f>"Janeiro/2026 a Dezembro/2026"</f>
        <v/>
      </c>
    </row>
    <row r="4">
      <c r="A4" s="2" t="inlineStr">
        <is>
          <t>Total de Receitas (real)</t>
        </is>
      </c>
      <c r="B4" s="3">
        <f>SUMIFS('Lançamentos'!$H$2:$H$2000,'Lançamentos'!$H$2:$H$2000,"&gt;0",'Lançamentos'!$E$2:$E$2000,"&lt;&gt;Transferência - Bruno (própria)",'Lançamentos'!$E$2:$E$2000,"&lt;&gt;Transferência - Denise")</f>
        <v/>
      </c>
    </row>
    <row r="5">
      <c r="A5" s="4" t="inlineStr">
        <is>
          <t xml:space="preserve">  ↳ Midialike (separado)</t>
        </is>
      </c>
      <c r="B5" s="3">
        <f>SUMIF('Lançamentos'!$E$2:$E$2000,"Receita - Midialike",'Lançamentos'!$H$2:$H$2000)</f>
        <v/>
      </c>
    </row>
    <row r="6">
      <c r="A6" s="4" t="inlineStr">
        <is>
          <t xml:space="preserve">  ↳ Denise / Salão (recebidos)</t>
        </is>
      </c>
      <c r="B6" s="3">
        <f>SUMIF('Lançamentos'!$E$2:$E$2000,"Receita - Denise (Salão)",'Lançamentos'!$H$2:$H$2000)</f>
        <v/>
      </c>
    </row>
    <row r="7">
      <c r="A7" s="4" t="inlineStr">
        <is>
          <t xml:space="preserve">  ↳ Clientes Studio (Pix recebidos)</t>
        </is>
      </c>
      <c r="B7" s="3">
        <f>SUMIF('Lançamentos'!$E$2:$E$2000,"Receita - Clientes Studio",'Lançamentos'!$H$2:$H$2000)</f>
        <v/>
      </c>
    </row>
    <row r="8">
      <c r="A8" s="4" t="inlineStr">
        <is>
          <t xml:space="preserve">  ↳ Liberação de Crédito (Studio)</t>
        </is>
      </c>
      <c r="B8" s="3">
        <f>SUMIF('Lançamentos'!$E$2:$E$2000,"Receita - Liberação de Crédito",'Lançamentos'!$H$2:$H$2000)</f>
        <v/>
      </c>
    </row>
    <row r="9">
      <c r="A9" s="4" t="inlineStr">
        <is>
          <t xml:space="preserve">  ↳ Reembolsos</t>
        </is>
      </c>
      <c r="B9" s="3">
        <f>SUMIF('Lançamentos'!$E$2:$E$2000,"Receita - Reembolso",'Lançamentos'!$H$2:$H$2000)</f>
        <v/>
      </c>
    </row>
    <row r="10">
      <c r="A10" s="4" t="inlineStr">
        <is>
          <t xml:space="preserve">  ↳ Outras receitas</t>
        </is>
      </c>
      <c r="B10" s="3">
        <f>SUMIF('Lançamentos'!$E$2:$E$2000,"Receita - Outros",'Lançamentos'!$H$2:$H$2000)</f>
        <v/>
      </c>
    </row>
    <row r="11">
      <c r="A11" s="2" t="inlineStr">
        <is>
          <t>Total de Despesas (pago)</t>
        </is>
      </c>
      <c r="B11" s="3">
        <f>SUMIFS('Lançamentos'!$H$2:$H$2000,'Lançamentos'!$H$2:$H$2000,"&lt;0",'Lançamentos'!$E$2:$E$2000,"&lt;&gt;Transferência - Bruno (própria)",'Lançamentos'!$E$2:$E$2000,"&lt;&gt;Transferência - Denise")</f>
        <v/>
      </c>
    </row>
    <row r="12">
      <c r="A12" s="2" t="inlineStr">
        <is>
          <t>Saldo Líquido do Período</t>
        </is>
      </c>
      <c r="B12" s="5">
        <f>B4+B11</f>
        <v/>
      </c>
    </row>
    <row r="13">
      <c r="A13" s="4" t="inlineStr">
        <is>
          <t>Média mensal de receitas</t>
        </is>
      </c>
      <c r="B13" s="3">
        <f>B4/12</f>
        <v/>
      </c>
    </row>
    <row r="14">
      <c r="A14" s="4" t="inlineStr">
        <is>
          <t>Média mensal de despesas</t>
        </is>
      </c>
      <c r="B14" s="3">
        <f>B11/12</f>
        <v/>
      </c>
    </row>
    <row r="15">
      <c r="A15" s="2" t="inlineStr">
        <is>
          <t>Total Contas Fixas</t>
        </is>
      </c>
      <c r="B15" s="3">
        <f>SUMIF('Lançamentos'!$E$2:$E$2000,"Contas Fixas",'Lançamentos'!$H$2:$H$2000)</f>
        <v/>
      </c>
    </row>
    <row r="16">
      <c r="A16" s="2" t="inlineStr">
        <is>
          <t>Total Contas Variáveis</t>
        </is>
      </c>
      <c r="B16" s="3">
        <f>SUMIF('Lançamentos'!$E$2:$E$2000,"Contas Variáveis",'Lançamentos'!$H$2:$H$2000)</f>
        <v/>
      </c>
    </row>
    <row r="17">
      <c r="A17" s="2" t="inlineStr">
        <is>
          <t>Total Pessoal (categoria)</t>
        </is>
      </c>
      <c r="B17" s="3">
        <f>SUMIF('Lançamentos'!$E$2:$E$2000,"Pessoal",'Lançamentos'!$H$2:$H$2000)</f>
        <v/>
      </c>
    </row>
    <row r="18">
      <c r="A18" s="2" t="inlineStr">
        <is>
          <t>Total Impostos</t>
        </is>
      </c>
      <c r="B18" s="3">
        <f>SUMIF('Lançamentos'!$E$2:$E$2000,"Impostos",'Lançamentos'!$H$2:$H$2000)</f>
        <v/>
      </c>
    </row>
    <row r="19">
      <c r="A19" s="2" t="inlineStr">
        <is>
          <t>Total Outros</t>
        </is>
      </c>
      <c r="B19" s="3">
        <f>SUMIF('Lançamentos'!$E$2:$E$2000,"Outros",'Lançamentos'!$H$2:$H$2000)</f>
        <v/>
      </c>
    </row>
    <row r="20">
      <c r="A20" s="4" t="inlineStr">
        <is>
          <t>--- POR ESFERA ---</t>
        </is>
      </c>
    </row>
    <row r="21">
      <c r="A21" s="4" t="inlineStr">
        <is>
          <t>Receitas Esfera Pessoal</t>
        </is>
      </c>
      <c r="B21" s="3">
        <f>SUMIFS('Lançamentos'!$H$2:$H$2000,'Lançamentos'!$D$2:$D$2000,"Pessoal",'Lançamentos'!$H$2:$H$2000,"&gt;0")</f>
        <v/>
      </c>
    </row>
    <row r="22">
      <c r="A22" s="4" t="inlineStr">
        <is>
          <t>Despesas Esfera Pessoal</t>
        </is>
      </c>
      <c r="B22" s="3">
        <f>SUMIFS('Lançamentos'!$H$2:$H$2000,'Lançamentos'!$D$2:$D$2000,"Pessoal",'Lançamentos'!$H$2:$H$2000,"&lt;0")</f>
        <v/>
      </c>
    </row>
    <row r="23">
      <c r="A23" s="4" t="inlineStr">
        <is>
          <t>Receitas Esfera Studio</t>
        </is>
      </c>
      <c r="B23" s="3">
        <f>SUMIFS('Lançamentos'!$H$2:$H$2000,'Lançamentos'!$D$2:$D$2000,"Studio",'Lançamentos'!$H$2:$H$2000,"&gt;0")</f>
        <v/>
      </c>
    </row>
    <row r="24">
      <c r="A24" s="4" t="inlineStr">
        <is>
          <t>Despesas Esfera Studio</t>
        </is>
      </c>
      <c r="B24" s="3">
        <f>SUMIFS('Lançamentos'!$H$2:$H$2000,'Lançamentos'!$D$2:$D$2000,"Studio",'Lançamentos'!$H$2:$H$2000,"&lt;0")</f>
        <v/>
      </c>
    </row>
    <row r="25">
      <c r="A25" s="4" t="inlineStr">
        <is>
          <t>--- TRANSFERÊNCIAS (NÃO CONTAM) ---</t>
        </is>
      </c>
    </row>
    <row r="26">
      <c r="A26" s="4" t="inlineStr">
        <is>
          <t>Transferência Bruno↔Bruno</t>
        </is>
      </c>
      <c r="B26" s="3">
        <f>SUMIF('Lançamentos'!$E$2:$E$2000,"Transferência - Bruno (própria)",'Lançamentos'!$H$2:$H$2000)</f>
        <v/>
      </c>
    </row>
    <row r="27">
      <c r="A27" s="4" t="inlineStr">
        <is>
          <t>Transferência Bruno→Denise</t>
        </is>
      </c>
      <c r="B27" s="3">
        <f>SUMIF('Lançamentos'!$E$2:$E$2000,"Transferência - Denise",'Lançamentos'!$H$2:$H$2000)</f>
        <v/>
      </c>
    </row>
    <row r="28">
      <c r="A28" s="4" t="inlineStr">
        <is>
          <t>---</t>
        </is>
      </c>
    </row>
    <row r="29">
      <c r="A29" s="4" t="inlineStr">
        <is>
          <t>Lançamentos totais</t>
        </is>
      </c>
      <c r="B29" s="3">
        <f>COUNTA('Lançamentos'!$A$2:$A$2000)</f>
        <v/>
      </c>
    </row>
    <row r="30">
      <c r="A30" s="4" t="inlineStr">
        <is>
          <t>Despesas sem comprovante</t>
        </is>
      </c>
      <c r="B30" s="3">
        <f>COUNTIFS('Lançamentos'!$H$2:$H$2000,"&lt;0",'Lançamentos'!$L$2:$L$2000,"")</f>
        <v/>
      </c>
    </row>
    <row r="32">
      <c r="A32" s="6" t="inlineStr">
        <is>
          <t>PONTOS DE ATENÇÃO</t>
        </is>
      </c>
    </row>
    <row r="33">
      <c r="A33" t="inlineStr">
        <is>
          <t>• Todas as fórmulas referenciam a aba Lançamentos. Edite/adicione linhas lá e tudo recalcula.</t>
        </is>
      </c>
    </row>
    <row r="34">
      <c r="A34" t="inlineStr">
        <is>
          <t>• Para novos lançamentos: use a aba "Alimentação Futura" ou adicione direto em Lançamentos (linhas reservadas até 2000).</t>
        </is>
      </c>
    </row>
    <row r="35">
      <c r="A35" t="inlineStr">
        <is>
          <t>• Recibos do WhatsApp foram cruzados por categoria + data próxima (±5 dias).</t>
        </is>
      </c>
    </row>
    <row r="36">
      <c r="A36" t="inlineStr">
        <is>
          <t>• Fontes: Nubank (Mar-Jun/2026), Mercado Pago (Jan-Mai/2026).</t>
        </is>
      </c>
    </row>
    <row r="37">
      <c r="A37" t="inlineStr">
        <is>
          <t>• Não há dados de MP em Abril/2026. Junho/2026 está parcial.</t>
        </is>
      </c>
    </row>
    <row r="38">
      <c r="A38" t="inlineStr">
        <is>
          <t>• Transferências Bruno↔Bruno entre contas próprias estão em "Transferência Interna" — excluídas dos totais.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6" customWidth="1" min="3" max="3"/>
    <col width="14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6" customWidth="1" min="16" max="16"/>
    <col width="16" customWidth="1" min="17" max="17"/>
  </cols>
  <sheetData>
    <row r="1">
      <c r="A1" s="7" t="inlineStr">
        <is>
          <t>Mês</t>
        </is>
      </c>
      <c r="B1" s="7" t="inlineStr">
        <is>
          <t>Mês Nº</t>
        </is>
      </c>
      <c r="C1" s="7" t="inlineStr">
        <is>
          <t>Ano</t>
        </is>
      </c>
      <c r="D1" s="7" t="inlineStr">
        <is>
          <t>Midialike</t>
        </is>
      </c>
      <c r="E1" s="7" t="inlineStr">
        <is>
          <t>Denise (Salão)</t>
        </is>
      </c>
      <c r="F1" s="7" t="inlineStr">
        <is>
          <t>Clientes Studio</t>
        </is>
      </c>
      <c r="G1" s="7" t="inlineStr">
        <is>
          <t>Liberação Crédito</t>
        </is>
      </c>
      <c r="H1" s="7" t="inlineStr">
        <is>
          <t>Reembolso</t>
        </is>
      </c>
      <c r="I1" s="7" t="inlineStr">
        <is>
          <t>Outras Receitas</t>
        </is>
      </c>
      <c r="J1" s="7" t="inlineStr">
        <is>
          <t>Total Receitas</t>
        </is>
      </c>
      <c r="K1" s="7" t="inlineStr">
        <is>
          <t>Contas Fixas</t>
        </is>
      </c>
      <c r="L1" s="7" t="inlineStr">
        <is>
          <t>Contas Variáveis</t>
        </is>
      </c>
      <c r="M1" s="7" t="inlineStr">
        <is>
          <t>Pessoal</t>
        </is>
      </c>
      <c r="N1" s="7" t="inlineStr">
        <is>
          <t>Impostos</t>
        </is>
      </c>
      <c r="O1" s="7" t="inlineStr">
        <is>
          <t>Outros</t>
        </is>
      </c>
      <c r="P1" s="7" t="inlineStr">
        <is>
          <t>Total Despesas</t>
        </is>
      </c>
      <c r="Q1" s="7" t="inlineStr">
        <is>
          <t>Saldo</t>
        </is>
      </c>
    </row>
    <row r="2">
      <c r="A2" t="inlineStr">
        <is>
          <t>Janeiro/2026</t>
        </is>
      </c>
      <c r="B2" t="n">
        <v>1</v>
      </c>
      <c r="C2" t="n">
        <v>2026</v>
      </c>
      <c r="D2" s="3">
        <f>SUMIFS('Lançamentos'!$H$2:$H$2000,'Lançamentos'!$B$2:$B$2000,B2,'Lançamentos'!$C$2:$C$2000,C2,'Lançamentos'!$E$2:$E$2000,"Receita - Midialike")</f>
        <v/>
      </c>
      <c r="E2" s="3">
        <f>SUMIFS('Lançamentos'!$H$2:$H$2000,'Lançamentos'!$B$2:$B$2000,B2,'Lançamentos'!$C$2:$C$2000,C2,'Lançamentos'!$E$2:$E$2000,"Receita - Denise (Salão)")</f>
        <v/>
      </c>
      <c r="F2" s="3">
        <f>SUMIFS('Lançamentos'!$H$2:$H$2000,'Lançamentos'!$B$2:$B$2000,B2,'Lançamentos'!$C$2:$C$2000,C2,'Lançamentos'!$E$2:$E$2000,"Receita - Clientes Studio")</f>
        <v/>
      </c>
      <c r="G2" s="3">
        <f>SUMIFS('Lançamentos'!$H$2:$H$2000,'Lançamentos'!$B$2:$B$2000,B2,'Lançamentos'!$C$2:$C$2000,C2,'Lançamentos'!$E$2:$E$2000,"Receita - Liberação de Crédito")</f>
        <v/>
      </c>
      <c r="H2" s="3">
        <f>SUMIFS('Lançamentos'!$H$2:$H$2000,'Lançamentos'!$B$2:$B$2000,B2,'Lançamentos'!$C$2:$C$2000,C2,'Lançamentos'!$E$2:$E$2000,"Receita - Reembolso")</f>
        <v/>
      </c>
      <c r="I2" s="3">
        <f>SUMIFS('Lançamentos'!$H$2:$H$2000,'Lançamentos'!$B$2:$B$2000,B2,'Lançamentos'!$C$2:$C$2000,C2,'Lançamentos'!$E$2:$E$2000,"Receita - Outros")</f>
        <v/>
      </c>
      <c r="J2" s="3">
        <f>SUM(D2:I2)</f>
        <v/>
      </c>
      <c r="K2" s="3">
        <f>SUMIFS('Lançamentos'!$H$2:$H$2000,'Lançamentos'!$B$2:$B$2000,B2,'Lançamentos'!$C$2:$C$2000,C2,'Lançamentos'!$E$2:$E$2000,"Contas Fixas")</f>
        <v/>
      </c>
      <c r="L2" s="3">
        <f>SUMIFS('Lançamentos'!$H$2:$H$2000,'Lançamentos'!$B$2:$B$2000,B2,'Lançamentos'!$C$2:$C$2000,C2,'Lançamentos'!$E$2:$E$2000,"Contas Variáveis")</f>
        <v/>
      </c>
      <c r="M2" s="3">
        <f>SUMIFS('Lançamentos'!$H$2:$H$2000,'Lançamentos'!$B$2:$B$2000,B2,'Lançamentos'!$C$2:$C$2000,C2,'Lançamentos'!$E$2:$E$2000,"Pessoal")</f>
        <v/>
      </c>
      <c r="N2" s="3">
        <f>SUMIFS('Lançamentos'!$H$2:$H$2000,'Lançamentos'!$B$2:$B$2000,B2,'Lançamentos'!$C$2:$C$2000,C2,'Lançamentos'!$E$2:$E$2000,"Impostos")</f>
        <v/>
      </c>
      <c r="O2" s="3">
        <f>SUMIFS('Lançamentos'!$H$2:$H$2000,'Lançamentos'!$B$2:$B$2000,B2,'Lançamentos'!$C$2:$C$2000,C2,'Lançamentos'!$E$2:$E$2000,"Outros")</f>
        <v/>
      </c>
      <c r="P2" s="3">
        <f>SUM(K2:O2)</f>
        <v/>
      </c>
      <c r="Q2" s="3">
        <f>J2+P2</f>
        <v/>
      </c>
    </row>
    <row r="3">
      <c r="A3" t="inlineStr">
        <is>
          <t>Fevereiro/2026</t>
        </is>
      </c>
      <c r="B3" t="n">
        <v>2</v>
      </c>
      <c r="C3" t="n">
        <v>2026</v>
      </c>
      <c r="D3" s="3">
        <f>SUMIFS('Lançamentos'!$H$2:$H$2000,'Lançamentos'!$B$2:$B$2000,B3,'Lançamentos'!$C$2:$C$2000,C3,'Lançamentos'!$E$2:$E$2000,"Receita - Midialike")</f>
        <v/>
      </c>
      <c r="E3" s="3">
        <f>SUMIFS('Lançamentos'!$H$2:$H$2000,'Lançamentos'!$B$2:$B$2000,B3,'Lançamentos'!$C$2:$C$2000,C3,'Lançamentos'!$E$2:$E$2000,"Receita - Denise (Salão)")</f>
        <v/>
      </c>
      <c r="F3" s="3">
        <f>SUMIFS('Lançamentos'!$H$2:$H$2000,'Lançamentos'!$B$2:$B$2000,B3,'Lançamentos'!$C$2:$C$2000,C3,'Lançamentos'!$E$2:$E$2000,"Receita - Clientes Studio")</f>
        <v/>
      </c>
      <c r="G3" s="3">
        <f>SUMIFS('Lançamentos'!$H$2:$H$2000,'Lançamentos'!$B$2:$B$2000,B3,'Lançamentos'!$C$2:$C$2000,C3,'Lançamentos'!$E$2:$E$2000,"Receita - Liberação de Crédito")</f>
        <v/>
      </c>
      <c r="H3" s="3">
        <f>SUMIFS('Lançamentos'!$H$2:$H$2000,'Lançamentos'!$B$2:$B$2000,B3,'Lançamentos'!$C$2:$C$2000,C3,'Lançamentos'!$E$2:$E$2000,"Receita - Reembolso")</f>
        <v/>
      </c>
      <c r="I3" s="3">
        <f>SUMIFS('Lançamentos'!$H$2:$H$2000,'Lançamentos'!$B$2:$B$2000,B3,'Lançamentos'!$C$2:$C$2000,C3,'Lançamentos'!$E$2:$E$2000,"Receita - Outros")</f>
        <v/>
      </c>
      <c r="J3" s="3">
        <f>SUM(D3:I3)</f>
        <v/>
      </c>
      <c r="K3" s="3">
        <f>SUMIFS('Lançamentos'!$H$2:$H$2000,'Lançamentos'!$B$2:$B$2000,B3,'Lançamentos'!$C$2:$C$2000,C3,'Lançamentos'!$E$2:$E$2000,"Contas Fixas")</f>
        <v/>
      </c>
      <c r="L3" s="3">
        <f>SUMIFS('Lançamentos'!$H$2:$H$2000,'Lançamentos'!$B$2:$B$2000,B3,'Lançamentos'!$C$2:$C$2000,C3,'Lançamentos'!$E$2:$E$2000,"Contas Variáveis")</f>
        <v/>
      </c>
      <c r="M3" s="3">
        <f>SUMIFS('Lançamentos'!$H$2:$H$2000,'Lançamentos'!$B$2:$B$2000,B3,'Lançamentos'!$C$2:$C$2000,C3,'Lançamentos'!$E$2:$E$2000,"Pessoal")</f>
        <v/>
      </c>
      <c r="N3" s="3">
        <f>SUMIFS('Lançamentos'!$H$2:$H$2000,'Lançamentos'!$B$2:$B$2000,B3,'Lançamentos'!$C$2:$C$2000,C3,'Lançamentos'!$E$2:$E$2000,"Impostos")</f>
        <v/>
      </c>
      <c r="O3" s="3">
        <f>SUMIFS('Lançamentos'!$H$2:$H$2000,'Lançamentos'!$B$2:$B$2000,B3,'Lançamentos'!$C$2:$C$2000,C3,'Lançamentos'!$E$2:$E$2000,"Outros")</f>
        <v/>
      </c>
      <c r="P3" s="3">
        <f>SUM(K3:O3)</f>
        <v/>
      </c>
      <c r="Q3" s="3">
        <f>J3+P3</f>
        <v/>
      </c>
    </row>
    <row r="4">
      <c r="A4" t="inlineStr">
        <is>
          <t>Março/2026</t>
        </is>
      </c>
      <c r="B4" t="n">
        <v>3</v>
      </c>
      <c r="C4" t="n">
        <v>2026</v>
      </c>
      <c r="D4" s="3">
        <f>SUMIFS('Lançamentos'!$H$2:$H$2000,'Lançamentos'!$B$2:$B$2000,B4,'Lançamentos'!$C$2:$C$2000,C4,'Lançamentos'!$E$2:$E$2000,"Receita - Midialike")</f>
        <v/>
      </c>
      <c r="E4" s="3">
        <f>SUMIFS('Lançamentos'!$H$2:$H$2000,'Lançamentos'!$B$2:$B$2000,B4,'Lançamentos'!$C$2:$C$2000,C4,'Lançamentos'!$E$2:$E$2000,"Receita - Denise (Salão)")</f>
        <v/>
      </c>
      <c r="F4" s="3">
        <f>SUMIFS('Lançamentos'!$H$2:$H$2000,'Lançamentos'!$B$2:$B$2000,B4,'Lançamentos'!$C$2:$C$2000,C4,'Lançamentos'!$E$2:$E$2000,"Receita - Clientes Studio")</f>
        <v/>
      </c>
      <c r="G4" s="3">
        <f>SUMIFS('Lançamentos'!$H$2:$H$2000,'Lançamentos'!$B$2:$B$2000,B4,'Lançamentos'!$C$2:$C$2000,C4,'Lançamentos'!$E$2:$E$2000,"Receita - Liberação de Crédito")</f>
        <v/>
      </c>
      <c r="H4" s="3">
        <f>SUMIFS('Lançamentos'!$H$2:$H$2000,'Lançamentos'!$B$2:$B$2000,B4,'Lançamentos'!$C$2:$C$2000,C4,'Lançamentos'!$E$2:$E$2000,"Receita - Reembolso")</f>
        <v/>
      </c>
      <c r="I4" s="3">
        <f>SUMIFS('Lançamentos'!$H$2:$H$2000,'Lançamentos'!$B$2:$B$2000,B4,'Lançamentos'!$C$2:$C$2000,C4,'Lançamentos'!$E$2:$E$2000,"Receita - Outros")</f>
        <v/>
      </c>
      <c r="J4" s="3">
        <f>SUM(D4:I4)</f>
        <v/>
      </c>
      <c r="K4" s="3">
        <f>SUMIFS('Lançamentos'!$H$2:$H$2000,'Lançamentos'!$B$2:$B$2000,B4,'Lançamentos'!$C$2:$C$2000,C4,'Lançamentos'!$E$2:$E$2000,"Contas Fixas")</f>
        <v/>
      </c>
      <c r="L4" s="3">
        <f>SUMIFS('Lançamentos'!$H$2:$H$2000,'Lançamentos'!$B$2:$B$2000,B4,'Lançamentos'!$C$2:$C$2000,C4,'Lançamentos'!$E$2:$E$2000,"Contas Variáveis")</f>
        <v/>
      </c>
      <c r="M4" s="3">
        <f>SUMIFS('Lançamentos'!$H$2:$H$2000,'Lançamentos'!$B$2:$B$2000,B4,'Lançamentos'!$C$2:$C$2000,C4,'Lançamentos'!$E$2:$E$2000,"Pessoal")</f>
        <v/>
      </c>
      <c r="N4" s="3">
        <f>SUMIFS('Lançamentos'!$H$2:$H$2000,'Lançamentos'!$B$2:$B$2000,B4,'Lançamentos'!$C$2:$C$2000,C4,'Lançamentos'!$E$2:$E$2000,"Impostos")</f>
        <v/>
      </c>
      <c r="O4" s="3">
        <f>SUMIFS('Lançamentos'!$H$2:$H$2000,'Lançamentos'!$B$2:$B$2000,B4,'Lançamentos'!$C$2:$C$2000,C4,'Lançamentos'!$E$2:$E$2000,"Outros")</f>
        <v/>
      </c>
      <c r="P4" s="3">
        <f>SUM(K4:O4)</f>
        <v/>
      </c>
      <c r="Q4" s="3">
        <f>J4+P4</f>
        <v/>
      </c>
    </row>
    <row r="5">
      <c r="A5" t="inlineStr">
        <is>
          <t>Abril/2026</t>
        </is>
      </c>
      <c r="B5" t="n">
        <v>4</v>
      </c>
      <c r="C5" t="n">
        <v>2026</v>
      </c>
      <c r="D5" s="3">
        <f>SUMIFS('Lançamentos'!$H$2:$H$2000,'Lançamentos'!$B$2:$B$2000,B5,'Lançamentos'!$C$2:$C$2000,C5,'Lançamentos'!$E$2:$E$2000,"Receita - Midialike")</f>
        <v/>
      </c>
      <c r="E5" s="3">
        <f>SUMIFS('Lançamentos'!$H$2:$H$2000,'Lançamentos'!$B$2:$B$2000,B5,'Lançamentos'!$C$2:$C$2000,C5,'Lançamentos'!$E$2:$E$2000,"Receita - Denise (Salão)")</f>
        <v/>
      </c>
      <c r="F5" s="3">
        <f>SUMIFS('Lançamentos'!$H$2:$H$2000,'Lançamentos'!$B$2:$B$2000,B5,'Lançamentos'!$C$2:$C$2000,C5,'Lançamentos'!$E$2:$E$2000,"Receita - Clientes Studio")</f>
        <v/>
      </c>
      <c r="G5" s="3">
        <f>SUMIFS('Lançamentos'!$H$2:$H$2000,'Lançamentos'!$B$2:$B$2000,B5,'Lançamentos'!$C$2:$C$2000,C5,'Lançamentos'!$E$2:$E$2000,"Receita - Liberação de Crédito")</f>
        <v/>
      </c>
      <c r="H5" s="3">
        <f>SUMIFS('Lançamentos'!$H$2:$H$2000,'Lançamentos'!$B$2:$B$2000,B5,'Lançamentos'!$C$2:$C$2000,C5,'Lançamentos'!$E$2:$E$2000,"Receita - Reembolso")</f>
        <v/>
      </c>
      <c r="I5" s="3">
        <f>SUMIFS('Lançamentos'!$H$2:$H$2000,'Lançamentos'!$B$2:$B$2000,B5,'Lançamentos'!$C$2:$C$2000,C5,'Lançamentos'!$E$2:$E$2000,"Receita - Outros")</f>
        <v/>
      </c>
      <c r="J5" s="3">
        <f>SUM(D5:I5)</f>
        <v/>
      </c>
      <c r="K5" s="3">
        <f>SUMIFS('Lançamentos'!$H$2:$H$2000,'Lançamentos'!$B$2:$B$2000,B5,'Lançamentos'!$C$2:$C$2000,C5,'Lançamentos'!$E$2:$E$2000,"Contas Fixas")</f>
        <v/>
      </c>
      <c r="L5" s="3">
        <f>SUMIFS('Lançamentos'!$H$2:$H$2000,'Lançamentos'!$B$2:$B$2000,B5,'Lançamentos'!$C$2:$C$2000,C5,'Lançamentos'!$E$2:$E$2000,"Contas Variáveis")</f>
        <v/>
      </c>
      <c r="M5" s="3">
        <f>SUMIFS('Lançamentos'!$H$2:$H$2000,'Lançamentos'!$B$2:$B$2000,B5,'Lançamentos'!$C$2:$C$2000,C5,'Lançamentos'!$E$2:$E$2000,"Pessoal")</f>
        <v/>
      </c>
      <c r="N5" s="3">
        <f>SUMIFS('Lançamentos'!$H$2:$H$2000,'Lançamentos'!$B$2:$B$2000,B5,'Lançamentos'!$C$2:$C$2000,C5,'Lançamentos'!$E$2:$E$2000,"Impostos")</f>
        <v/>
      </c>
      <c r="O5" s="3">
        <f>SUMIFS('Lançamentos'!$H$2:$H$2000,'Lançamentos'!$B$2:$B$2000,B5,'Lançamentos'!$C$2:$C$2000,C5,'Lançamentos'!$E$2:$E$2000,"Outros")</f>
        <v/>
      </c>
      <c r="P5" s="3">
        <f>SUM(K5:O5)</f>
        <v/>
      </c>
      <c r="Q5" s="3">
        <f>J5+P5</f>
        <v/>
      </c>
    </row>
    <row r="6">
      <c r="A6" t="inlineStr">
        <is>
          <t>Maio/2026</t>
        </is>
      </c>
      <c r="B6" t="n">
        <v>5</v>
      </c>
      <c r="C6" t="n">
        <v>2026</v>
      </c>
      <c r="D6" s="3">
        <f>SUMIFS('Lançamentos'!$H$2:$H$2000,'Lançamentos'!$B$2:$B$2000,B6,'Lançamentos'!$C$2:$C$2000,C6,'Lançamentos'!$E$2:$E$2000,"Receita - Midialike")</f>
        <v/>
      </c>
      <c r="E6" s="3">
        <f>SUMIFS('Lançamentos'!$H$2:$H$2000,'Lançamentos'!$B$2:$B$2000,B6,'Lançamentos'!$C$2:$C$2000,C6,'Lançamentos'!$E$2:$E$2000,"Receita - Denise (Salão)")</f>
        <v/>
      </c>
      <c r="F6" s="3">
        <f>SUMIFS('Lançamentos'!$H$2:$H$2000,'Lançamentos'!$B$2:$B$2000,B6,'Lançamentos'!$C$2:$C$2000,C6,'Lançamentos'!$E$2:$E$2000,"Receita - Clientes Studio")</f>
        <v/>
      </c>
      <c r="G6" s="3">
        <f>SUMIFS('Lançamentos'!$H$2:$H$2000,'Lançamentos'!$B$2:$B$2000,B6,'Lançamentos'!$C$2:$C$2000,C6,'Lançamentos'!$E$2:$E$2000,"Receita - Liberação de Crédito")</f>
        <v/>
      </c>
      <c r="H6" s="3">
        <f>SUMIFS('Lançamentos'!$H$2:$H$2000,'Lançamentos'!$B$2:$B$2000,B6,'Lançamentos'!$C$2:$C$2000,C6,'Lançamentos'!$E$2:$E$2000,"Receita - Reembolso")</f>
        <v/>
      </c>
      <c r="I6" s="3">
        <f>SUMIFS('Lançamentos'!$H$2:$H$2000,'Lançamentos'!$B$2:$B$2000,B6,'Lançamentos'!$C$2:$C$2000,C6,'Lançamentos'!$E$2:$E$2000,"Receita - Outros")</f>
        <v/>
      </c>
      <c r="J6" s="3">
        <f>SUM(D6:I6)</f>
        <v/>
      </c>
      <c r="K6" s="3">
        <f>SUMIFS('Lançamentos'!$H$2:$H$2000,'Lançamentos'!$B$2:$B$2000,B6,'Lançamentos'!$C$2:$C$2000,C6,'Lançamentos'!$E$2:$E$2000,"Contas Fixas")</f>
        <v/>
      </c>
      <c r="L6" s="3">
        <f>SUMIFS('Lançamentos'!$H$2:$H$2000,'Lançamentos'!$B$2:$B$2000,B6,'Lançamentos'!$C$2:$C$2000,C6,'Lançamentos'!$E$2:$E$2000,"Contas Variáveis")</f>
        <v/>
      </c>
      <c r="M6" s="3">
        <f>SUMIFS('Lançamentos'!$H$2:$H$2000,'Lançamentos'!$B$2:$B$2000,B6,'Lançamentos'!$C$2:$C$2000,C6,'Lançamentos'!$E$2:$E$2000,"Pessoal")</f>
        <v/>
      </c>
      <c r="N6" s="3">
        <f>SUMIFS('Lançamentos'!$H$2:$H$2000,'Lançamentos'!$B$2:$B$2000,B6,'Lançamentos'!$C$2:$C$2000,C6,'Lançamentos'!$E$2:$E$2000,"Impostos")</f>
        <v/>
      </c>
      <c r="O6" s="3">
        <f>SUMIFS('Lançamentos'!$H$2:$H$2000,'Lançamentos'!$B$2:$B$2000,B6,'Lançamentos'!$C$2:$C$2000,C6,'Lançamentos'!$E$2:$E$2000,"Outros")</f>
        <v/>
      </c>
      <c r="P6" s="3">
        <f>SUM(K6:O6)</f>
        <v/>
      </c>
      <c r="Q6" s="3">
        <f>J6+P6</f>
        <v/>
      </c>
    </row>
    <row r="7">
      <c r="A7" t="inlineStr">
        <is>
          <t>Junho/2026</t>
        </is>
      </c>
      <c r="B7" t="n">
        <v>6</v>
      </c>
      <c r="C7" t="n">
        <v>2026</v>
      </c>
      <c r="D7" s="3">
        <f>SUMIFS('Lançamentos'!$H$2:$H$2000,'Lançamentos'!$B$2:$B$2000,B7,'Lançamentos'!$C$2:$C$2000,C7,'Lançamentos'!$E$2:$E$2000,"Receita - Midialike")</f>
        <v/>
      </c>
      <c r="E7" s="3">
        <f>SUMIFS('Lançamentos'!$H$2:$H$2000,'Lançamentos'!$B$2:$B$2000,B7,'Lançamentos'!$C$2:$C$2000,C7,'Lançamentos'!$E$2:$E$2000,"Receita - Denise (Salão)")</f>
        <v/>
      </c>
      <c r="F7" s="3">
        <f>SUMIFS('Lançamentos'!$H$2:$H$2000,'Lançamentos'!$B$2:$B$2000,B7,'Lançamentos'!$C$2:$C$2000,C7,'Lançamentos'!$E$2:$E$2000,"Receita - Clientes Studio")</f>
        <v/>
      </c>
      <c r="G7" s="3">
        <f>SUMIFS('Lançamentos'!$H$2:$H$2000,'Lançamentos'!$B$2:$B$2000,B7,'Lançamentos'!$C$2:$C$2000,C7,'Lançamentos'!$E$2:$E$2000,"Receita - Liberação de Crédito")</f>
        <v/>
      </c>
      <c r="H7" s="3">
        <f>SUMIFS('Lançamentos'!$H$2:$H$2000,'Lançamentos'!$B$2:$B$2000,B7,'Lançamentos'!$C$2:$C$2000,C7,'Lançamentos'!$E$2:$E$2000,"Receita - Reembolso")</f>
        <v/>
      </c>
      <c r="I7" s="3">
        <f>SUMIFS('Lançamentos'!$H$2:$H$2000,'Lançamentos'!$B$2:$B$2000,B7,'Lançamentos'!$C$2:$C$2000,C7,'Lançamentos'!$E$2:$E$2000,"Receita - Outros")</f>
        <v/>
      </c>
      <c r="J7" s="3">
        <f>SUM(D7:I7)</f>
        <v/>
      </c>
      <c r="K7" s="3">
        <f>SUMIFS('Lançamentos'!$H$2:$H$2000,'Lançamentos'!$B$2:$B$2000,B7,'Lançamentos'!$C$2:$C$2000,C7,'Lançamentos'!$E$2:$E$2000,"Contas Fixas")</f>
        <v/>
      </c>
      <c r="L7" s="3">
        <f>SUMIFS('Lançamentos'!$H$2:$H$2000,'Lançamentos'!$B$2:$B$2000,B7,'Lançamentos'!$C$2:$C$2000,C7,'Lançamentos'!$E$2:$E$2000,"Contas Variáveis")</f>
        <v/>
      </c>
      <c r="M7" s="3">
        <f>SUMIFS('Lançamentos'!$H$2:$H$2000,'Lançamentos'!$B$2:$B$2000,B7,'Lançamentos'!$C$2:$C$2000,C7,'Lançamentos'!$E$2:$E$2000,"Pessoal")</f>
        <v/>
      </c>
      <c r="N7" s="3">
        <f>SUMIFS('Lançamentos'!$H$2:$H$2000,'Lançamentos'!$B$2:$B$2000,B7,'Lançamentos'!$C$2:$C$2000,C7,'Lançamentos'!$E$2:$E$2000,"Impostos")</f>
        <v/>
      </c>
      <c r="O7" s="3">
        <f>SUMIFS('Lançamentos'!$H$2:$H$2000,'Lançamentos'!$B$2:$B$2000,B7,'Lançamentos'!$C$2:$C$2000,C7,'Lançamentos'!$E$2:$E$2000,"Outros")</f>
        <v/>
      </c>
      <c r="P7" s="3">
        <f>SUM(K7:O7)</f>
        <v/>
      </c>
      <c r="Q7" s="3">
        <f>J7+P7</f>
        <v/>
      </c>
    </row>
    <row r="8">
      <c r="A8" t="inlineStr">
        <is>
          <t>Julho/2026</t>
        </is>
      </c>
      <c r="B8" t="n">
        <v>7</v>
      </c>
      <c r="C8" t="n">
        <v>2026</v>
      </c>
      <c r="D8" s="3">
        <f>SUMIFS('Lançamentos'!$H$2:$H$2000,'Lançamentos'!$B$2:$B$2000,B8,'Lançamentos'!$C$2:$C$2000,C8,'Lançamentos'!$E$2:$E$2000,"Receita - Midialike")</f>
        <v/>
      </c>
      <c r="E8" s="3">
        <f>SUMIFS('Lançamentos'!$H$2:$H$2000,'Lançamentos'!$B$2:$B$2000,B8,'Lançamentos'!$C$2:$C$2000,C8,'Lançamentos'!$E$2:$E$2000,"Receita - Denise (Salão)")</f>
        <v/>
      </c>
      <c r="F8" s="3">
        <f>SUMIFS('Lançamentos'!$H$2:$H$2000,'Lançamentos'!$B$2:$B$2000,B8,'Lançamentos'!$C$2:$C$2000,C8,'Lançamentos'!$E$2:$E$2000,"Receita - Clientes Studio")</f>
        <v/>
      </c>
      <c r="G8" s="3">
        <f>SUMIFS('Lançamentos'!$H$2:$H$2000,'Lançamentos'!$B$2:$B$2000,B8,'Lançamentos'!$C$2:$C$2000,C8,'Lançamentos'!$E$2:$E$2000,"Receita - Liberação de Crédito")</f>
        <v/>
      </c>
      <c r="H8" s="3">
        <f>SUMIFS('Lançamentos'!$H$2:$H$2000,'Lançamentos'!$B$2:$B$2000,B8,'Lançamentos'!$C$2:$C$2000,C8,'Lançamentos'!$E$2:$E$2000,"Receita - Reembolso")</f>
        <v/>
      </c>
      <c r="I8" s="3">
        <f>SUMIFS('Lançamentos'!$H$2:$H$2000,'Lançamentos'!$B$2:$B$2000,B8,'Lançamentos'!$C$2:$C$2000,C8,'Lançamentos'!$E$2:$E$2000,"Receita - Outros")</f>
        <v/>
      </c>
      <c r="J8" s="3">
        <f>SUM(D8:I8)</f>
        <v/>
      </c>
      <c r="K8" s="3">
        <f>SUMIFS('Lançamentos'!$H$2:$H$2000,'Lançamentos'!$B$2:$B$2000,B8,'Lançamentos'!$C$2:$C$2000,C8,'Lançamentos'!$E$2:$E$2000,"Contas Fixas")</f>
        <v/>
      </c>
      <c r="L8" s="3">
        <f>SUMIFS('Lançamentos'!$H$2:$H$2000,'Lançamentos'!$B$2:$B$2000,B8,'Lançamentos'!$C$2:$C$2000,C8,'Lançamentos'!$E$2:$E$2000,"Contas Variáveis")</f>
        <v/>
      </c>
      <c r="M8" s="3">
        <f>SUMIFS('Lançamentos'!$H$2:$H$2000,'Lançamentos'!$B$2:$B$2000,B8,'Lançamentos'!$C$2:$C$2000,C8,'Lançamentos'!$E$2:$E$2000,"Pessoal")</f>
        <v/>
      </c>
      <c r="N8" s="3">
        <f>SUMIFS('Lançamentos'!$H$2:$H$2000,'Lançamentos'!$B$2:$B$2000,B8,'Lançamentos'!$C$2:$C$2000,C8,'Lançamentos'!$E$2:$E$2000,"Impostos")</f>
        <v/>
      </c>
      <c r="O8" s="3">
        <f>SUMIFS('Lançamentos'!$H$2:$H$2000,'Lançamentos'!$B$2:$B$2000,B8,'Lançamentos'!$C$2:$C$2000,C8,'Lançamentos'!$E$2:$E$2000,"Outros")</f>
        <v/>
      </c>
      <c r="P8" s="3">
        <f>SUM(K8:O8)</f>
        <v/>
      </c>
      <c r="Q8" s="3">
        <f>J8+P8</f>
        <v/>
      </c>
    </row>
    <row r="9">
      <c r="A9" t="inlineStr">
        <is>
          <t>Agosto/2026</t>
        </is>
      </c>
      <c r="B9" t="n">
        <v>8</v>
      </c>
      <c r="C9" t="n">
        <v>2026</v>
      </c>
      <c r="D9" s="3">
        <f>SUMIFS('Lançamentos'!$H$2:$H$2000,'Lançamentos'!$B$2:$B$2000,B9,'Lançamentos'!$C$2:$C$2000,C9,'Lançamentos'!$E$2:$E$2000,"Receita - Midialike")</f>
        <v/>
      </c>
      <c r="E9" s="3">
        <f>SUMIFS('Lançamentos'!$H$2:$H$2000,'Lançamentos'!$B$2:$B$2000,B9,'Lançamentos'!$C$2:$C$2000,C9,'Lançamentos'!$E$2:$E$2000,"Receita - Denise (Salão)")</f>
        <v/>
      </c>
      <c r="F9" s="3">
        <f>SUMIFS('Lançamentos'!$H$2:$H$2000,'Lançamentos'!$B$2:$B$2000,B9,'Lançamentos'!$C$2:$C$2000,C9,'Lançamentos'!$E$2:$E$2000,"Receita - Clientes Studio")</f>
        <v/>
      </c>
      <c r="G9" s="3">
        <f>SUMIFS('Lançamentos'!$H$2:$H$2000,'Lançamentos'!$B$2:$B$2000,B9,'Lançamentos'!$C$2:$C$2000,C9,'Lançamentos'!$E$2:$E$2000,"Receita - Liberação de Crédito")</f>
        <v/>
      </c>
      <c r="H9" s="3">
        <f>SUMIFS('Lançamentos'!$H$2:$H$2000,'Lançamentos'!$B$2:$B$2000,B9,'Lançamentos'!$C$2:$C$2000,C9,'Lançamentos'!$E$2:$E$2000,"Receita - Reembolso")</f>
        <v/>
      </c>
      <c r="I9" s="3">
        <f>SUMIFS('Lançamentos'!$H$2:$H$2000,'Lançamentos'!$B$2:$B$2000,B9,'Lançamentos'!$C$2:$C$2000,C9,'Lançamentos'!$E$2:$E$2000,"Receita - Outros")</f>
        <v/>
      </c>
      <c r="J9" s="3">
        <f>SUM(D9:I9)</f>
        <v/>
      </c>
      <c r="K9" s="3">
        <f>SUMIFS('Lançamentos'!$H$2:$H$2000,'Lançamentos'!$B$2:$B$2000,B9,'Lançamentos'!$C$2:$C$2000,C9,'Lançamentos'!$E$2:$E$2000,"Contas Fixas")</f>
        <v/>
      </c>
      <c r="L9" s="3">
        <f>SUMIFS('Lançamentos'!$H$2:$H$2000,'Lançamentos'!$B$2:$B$2000,B9,'Lançamentos'!$C$2:$C$2000,C9,'Lançamentos'!$E$2:$E$2000,"Contas Variáveis")</f>
        <v/>
      </c>
      <c r="M9" s="3">
        <f>SUMIFS('Lançamentos'!$H$2:$H$2000,'Lançamentos'!$B$2:$B$2000,B9,'Lançamentos'!$C$2:$C$2000,C9,'Lançamentos'!$E$2:$E$2000,"Pessoal")</f>
        <v/>
      </c>
      <c r="N9" s="3">
        <f>SUMIFS('Lançamentos'!$H$2:$H$2000,'Lançamentos'!$B$2:$B$2000,B9,'Lançamentos'!$C$2:$C$2000,C9,'Lançamentos'!$E$2:$E$2000,"Impostos")</f>
        <v/>
      </c>
      <c r="O9" s="3">
        <f>SUMIFS('Lançamentos'!$H$2:$H$2000,'Lançamentos'!$B$2:$B$2000,B9,'Lançamentos'!$C$2:$C$2000,C9,'Lançamentos'!$E$2:$E$2000,"Outros")</f>
        <v/>
      </c>
      <c r="P9" s="3">
        <f>SUM(K9:O9)</f>
        <v/>
      </c>
      <c r="Q9" s="3">
        <f>J9+P9</f>
        <v/>
      </c>
    </row>
    <row r="10">
      <c r="A10" t="inlineStr">
        <is>
          <t>Setembro/2026</t>
        </is>
      </c>
      <c r="B10" t="n">
        <v>9</v>
      </c>
      <c r="C10" t="n">
        <v>2026</v>
      </c>
      <c r="D10" s="3">
        <f>SUMIFS('Lançamentos'!$H$2:$H$2000,'Lançamentos'!$B$2:$B$2000,B10,'Lançamentos'!$C$2:$C$2000,C10,'Lançamentos'!$E$2:$E$2000,"Receita - Midialike")</f>
        <v/>
      </c>
      <c r="E10" s="3">
        <f>SUMIFS('Lançamentos'!$H$2:$H$2000,'Lançamentos'!$B$2:$B$2000,B10,'Lançamentos'!$C$2:$C$2000,C10,'Lançamentos'!$E$2:$E$2000,"Receita - Denise (Salão)")</f>
        <v/>
      </c>
      <c r="F10" s="3">
        <f>SUMIFS('Lançamentos'!$H$2:$H$2000,'Lançamentos'!$B$2:$B$2000,B10,'Lançamentos'!$C$2:$C$2000,C10,'Lançamentos'!$E$2:$E$2000,"Receita - Clientes Studio")</f>
        <v/>
      </c>
      <c r="G10" s="3">
        <f>SUMIFS('Lançamentos'!$H$2:$H$2000,'Lançamentos'!$B$2:$B$2000,B10,'Lançamentos'!$C$2:$C$2000,C10,'Lançamentos'!$E$2:$E$2000,"Receita - Liberação de Crédito")</f>
        <v/>
      </c>
      <c r="H10" s="3">
        <f>SUMIFS('Lançamentos'!$H$2:$H$2000,'Lançamentos'!$B$2:$B$2000,B10,'Lançamentos'!$C$2:$C$2000,C10,'Lançamentos'!$E$2:$E$2000,"Receita - Reembolso")</f>
        <v/>
      </c>
      <c r="I10" s="3">
        <f>SUMIFS('Lançamentos'!$H$2:$H$2000,'Lançamentos'!$B$2:$B$2000,B10,'Lançamentos'!$C$2:$C$2000,C10,'Lançamentos'!$E$2:$E$2000,"Receita - Outros")</f>
        <v/>
      </c>
      <c r="J10" s="3">
        <f>SUM(D10:I10)</f>
        <v/>
      </c>
      <c r="K10" s="3">
        <f>SUMIFS('Lançamentos'!$H$2:$H$2000,'Lançamentos'!$B$2:$B$2000,B10,'Lançamentos'!$C$2:$C$2000,C10,'Lançamentos'!$E$2:$E$2000,"Contas Fixas")</f>
        <v/>
      </c>
      <c r="L10" s="3">
        <f>SUMIFS('Lançamentos'!$H$2:$H$2000,'Lançamentos'!$B$2:$B$2000,B10,'Lançamentos'!$C$2:$C$2000,C10,'Lançamentos'!$E$2:$E$2000,"Contas Variáveis")</f>
        <v/>
      </c>
      <c r="M10" s="3">
        <f>SUMIFS('Lançamentos'!$H$2:$H$2000,'Lançamentos'!$B$2:$B$2000,B10,'Lançamentos'!$C$2:$C$2000,C10,'Lançamentos'!$E$2:$E$2000,"Pessoal")</f>
        <v/>
      </c>
      <c r="N10" s="3">
        <f>SUMIFS('Lançamentos'!$H$2:$H$2000,'Lançamentos'!$B$2:$B$2000,B10,'Lançamentos'!$C$2:$C$2000,C10,'Lançamentos'!$E$2:$E$2000,"Impostos")</f>
        <v/>
      </c>
      <c r="O10" s="3">
        <f>SUMIFS('Lançamentos'!$H$2:$H$2000,'Lançamentos'!$B$2:$B$2000,B10,'Lançamentos'!$C$2:$C$2000,C10,'Lançamentos'!$E$2:$E$2000,"Outros")</f>
        <v/>
      </c>
      <c r="P10" s="3">
        <f>SUM(K10:O10)</f>
        <v/>
      </c>
      <c r="Q10" s="3">
        <f>J10+P10</f>
        <v/>
      </c>
    </row>
    <row r="11">
      <c r="A11" t="inlineStr">
        <is>
          <t>Outubro/2026</t>
        </is>
      </c>
      <c r="B11" t="n">
        <v>10</v>
      </c>
      <c r="C11" t="n">
        <v>2026</v>
      </c>
      <c r="D11" s="3">
        <f>SUMIFS('Lançamentos'!$H$2:$H$2000,'Lançamentos'!$B$2:$B$2000,B11,'Lançamentos'!$C$2:$C$2000,C11,'Lançamentos'!$E$2:$E$2000,"Receita - Midialike")</f>
        <v/>
      </c>
      <c r="E11" s="3">
        <f>SUMIFS('Lançamentos'!$H$2:$H$2000,'Lançamentos'!$B$2:$B$2000,B11,'Lançamentos'!$C$2:$C$2000,C11,'Lançamentos'!$E$2:$E$2000,"Receita - Denise (Salão)")</f>
        <v/>
      </c>
      <c r="F11" s="3">
        <f>SUMIFS('Lançamentos'!$H$2:$H$2000,'Lançamentos'!$B$2:$B$2000,B11,'Lançamentos'!$C$2:$C$2000,C11,'Lançamentos'!$E$2:$E$2000,"Receita - Clientes Studio")</f>
        <v/>
      </c>
      <c r="G11" s="3">
        <f>SUMIFS('Lançamentos'!$H$2:$H$2000,'Lançamentos'!$B$2:$B$2000,B11,'Lançamentos'!$C$2:$C$2000,C11,'Lançamentos'!$E$2:$E$2000,"Receita - Liberação de Crédito")</f>
        <v/>
      </c>
      <c r="H11" s="3">
        <f>SUMIFS('Lançamentos'!$H$2:$H$2000,'Lançamentos'!$B$2:$B$2000,B11,'Lançamentos'!$C$2:$C$2000,C11,'Lançamentos'!$E$2:$E$2000,"Receita - Reembolso")</f>
        <v/>
      </c>
      <c r="I11" s="3">
        <f>SUMIFS('Lançamentos'!$H$2:$H$2000,'Lançamentos'!$B$2:$B$2000,B11,'Lançamentos'!$C$2:$C$2000,C11,'Lançamentos'!$E$2:$E$2000,"Receita - Outros")</f>
        <v/>
      </c>
      <c r="J11" s="3">
        <f>SUM(D11:I11)</f>
        <v/>
      </c>
      <c r="K11" s="3">
        <f>SUMIFS('Lançamentos'!$H$2:$H$2000,'Lançamentos'!$B$2:$B$2000,B11,'Lançamentos'!$C$2:$C$2000,C11,'Lançamentos'!$E$2:$E$2000,"Contas Fixas")</f>
        <v/>
      </c>
      <c r="L11" s="3">
        <f>SUMIFS('Lançamentos'!$H$2:$H$2000,'Lançamentos'!$B$2:$B$2000,B11,'Lançamentos'!$C$2:$C$2000,C11,'Lançamentos'!$E$2:$E$2000,"Contas Variáveis")</f>
        <v/>
      </c>
      <c r="M11" s="3">
        <f>SUMIFS('Lançamentos'!$H$2:$H$2000,'Lançamentos'!$B$2:$B$2000,B11,'Lançamentos'!$C$2:$C$2000,C11,'Lançamentos'!$E$2:$E$2000,"Pessoal")</f>
        <v/>
      </c>
      <c r="N11" s="3">
        <f>SUMIFS('Lançamentos'!$H$2:$H$2000,'Lançamentos'!$B$2:$B$2000,B11,'Lançamentos'!$C$2:$C$2000,C11,'Lançamentos'!$E$2:$E$2000,"Impostos")</f>
        <v/>
      </c>
      <c r="O11" s="3">
        <f>SUMIFS('Lançamentos'!$H$2:$H$2000,'Lançamentos'!$B$2:$B$2000,B11,'Lançamentos'!$C$2:$C$2000,C11,'Lançamentos'!$E$2:$E$2000,"Outros")</f>
        <v/>
      </c>
      <c r="P11" s="3">
        <f>SUM(K11:O11)</f>
        <v/>
      </c>
      <c r="Q11" s="3">
        <f>J11+P11</f>
        <v/>
      </c>
    </row>
    <row r="12">
      <c r="A12" t="inlineStr">
        <is>
          <t>Novembro/2026</t>
        </is>
      </c>
      <c r="B12" t="n">
        <v>11</v>
      </c>
      <c r="C12" t="n">
        <v>2026</v>
      </c>
      <c r="D12" s="3">
        <f>SUMIFS('Lançamentos'!$H$2:$H$2000,'Lançamentos'!$B$2:$B$2000,B12,'Lançamentos'!$C$2:$C$2000,C12,'Lançamentos'!$E$2:$E$2000,"Receita - Midialike")</f>
        <v/>
      </c>
      <c r="E12" s="3">
        <f>SUMIFS('Lançamentos'!$H$2:$H$2000,'Lançamentos'!$B$2:$B$2000,B12,'Lançamentos'!$C$2:$C$2000,C12,'Lançamentos'!$E$2:$E$2000,"Receita - Denise (Salão)")</f>
        <v/>
      </c>
      <c r="F12" s="3">
        <f>SUMIFS('Lançamentos'!$H$2:$H$2000,'Lançamentos'!$B$2:$B$2000,B12,'Lançamentos'!$C$2:$C$2000,C12,'Lançamentos'!$E$2:$E$2000,"Receita - Clientes Studio")</f>
        <v/>
      </c>
      <c r="G12" s="3">
        <f>SUMIFS('Lançamentos'!$H$2:$H$2000,'Lançamentos'!$B$2:$B$2000,B12,'Lançamentos'!$C$2:$C$2000,C12,'Lançamentos'!$E$2:$E$2000,"Receita - Liberação de Crédito")</f>
        <v/>
      </c>
      <c r="H12" s="3">
        <f>SUMIFS('Lançamentos'!$H$2:$H$2000,'Lançamentos'!$B$2:$B$2000,B12,'Lançamentos'!$C$2:$C$2000,C12,'Lançamentos'!$E$2:$E$2000,"Receita - Reembolso")</f>
        <v/>
      </c>
      <c r="I12" s="3">
        <f>SUMIFS('Lançamentos'!$H$2:$H$2000,'Lançamentos'!$B$2:$B$2000,B12,'Lançamentos'!$C$2:$C$2000,C12,'Lançamentos'!$E$2:$E$2000,"Receita - Outros")</f>
        <v/>
      </c>
      <c r="J12" s="3">
        <f>SUM(D12:I12)</f>
        <v/>
      </c>
      <c r="K12" s="3">
        <f>SUMIFS('Lançamentos'!$H$2:$H$2000,'Lançamentos'!$B$2:$B$2000,B12,'Lançamentos'!$C$2:$C$2000,C12,'Lançamentos'!$E$2:$E$2000,"Contas Fixas")</f>
        <v/>
      </c>
      <c r="L12" s="3">
        <f>SUMIFS('Lançamentos'!$H$2:$H$2000,'Lançamentos'!$B$2:$B$2000,B12,'Lançamentos'!$C$2:$C$2000,C12,'Lançamentos'!$E$2:$E$2000,"Contas Variáveis")</f>
        <v/>
      </c>
      <c r="M12" s="3">
        <f>SUMIFS('Lançamentos'!$H$2:$H$2000,'Lançamentos'!$B$2:$B$2000,B12,'Lançamentos'!$C$2:$C$2000,C12,'Lançamentos'!$E$2:$E$2000,"Pessoal")</f>
        <v/>
      </c>
      <c r="N12" s="3">
        <f>SUMIFS('Lançamentos'!$H$2:$H$2000,'Lançamentos'!$B$2:$B$2000,B12,'Lançamentos'!$C$2:$C$2000,C12,'Lançamentos'!$E$2:$E$2000,"Impostos")</f>
        <v/>
      </c>
      <c r="O12" s="3">
        <f>SUMIFS('Lançamentos'!$H$2:$H$2000,'Lançamentos'!$B$2:$B$2000,B12,'Lançamentos'!$C$2:$C$2000,C12,'Lançamentos'!$E$2:$E$2000,"Outros")</f>
        <v/>
      </c>
      <c r="P12" s="3">
        <f>SUM(K12:O12)</f>
        <v/>
      </c>
      <c r="Q12" s="3">
        <f>J12+P12</f>
        <v/>
      </c>
    </row>
    <row r="13">
      <c r="A13" t="inlineStr">
        <is>
          <t>Dezembro/2026</t>
        </is>
      </c>
      <c r="B13" t="n">
        <v>12</v>
      </c>
      <c r="C13" t="n">
        <v>2026</v>
      </c>
      <c r="D13" s="3">
        <f>SUMIFS('Lançamentos'!$H$2:$H$2000,'Lançamentos'!$B$2:$B$2000,B13,'Lançamentos'!$C$2:$C$2000,C13,'Lançamentos'!$E$2:$E$2000,"Receita - Midialike")</f>
        <v/>
      </c>
      <c r="E13" s="3">
        <f>SUMIFS('Lançamentos'!$H$2:$H$2000,'Lançamentos'!$B$2:$B$2000,B13,'Lançamentos'!$C$2:$C$2000,C13,'Lançamentos'!$E$2:$E$2000,"Receita - Denise (Salão)")</f>
        <v/>
      </c>
      <c r="F13" s="3">
        <f>SUMIFS('Lançamentos'!$H$2:$H$2000,'Lançamentos'!$B$2:$B$2000,B13,'Lançamentos'!$C$2:$C$2000,C13,'Lançamentos'!$E$2:$E$2000,"Receita - Clientes Studio")</f>
        <v/>
      </c>
      <c r="G13" s="3">
        <f>SUMIFS('Lançamentos'!$H$2:$H$2000,'Lançamentos'!$B$2:$B$2000,B13,'Lançamentos'!$C$2:$C$2000,C13,'Lançamentos'!$E$2:$E$2000,"Receita - Liberação de Crédito")</f>
        <v/>
      </c>
      <c r="H13" s="3">
        <f>SUMIFS('Lançamentos'!$H$2:$H$2000,'Lançamentos'!$B$2:$B$2000,B13,'Lançamentos'!$C$2:$C$2000,C13,'Lançamentos'!$E$2:$E$2000,"Receita - Reembolso")</f>
        <v/>
      </c>
      <c r="I13" s="3">
        <f>SUMIFS('Lançamentos'!$H$2:$H$2000,'Lançamentos'!$B$2:$B$2000,B13,'Lançamentos'!$C$2:$C$2000,C13,'Lançamentos'!$E$2:$E$2000,"Receita - Outros")</f>
        <v/>
      </c>
      <c r="J13" s="3">
        <f>SUM(D13:I13)</f>
        <v/>
      </c>
      <c r="K13" s="3">
        <f>SUMIFS('Lançamentos'!$H$2:$H$2000,'Lançamentos'!$B$2:$B$2000,B13,'Lançamentos'!$C$2:$C$2000,C13,'Lançamentos'!$E$2:$E$2000,"Contas Fixas")</f>
        <v/>
      </c>
      <c r="L13" s="3">
        <f>SUMIFS('Lançamentos'!$H$2:$H$2000,'Lançamentos'!$B$2:$B$2000,B13,'Lançamentos'!$C$2:$C$2000,C13,'Lançamentos'!$E$2:$E$2000,"Contas Variáveis")</f>
        <v/>
      </c>
      <c r="M13" s="3">
        <f>SUMIFS('Lançamentos'!$H$2:$H$2000,'Lançamentos'!$B$2:$B$2000,B13,'Lançamentos'!$C$2:$C$2000,C13,'Lançamentos'!$E$2:$E$2000,"Pessoal")</f>
        <v/>
      </c>
      <c r="N13" s="3">
        <f>SUMIFS('Lançamentos'!$H$2:$H$2000,'Lançamentos'!$B$2:$B$2000,B13,'Lançamentos'!$C$2:$C$2000,C13,'Lançamentos'!$E$2:$E$2000,"Impostos")</f>
        <v/>
      </c>
      <c r="O13" s="3">
        <f>SUMIFS('Lançamentos'!$H$2:$H$2000,'Lançamentos'!$B$2:$B$2000,B13,'Lançamentos'!$C$2:$C$2000,C13,'Lançamentos'!$E$2:$E$2000,"Outros")</f>
        <v/>
      </c>
      <c r="P13" s="3">
        <f>SUM(K13:O13)</f>
        <v/>
      </c>
      <c r="Q13" s="3">
        <f>J13+P13</f>
        <v/>
      </c>
    </row>
    <row r="14">
      <c r="A14" s="2" t="inlineStr">
        <is>
          <t>TOTAL</t>
        </is>
      </c>
      <c r="D14" s="5">
        <f>SUM(D2:D13)</f>
        <v/>
      </c>
      <c r="E14" s="5">
        <f>SUM(E2:E13)</f>
        <v/>
      </c>
      <c r="F14" s="5">
        <f>SUM(F2:F13)</f>
        <v/>
      </c>
      <c r="G14" s="5">
        <f>SUM(G2:G13)</f>
        <v/>
      </c>
      <c r="H14" s="5">
        <f>SUM(H2:H13)</f>
        <v/>
      </c>
      <c r="I14" s="5">
        <f>SUM(I2:I13)</f>
        <v/>
      </c>
      <c r="J14" s="5">
        <f>SUM(J2:J13)</f>
        <v/>
      </c>
      <c r="K14" s="5">
        <f>SUM(K2:K13)</f>
        <v/>
      </c>
      <c r="L14" s="5">
        <f>SUM(L2:L13)</f>
        <v/>
      </c>
      <c r="M14" s="5">
        <f>SUM(M2:M13)</f>
        <v/>
      </c>
      <c r="N14" s="5">
        <f>SUM(N2:N13)</f>
        <v/>
      </c>
      <c r="O14" s="5">
        <f>SUM(O2:O13)</f>
        <v/>
      </c>
      <c r="P14" s="5">
        <f>SUM(P2:P13)</f>
        <v/>
      </c>
      <c r="Q14" s="5">
        <f>SUM(Q2:Q13)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Mês</t>
        </is>
      </c>
      <c r="B1" s="7" t="inlineStr">
        <is>
          <t>Mês Nº</t>
        </is>
      </c>
      <c r="C1" s="7" t="inlineStr">
        <is>
          <t>Ano</t>
        </is>
      </c>
      <c r="D1" s="7" t="inlineStr">
        <is>
          <t>Receitas</t>
        </is>
      </c>
      <c r="E1" s="7" t="inlineStr">
        <is>
          <t>Despesas</t>
        </is>
      </c>
      <c r="F1" s="7" t="inlineStr">
        <is>
          <t>Saldo</t>
        </is>
      </c>
    </row>
    <row r="2">
      <c r="A2" t="inlineStr">
        <is>
          <t>Janeiro/2026</t>
        </is>
      </c>
      <c r="B2" t="n">
        <v>1</v>
      </c>
      <c r="C2" t="n">
        <v>2026</v>
      </c>
      <c r="D2" s="3">
        <f>SUMIFS('Lançamentos'!$H$2:$H$2000,'Lançamentos'!$B$2:$B$2000,B2,'Lançamentos'!$C$2:$C$2000,C2,'Lançamentos'!$D$2:$D$2000,"Pessoal",'Lançamentos'!$H$2:$H$2000,"&gt;0")</f>
        <v/>
      </c>
      <c r="E2" s="3">
        <f>SUMIFS('Lançamentos'!$H$2:$H$2000,'Lançamentos'!$B$2:$B$2000,B2,'Lançamentos'!$C$2:$C$2000,C2,'Lançamentos'!$D$2:$D$2000,"Pessoal",'Lançamentos'!$H$2:$H$2000,"&lt;0")</f>
        <v/>
      </c>
      <c r="F2" s="3">
        <f>D2+E2</f>
        <v/>
      </c>
    </row>
    <row r="3">
      <c r="A3" t="inlineStr">
        <is>
          <t>Fevereiro/2026</t>
        </is>
      </c>
      <c r="B3" t="n">
        <v>2</v>
      </c>
      <c r="C3" t="n">
        <v>2026</v>
      </c>
      <c r="D3" s="3">
        <f>SUMIFS('Lançamentos'!$H$2:$H$2000,'Lançamentos'!$B$2:$B$2000,B3,'Lançamentos'!$C$2:$C$2000,C3,'Lançamentos'!$D$2:$D$2000,"Pessoal",'Lançamentos'!$H$2:$H$2000,"&gt;0")</f>
        <v/>
      </c>
      <c r="E3" s="3">
        <f>SUMIFS('Lançamentos'!$H$2:$H$2000,'Lançamentos'!$B$2:$B$2000,B3,'Lançamentos'!$C$2:$C$2000,C3,'Lançamentos'!$D$2:$D$2000,"Pessoal",'Lançamentos'!$H$2:$H$2000,"&lt;0")</f>
        <v/>
      </c>
      <c r="F3" s="3">
        <f>D3+E3</f>
        <v/>
      </c>
    </row>
    <row r="4">
      <c r="A4" t="inlineStr">
        <is>
          <t>Março/2026</t>
        </is>
      </c>
      <c r="B4" t="n">
        <v>3</v>
      </c>
      <c r="C4" t="n">
        <v>2026</v>
      </c>
      <c r="D4" s="3">
        <f>SUMIFS('Lançamentos'!$H$2:$H$2000,'Lançamentos'!$B$2:$B$2000,B4,'Lançamentos'!$C$2:$C$2000,C4,'Lançamentos'!$D$2:$D$2000,"Pessoal",'Lançamentos'!$H$2:$H$2000,"&gt;0")</f>
        <v/>
      </c>
      <c r="E4" s="3">
        <f>SUMIFS('Lançamentos'!$H$2:$H$2000,'Lançamentos'!$B$2:$B$2000,B4,'Lançamentos'!$C$2:$C$2000,C4,'Lançamentos'!$D$2:$D$2000,"Pessoal",'Lançamentos'!$H$2:$H$2000,"&lt;0")</f>
        <v/>
      </c>
      <c r="F4" s="3">
        <f>D4+E4</f>
        <v/>
      </c>
    </row>
    <row r="5">
      <c r="A5" t="inlineStr">
        <is>
          <t>Abril/2026</t>
        </is>
      </c>
      <c r="B5" t="n">
        <v>4</v>
      </c>
      <c r="C5" t="n">
        <v>2026</v>
      </c>
      <c r="D5" s="3">
        <f>SUMIFS('Lançamentos'!$H$2:$H$2000,'Lançamentos'!$B$2:$B$2000,B5,'Lançamentos'!$C$2:$C$2000,C5,'Lançamentos'!$D$2:$D$2000,"Pessoal",'Lançamentos'!$H$2:$H$2000,"&gt;0")</f>
        <v/>
      </c>
      <c r="E5" s="3">
        <f>SUMIFS('Lançamentos'!$H$2:$H$2000,'Lançamentos'!$B$2:$B$2000,B5,'Lançamentos'!$C$2:$C$2000,C5,'Lançamentos'!$D$2:$D$2000,"Pessoal",'Lançamentos'!$H$2:$H$2000,"&lt;0")</f>
        <v/>
      </c>
      <c r="F5" s="3">
        <f>D5+E5</f>
        <v/>
      </c>
    </row>
    <row r="6">
      <c r="A6" t="inlineStr">
        <is>
          <t>Maio/2026</t>
        </is>
      </c>
      <c r="B6" t="n">
        <v>5</v>
      </c>
      <c r="C6" t="n">
        <v>2026</v>
      </c>
      <c r="D6" s="3">
        <f>SUMIFS('Lançamentos'!$H$2:$H$2000,'Lançamentos'!$B$2:$B$2000,B6,'Lançamentos'!$C$2:$C$2000,C6,'Lançamentos'!$D$2:$D$2000,"Pessoal",'Lançamentos'!$H$2:$H$2000,"&gt;0")</f>
        <v/>
      </c>
      <c r="E6" s="3">
        <f>SUMIFS('Lançamentos'!$H$2:$H$2000,'Lançamentos'!$B$2:$B$2000,B6,'Lançamentos'!$C$2:$C$2000,C6,'Lançamentos'!$D$2:$D$2000,"Pessoal",'Lançamentos'!$H$2:$H$2000,"&lt;0")</f>
        <v/>
      </c>
      <c r="F6" s="3">
        <f>D6+E6</f>
        <v/>
      </c>
    </row>
    <row r="7">
      <c r="A7" t="inlineStr">
        <is>
          <t>Junho/2026</t>
        </is>
      </c>
      <c r="B7" t="n">
        <v>6</v>
      </c>
      <c r="C7" t="n">
        <v>2026</v>
      </c>
      <c r="D7" s="3">
        <f>SUMIFS('Lançamentos'!$H$2:$H$2000,'Lançamentos'!$B$2:$B$2000,B7,'Lançamentos'!$C$2:$C$2000,C7,'Lançamentos'!$D$2:$D$2000,"Pessoal",'Lançamentos'!$H$2:$H$2000,"&gt;0")</f>
        <v/>
      </c>
      <c r="E7" s="3">
        <f>SUMIFS('Lançamentos'!$H$2:$H$2000,'Lançamentos'!$B$2:$B$2000,B7,'Lançamentos'!$C$2:$C$2000,C7,'Lançamentos'!$D$2:$D$2000,"Pessoal",'Lançamentos'!$H$2:$H$2000,"&lt;0")</f>
        <v/>
      </c>
      <c r="F7" s="3">
        <f>D7+E7</f>
        <v/>
      </c>
    </row>
    <row r="8">
      <c r="A8" t="inlineStr">
        <is>
          <t>Julho/2026</t>
        </is>
      </c>
      <c r="B8" t="n">
        <v>7</v>
      </c>
      <c r="C8" t="n">
        <v>2026</v>
      </c>
      <c r="D8" s="3">
        <f>SUMIFS('Lançamentos'!$H$2:$H$2000,'Lançamentos'!$B$2:$B$2000,B8,'Lançamentos'!$C$2:$C$2000,C8,'Lançamentos'!$D$2:$D$2000,"Pessoal",'Lançamentos'!$H$2:$H$2000,"&gt;0")</f>
        <v/>
      </c>
      <c r="E8" s="3">
        <f>SUMIFS('Lançamentos'!$H$2:$H$2000,'Lançamentos'!$B$2:$B$2000,B8,'Lançamentos'!$C$2:$C$2000,C8,'Lançamentos'!$D$2:$D$2000,"Pessoal",'Lançamentos'!$H$2:$H$2000,"&lt;0")</f>
        <v/>
      </c>
      <c r="F8" s="3">
        <f>D8+E8</f>
        <v/>
      </c>
    </row>
    <row r="9">
      <c r="A9" t="inlineStr">
        <is>
          <t>Agosto/2026</t>
        </is>
      </c>
      <c r="B9" t="n">
        <v>8</v>
      </c>
      <c r="C9" t="n">
        <v>2026</v>
      </c>
      <c r="D9" s="3">
        <f>SUMIFS('Lançamentos'!$H$2:$H$2000,'Lançamentos'!$B$2:$B$2000,B9,'Lançamentos'!$C$2:$C$2000,C9,'Lançamentos'!$D$2:$D$2000,"Pessoal",'Lançamentos'!$H$2:$H$2000,"&gt;0")</f>
        <v/>
      </c>
      <c r="E9" s="3">
        <f>SUMIFS('Lançamentos'!$H$2:$H$2000,'Lançamentos'!$B$2:$B$2000,B9,'Lançamentos'!$C$2:$C$2000,C9,'Lançamentos'!$D$2:$D$2000,"Pessoal",'Lançamentos'!$H$2:$H$2000,"&lt;0")</f>
        <v/>
      </c>
      <c r="F9" s="3">
        <f>D9+E9</f>
        <v/>
      </c>
    </row>
    <row r="10">
      <c r="A10" t="inlineStr">
        <is>
          <t>Setembro/2026</t>
        </is>
      </c>
      <c r="B10" t="n">
        <v>9</v>
      </c>
      <c r="C10" t="n">
        <v>2026</v>
      </c>
      <c r="D10" s="3">
        <f>SUMIFS('Lançamentos'!$H$2:$H$2000,'Lançamentos'!$B$2:$B$2000,B10,'Lançamentos'!$C$2:$C$2000,C10,'Lançamentos'!$D$2:$D$2000,"Pessoal",'Lançamentos'!$H$2:$H$2000,"&gt;0")</f>
        <v/>
      </c>
      <c r="E10" s="3">
        <f>SUMIFS('Lançamentos'!$H$2:$H$2000,'Lançamentos'!$B$2:$B$2000,B10,'Lançamentos'!$C$2:$C$2000,C10,'Lançamentos'!$D$2:$D$2000,"Pessoal",'Lançamentos'!$H$2:$H$2000,"&lt;0")</f>
        <v/>
      </c>
      <c r="F10" s="3">
        <f>D10+E10</f>
        <v/>
      </c>
    </row>
    <row r="11">
      <c r="A11" t="inlineStr">
        <is>
          <t>Outubro/2026</t>
        </is>
      </c>
      <c r="B11" t="n">
        <v>10</v>
      </c>
      <c r="C11" t="n">
        <v>2026</v>
      </c>
      <c r="D11" s="3">
        <f>SUMIFS('Lançamentos'!$H$2:$H$2000,'Lançamentos'!$B$2:$B$2000,B11,'Lançamentos'!$C$2:$C$2000,C11,'Lançamentos'!$D$2:$D$2000,"Pessoal",'Lançamentos'!$H$2:$H$2000,"&gt;0")</f>
        <v/>
      </c>
      <c r="E11" s="3">
        <f>SUMIFS('Lançamentos'!$H$2:$H$2000,'Lançamentos'!$B$2:$B$2000,B11,'Lançamentos'!$C$2:$C$2000,C11,'Lançamentos'!$D$2:$D$2000,"Pessoal",'Lançamentos'!$H$2:$H$2000,"&lt;0")</f>
        <v/>
      </c>
      <c r="F11" s="3">
        <f>D11+E11</f>
        <v/>
      </c>
    </row>
    <row r="12">
      <c r="A12" t="inlineStr">
        <is>
          <t>Novembro/2026</t>
        </is>
      </c>
      <c r="B12" t="n">
        <v>11</v>
      </c>
      <c r="C12" t="n">
        <v>2026</v>
      </c>
      <c r="D12" s="3">
        <f>SUMIFS('Lançamentos'!$H$2:$H$2000,'Lançamentos'!$B$2:$B$2000,B12,'Lançamentos'!$C$2:$C$2000,C12,'Lançamentos'!$D$2:$D$2000,"Pessoal",'Lançamentos'!$H$2:$H$2000,"&gt;0")</f>
        <v/>
      </c>
      <c r="E12" s="3">
        <f>SUMIFS('Lançamentos'!$H$2:$H$2000,'Lançamentos'!$B$2:$B$2000,B12,'Lançamentos'!$C$2:$C$2000,C12,'Lançamentos'!$D$2:$D$2000,"Pessoal",'Lançamentos'!$H$2:$H$2000,"&lt;0")</f>
        <v/>
      </c>
      <c r="F12" s="3">
        <f>D12+E12</f>
        <v/>
      </c>
    </row>
    <row r="13">
      <c r="A13" t="inlineStr">
        <is>
          <t>Dezembro/2026</t>
        </is>
      </c>
      <c r="B13" t="n">
        <v>12</v>
      </c>
      <c r="C13" t="n">
        <v>2026</v>
      </c>
      <c r="D13" s="3">
        <f>SUMIFS('Lançamentos'!$H$2:$H$2000,'Lançamentos'!$B$2:$B$2000,B13,'Lançamentos'!$C$2:$C$2000,C13,'Lançamentos'!$D$2:$D$2000,"Pessoal",'Lançamentos'!$H$2:$H$2000,"&gt;0")</f>
        <v/>
      </c>
      <c r="E13" s="3">
        <f>SUMIFS('Lançamentos'!$H$2:$H$2000,'Lançamentos'!$B$2:$B$2000,B13,'Lançamentos'!$C$2:$C$2000,C13,'Lançamentos'!$D$2:$D$2000,"Pessoal",'Lançamentos'!$H$2:$H$2000,"&lt;0")</f>
        <v/>
      </c>
      <c r="F13" s="3">
        <f>D13+E13</f>
        <v/>
      </c>
    </row>
    <row r="14">
      <c r="A14" s="2" t="inlineStr">
        <is>
          <t>TOTAL</t>
        </is>
      </c>
      <c r="D14" s="5">
        <f>SUM(D2:D13)</f>
        <v/>
      </c>
      <c r="E14" s="5">
        <f>SUM(E2:E13)</f>
        <v/>
      </c>
      <c r="F14" s="5">
        <f>SUM(F2:F13)</f>
        <v/>
      </c>
    </row>
    <row r="16">
      <c r="A16" s="8" t="inlineStr">
        <is>
          <t>Detalhamento por Conta (Pessoal)</t>
        </is>
      </c>
    </row>
    <row r="17">
      <c r="A17" s="9" t="inlineStr">
        <is>
          <t>Conta / Despesa</t>
        </is>
      </c>
      <c r="B17" s="9" t="inlineStr">
        <is>
          <t>Total</t>
        </is>
      </c>
      <c r="C17" s="9" t="inlineStr">
        <is>
          <t>Qtd Lançamentos</t>
        </is>
      </c>
    </row>
    <row r="18">
      <c r="A18" t="inlineStr">
        <is>
          <t>Bar / Cerveja</t>
        </is>
      </c>
      <c r="B18" s="3">
        <f>SUMIFS('Lançamentos'!$H$2:$H$2000,'Lançamentos'!$D$2:$D$2000,"Pessoal",'Lançamentos'!$F$2:$F$2000,A18)</f>
        <v/>
      </c>
      <c r="C18">
        <f>COUNTIFS('Lançamentos'!$D$2:$D$2000,"Pessoal",'Lançamentos'!$F$2:$F$2000,A18)</f>
        <v/>
      </c>
    </row>
    <row r="19">
      <c r="A19" t="inlineStr">
        <is>
          <t>Combustível</t>
        </is>
      </c>
      <c r="B19" s="3">
        <f>SUMIFS('Lançamentos'!$H$2:$H$2000,'Lançamentos'!$D$2:$D$2000,"Pessoal",'Lançamentos'!$F$2:$F$2000,A19)</f>
        <v/>
      </c>
      <c r="C19">
        <f>COUNTIFS('Lançamentos'!$D$2:$D$2000,"Pessoal",'Lançamentos'!$F$2:$F$2000,A19)</f>
        <v/>
      </c>
    </row>
    <row r="20">
      <c r="A20" t="inlineStr">
        <is>
          <t>Compra / Pix Pessoal</t>
        </is>
      </c>
      <c r="B20" s="3">
        <f>SUMIFS('Lançamentos'!$H$2:$H$2000,'Lançamentos'!$D$2:$D$2000,"Pessoal",'Lançamentos'!$F$2:$F$2000,A20)</f>
        <v/>
      </c>
      <c r="C20">
        <f>COUNTIFS('Lançamentos'!$D$2:$D$2000,"Pessoal",'Lançamentos'!$F$2:$F$2000,A20)</f>
        <v/>
      </c>
    </row>
    <row r="21">
      <c r="A21" t="inlineStr">
        <is>
          <t>Compra Mercado Livre</t>
        </is>
      </c>
      <c r="B21" s="3">
        <f>SUMIFS('Lançamentos'!$H$2:$H$2000,'Lançamentos'!$D$2:$D$2000,"Pessoal",'Lançamentos'!$F$2:$F$2000,A21)</f>
        <v/>
      </c>
      <c r="C21">
        <f>COUNTIFS('Lançamentos'!$D$2:$D$2000,"Pessoal",'Lançamentos'!$F$2:$F$2000,A21)</f>
        <v/>
      </c>
    </row>
    <row r="22">
      <c r="A22" t="inlineStr">
        <is>
          <t>Compra no débito</t>
        </is>
      </c>
      <c r="B22" s="3">
        <f>SUMIFS('Lançamentos'!$H$2:$H$2000,'Lançamentos'!$D$2:$D$2000,"Pessoal",'Lançamentos'!$F$2:$F$2000,A22)</f>
        <v/>
      </c>
      <c r="C22">
        <f>COUNTIFS('Lançamentos'!$D$2:$D$2000,"Pessoal",'Lançamentos'!$F$2:$F$2000,A22)</f>
        <v/>
      </c>
    </row>
    <row r="23">
      <c r="A23" t="inlineStr">
        <is>
          <t>Compras Diversas</t>
        </is>
      </c>
      <c r="B23" s="3">
        <f>SUMIFS('Lançamentos'!$H$2:$H$2000,'Lançamentos'!$D$2:$D$2000,"Pessoal",'Lançamentos'!$F$2:$F$2000,A23)</f>
        <v/>
      </c>
      <c r="C23">
        <f>COUNTIFS('Lançamentos'!$D$2:$D$2000,"Pessoal",'Lançamentos'!$F$2:$F$2000,A23)</f>
        <v/>
      </c>
    </row>
    <row r="24">
      <c r="A24" t="inlineStr">
        <is>
          <t>Farmácia</t>
        </is>
      </c>
      <c r="B24" s="3">
        <f>SUMIFS('Lançamentos'!$H$2:$H$2000,'Lançamentos'!$D$2:$D$2000,"Pessoal",'Lançamentos'!$F$2:$F$2000,A24)</f>
        <v/>
      </c>
      <c r="C24">
        <f>COUNTIFS('Lançamentos'!$D$2:$D$2000,"Pessoal",'Lançamentos'!$F$2:$F$2000,A24)</f>
        <v/>
      </c>
    </row>
    <row r="25">
      <c r="A25" t="inlineStr">
        <is>
          <t>Lazer / Compras</t>
        </is>
      </c>
      <c r="B25" s="3">
        <f>SUMIFS('Lançamentos'!$H$2:$H$2000,'Lançamentos'!$D$2:$D$2000,"Pessoal",'Lançamentos'!$F$2:$F$2000,A25)</f>
        <v/>
      </c>
      <c r="C25">
        <f>COUNTIFS('Lançamentos'!$D$2:$D$2000,"Pessoal",'Lançamentos'!$F$2:$F$2000,A25)</f>
        <v/>
      </c>
    </row>
    <row r="26">
      <c r="A26" t="inlineStr">
        <is>
          <t>Lazer / Ingressos</t>
        </is>
      </c>
      <c r="B26" s="3">
        <f>SUMIFS('Lançamentos'!$H$2:$H$2000,'Lançamentos'!$D$2:$D$2000,"Pessoal",'Lançamentos'!$F$2:$F$2000,A26)</f>
        <v/>
      </c>
      <c r="C26">
        <f>COUNTIFS('Lançamentos'!$D$2:$D$2000,"Pessoal",'Lançamentos'!$F$2:$F$2000,A26)</f>
        <v/>
      </c>
    </row>
    <row r="27">
      <c r="A27" t="inlineStr">
        <is>
          <t>Luz (Copel)</t>
        </is>
      </c>
      <c r="B27" s="3">
        <f>SUMIFS('Lançamentos'!$H$2:$H$2000,'Lançamentos'!$D$2:$D$2000,"Pessoal",'Lançamentos'!$F$2:$F$2000,A27)</f>
        <v/>
      </c>
      <c r="C27">
        <f>COUNTIFS('Lançamentos'!$D$2:$D$2000,"Pessoal",'Lançamentos'!$F$2:$F$2000,A27)</f>
        <v/>
      </c>
    </row>
    <row r="28">
      <c r="A28" t="inlineStr">
        <is>
          <t>Materiais / Construção</t>
        </is>
      </c>
      <c r="B28" s="3">
        <f>SUMIFS('Lançamentos'!$H$2:$H$2000,'Lançamentos'!$D$2:$D$2000,"Pessoal",'Lançamentos'!$F$2:$F$2000,A28)</f>
        <v/>
      </c>
      <c r="C28">
        <f>COUNTIFS('Lançamentos'!$D$2:$D$2000,"Pessoal",'Lançamentos'!$F$2:$F$2000,A28)</f>
        <v/>
      </c>
    </row>
    <row r="29">
      <c r="A29" t="inlineStr">
        <is>
          <t>Mercado</t>
        </is>
      </c>
      <c r="B29" s="3">
        <f>SUMIFS('Lançamentos'!$H$2:$H$2000,'Lançamentos'!$D$2:$D$2000,"Pessoal",'Lançamentos'!$F$2:$F$2000,A29)</f>
        <v/>
      </c>
      <c r="C29">
        <f>COUNTIFS('Lançamentos'!$D$2:$D$2000,"Pessoal",'Lançamentos'!$F$2:$F$2000,A29)</f>
        <v/>
      </c>
    </row>
    <row r="30">
      <c r="A30" t="inlineStr">
        <is>
          <t>Restaurante / Alimentação</t>
        </is>
      </c>
      <c r="B30" s="3">
        <f>SUMIFS('Lançamentos'!$H$2:$H$2000,'Lançamentos'!$D$2:$D$2000,"Pessoal",'Lançamentos'!$F$2:$F$2000,A30)</f>
        <v/>
      </c>
      <c r="C30">
        <f>COUNTIFS('Lançamentos'!$D$2:$D$2000,"Pessoal",'Lançamentos'!$F$2:$F$2000,A30)</f>
        <v/>
      </c>
    </row>
    <row r="31">
      <c r="A31" t="inlineStr">
        <is>
          <t>Restaurante / Lazer</t>
        </is>
      </c>
      <c r="B31" s="3">
        <f>SUMIFS('Lançamentos'!$H$2:$H$2000,'Lançamentos'!$D$2:$D$2000,"Pessoal",'Lançamentos'!$F$2:$F$2000,A31)</f>
        <v/>
      </c>
      <c r="C31">
        <f>COUNTIFS('Lançamentos'!$D$2:$D$2000,"Pessoal",'Lançamentos'!$F$2:$F$2000,A31)</f>
        <v/>
      </c>
    </row>
    <row r="32">
      <c r="A32" t="inlineStr">
        <is>
          <t>Simone (Casa)</t>
        </is>
      </c>
      <c r="B32" s="3">
        <f>SUMIFS('Lançamentos'!$H$2:$H$2000,'Lançamentos'!$D$2:$D$2000,"Pessoal",'Lançamentos'!$F$2:$F$2000,A32)</f>
        <v/>
      </c>
      <c r="C32">
        <f>COUNTIFS('Lançamentos'!$D$2:$D$2000,"Pessoal",'Lançamentos'!$F$2:$F$2000,A32)</f>
        <v/>
      </c>
    </row>
    <row r="33">
      <c r="A33" t="inlineStr">
        <is>
          <t>iFood</t>
        </is>
      </c>
      <c r="B33" s="3">
        <f>SUMIFS('Lançamentos'!$H$2:$H$2000,'Lançamentos'!$D$2:$D$2000,"Pessoal",'Lançamentos'!$F$2:$F$2000,A33)</f>
        <v/>
      </c>
      <c r="C33">
        <f>COUNTIFS('Lançamentos'!$D$2:$D$2000,"Pessoal",'Lançamentos'!$F$2:$F$2000,A33)</f>
        <v/>
      </c>
    </row>
    <row r="34">
      <c r="A34" t="inlineStr">
        <is>
          <t>Água (Sanepar)</t>
        </is>
      </c>
      <c r="B34" s="3">
        <f>SUMIFS('Lançamentos'!$H$2:$H$2000,'Lançamentos'!$D$2:$D$2000,"Pessoal",'Lançamentos'!$F$2:$F$2000,A34)</f>
        <v/>
      </c>
      <c r="C34">
        <f>COUNTIFS('Lançamentos'!$D$2:$D$2000,"Pessoal",'Lançamentos'!$F$2:$F$2000,A34)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Mês</t>
        </is>
      </c>
      <c r="B1" s="7" t="inlineStr">
        <is>
          <t>Mês Nº</t>
        </is>
      </c>
      <c r="C1" s="7" t="inlineStr">
        <is>
          <t>Ano</t>
        </is>
      </c>
      <c r="D1" s="7" t="inlineStr">
        <is>
          <t>Receitas</t>
        </is>
      </c>
      <c r="E1" s="7" t="inlineStr">
        <is>
          <t>Despesas</t>
        </is>
      </c>
      <c r="F1" s="7" t="inlineStr">
        <is>
          <t>Saldo</t>
        </is>
      </c>
    </row>
    <row r="2">
      <c r="A2" t="inlineStr">
        <is>
          <t>Janeiro/2026</t>
        </is>
      </c>
      <c r="B2" t="n">
        <v>1</v>
      </c>
      <c r="C2" t="n">
        <v>2026</v>
      </c>
      <c r="D2" s="3">
        <f>SUMIFS('Lançamentos'!$H$2:$H$2000,'Lançamentos'!$B$2:$B$2000,B2,'Lançamentos'!$C$2:$C$2000,C2,'Lançamentos'!$D$2:$D$2000,"Studio",'Lançamentos'!$H$2:$H$2000,"&gt;0")</f>
        <v/>
      </c>
      <c r="E2" s="3">
        <f>SUMIFS('Lançamentos'!$H$2:$H$2000,'Lançamentos'!$B$2:$B$2000,B2,'Lançamentos'!$C$2:$C$2000,C2,'Lançamentos'!$D$2:$D$2000,"Studio",'Lançamentos'!$H$2:$H$2000,"&lt;0")</f>
        <v/>
      </c>
      <c r="F2" s="3">
        <f>D2+E2</f>
        <v/>
      </c>
    </row>
    <row r="3">
      <c r="A3" t="inlineStr">
        <is>
          <t>Fevereiro/2026</t>
        </is>
      </c>
      <c r="B3" t="n">
        <v>2</v>
      </c>
      <c r="C3" t="n">
        <v>2026</v>
      </c>
      <c r="D3" s="3">
        <f>SUMIFS('Lançamentos'!$H$2:$H$2000,'Lançamentos'!$B$2:$B$2000,B3,'Lançamentos'!$C$2:$C$2000,C3,'Lançamentos'!$D$2:$D$2000,"Studio",'Lançamentos'!$H$2:$H$2000,"&gt;0")</f>
        <v/>
      </c>
      <c r="E3" s="3">
        <f>SUMIFS('Lançamentos'!$H$2:$H$2000,'Lançamentos'!$B$2:$B$2000,B3,'Lançamentos'!$C$2:$C$2000,C3,'Lançamentos'!$D$2:$D$2000,"Studio",'Lançamentos'!$H$2:$H$2000,"&lt;0")</f>
        <v/>
      </c>
      <c r="F3" s="3">
        <f>D3+E3</f>
        <v/>
      </c>
    </row>
    <row r="4">
      <c r="A4" t="inlineStr">
        <is>
          <t>Março/2026</t>
        </is>
      </c>
      <c r="B4" t="n">
        <v>3</v>
      </c>
      <c r="C4" t="n">
        <v>2026</v>
      </c>
      <c r="D4" s="3">
        <f>SUMIFS('Lançamentos'!$H$2:$H$2000,'Lançamentos'!$B$2:$B$2000,B4,'Lançamentos'!$C$2:$C$2000,C4,'Lançamentos'!$D$2:$D$2000,"Studio",'Lançamentos'!$H$2:$H$2000,"&gt;0")</f>
        <v/>
      </c>
      <c r="E4" s="3">
        <f>SUMIFS('Lançamentos'!$H$2:$H$2000,'Lançamentos'!$B$2:$B$2000,B4,'Lançamentos'!$C$2:$C$2000,C4,'Lançamentos'!$D$2:$D$2000,"Studio",'Lançamentos'!$H$2:$H$2000,"&lt;0")</f>
        <v/>
      </c>
      <c r="F4" s="3">
        <f>D4+E4</f>
        <v/>
      </c>
    </row>
    <row r="5">
      <c r="A5" t="inlineStr">
        <is>
          <t>Abril/2026</t>
        </is>
      </c>
      <c r="B5" t="n">
        <v>4</v>
      </c>
      <c r="C5" t="n">
        <v>2026</v>
      </c>
      <c r="D5" s="3">
        <f>SUMIFS('Lançamentos'!$H$2:$H$2000,'Lançamentos'!$B$2:$B$2000,B5,'Lançamentos'!$C$2:$C$2000,C5,'Lançamentos'!$D$2:$D$2000,"Studio",'Lançamentos'!$H$2:$H$2000,"&gt;0")</f>
        <v/>
      </c>
      <c r="E5" s="3">
        <f>SUMIFS('Lançamentos'!$H$2:$H$2000,'Lançamentos'!$B$2:$B$2000,B5,'Lançamentos'!$C$2:$C$2000,C5,'Lançamentos'!$D$2:$D$2000,"Studio",'Lançamentos'!$H$2:$H$2000,"&lt;0")</f>
        <v/>
      </c>
      <c r="F5" s="3">
        <f>D5+E5</f>
        <v/>
      </c>
    </row>
    <row r="6">
      <c r="A6" t="inlineStr">
        <is>
          <t>Maio/2026</t>
        </is>
      </c>
      <c r="B6" t="n">
        <v>5</v>
      </c>
      <c r="C6" t="n">
        <v>2026</v>
      </c>
      <c r="D6" s="3">
        <f>SUMIFS('Lançamentos'!$H$2:$H$2000,'Lançamentos'!$B$2:$B$2000,B6,'Lançamentos'!$C$2:$C$2000,C6,'Lançamentos'!$D$2:$D$2000,"Studio",'Lançamentos'!$H$2:$H$2000,"&gt;0")</f>
        <v/>
      </c>
      <c r="E6" s="3">
        <f>SUMIFS('Lançamentos'!$H$2:$H$2000,'Lançamentos'!$B$2:$B$2000,B6,'Lançamentos'!$C$2:$C$2000,C6,'Lançamentos'!$D$2:$D$2000,"Studio",'Lançamentos'!$H$2:$H$2000,"&lt;0")</f>
        <v/>
      </c>
      <c r="F6" s="3">
        <f>D6+E6</f>
        <v/>
      </c>
    </row>
    <row r="7">
      <c r="A7" t="inlineStr">
        <is>
          <t>Junho/2026</t>
        </is>
      </c>
      <c r="B7" t="n">
        <v>6</v>
      </c>
      <c r="C7" t="n">
        <v>2026</v>
      </c>
      <c r="D7" s="3">
        <f>SUMIFS('Lançamentos'!$H$2:$H$2000,'Lançamentos'!$B$2:$B$2000,B7,'Lançamentos'!$C$2:$C$2000,C7,'Lançamentos'!$D$2:$D$2000,"Studio",'Lançamentos'!$H$2:$H$2000,"&gt;0")</f>
        <v/>
      </c>
      <c r="E7" s="3">
        <f>SUMIFS('Lançamentos'!$H$2:$H$2000,'Lançamentos'!$B$2:$B$2000,B7,'Lançamentos'!$C$2:$C$2000,C7,'Lançamentos'!$D$2:$D$2000,"Studio",'Lançamentos'!$H$2:$H$2000,"&lt;0")</f>
        <v/>
      </c>
      <c r="F7" s="3">
        <f>D7+E7</f>
        <v/>
      </c>
    </row>
    <row r="8">
      <c r="A8" t="inlineStr">
        <is>
          <t>Julho/2026</t>
        </is>
      </c>
      <c r="B8" t="n">
        <v>7</v>
      </c>
      <c r="C8" t="n">
        <v>2026</v>
      </c>
      <c r="D8" s="3">
        <f>SUMIFS('Lançamentos'!$H$2:$H$2000,'Lançamentos'!$B$2:$B$2000,B8,'Lançamentos'!$C$2:$C$2000,C8,'Lançamentos'!$D$2:$D$2000,"Studio",'Lançamentos'!$H$2:$H$2000,"&gt;0")</f>
        <v/>
      </c>
      <c r="E8" s="3">
        <f>SUMIFS('Lançamentos'!$H$2:$H$2000,'Lançamentos'!$B$2:$B$2000,B8,'Lançamentos'!$C$2:$C$2000,C8,'Lançamentos'!$D$2:$D$2000,"Studio",'Lançamentos'!$H$2:$H$2000,"&lt;0")</f>
        <v/>
      </c>
      <c r="F8" s="3">
        <f>D8+E8</f>
        <v/>
      </c>
    </row>
    <row r="9">
      <c r="A9" t="inlineStr">
        <is>
          <t>Agosto/2026</t>
        </is>
      </c>
      <c r="B9" t="n">
        <v>8</v>
      </c>
      <c r="C9" t="n">
        <v>2026</v>
      </c>
      <c r="D9" s="3">
        <f>SUMIFS('Lançamentos'!$H$2:$H$2000,'Lançamentos'!$B$2:$B$2000,B9,'Lançamentos'!$C$2:$C$2000,C9,'Lançamentos'!$D$2:$D$2000,"Studio",'Lançamentos'!$H$2:$H$2000,"&gt;0")</f>
        <v/>
      </c>
      <c r="E9" s="3">
        <f>SUMIFS('Lançamentos'!$H$2:$H$2000,'Lançamentos'!$B$2:$B$2000,B9,'Lançamentos'!$C$2:$C$2000,C9,'Lançamentos'!$D$2:$D$2000,"Studio",'Lançamentos'!$H$2:$H$2000,"&lt;0")</f>
        <v/>
      </c>
      <c r="F9" s="3">
        <f>D9+E9</f>
        <v/>
      </c>
    </row>
    <row r="10">
      <c r="A10" t="inlineStr">
        <is>
          <t>Setembro/2026</t>
        </is>
      </c>
      <c r="B10" t="n">
        <v>9</v>
      </c>
      <c r="C10" t="n">
        <v>2026</v>
      </c>
      <c r="D10" s="3">
        <f>SUMIFS('Lançamentos'!$H$2:$H$2000,'Lançamentos'!$B$2:$B$2000,B10,'Lançamentos'!$C$2:$C$2000,C10,'Lançamentos'!$D$2:$D$2000,"Studio",'Lançamentos'!$H$2:$H$2000,"&gt;0")</f>
        <v/>
      </c>
      <c r="E10" s="3">
        <f>SUMIFS('Lançamentos'!$H$2:$H$2000,'Lançamentos'!$B$2:$B$2000,B10,'Lançamentos'!$C$2:$C$2000,C10,'Lançamentos'!$D$2:$D$2000,"Studio",'Lançamentos'!$H$2:$H$2000,"&lt;0")</f>
        <v/>
      </c>
      <c r="F10" s="3">
        <f>D10+E10</f>
        <v/>
      </c>
    </row>
    <row r="11">
      <c r="A11" t="inlineStr">
        <is>
          <t>Outubro/2026</t>
        </is>
      </c>
      <c r="B11" t="n">
        <v>10</v>
      </c>
      <c r="C11" t="n">
        <v>2026</v>
      </c>
      <c r="D11" s="3">
        <f>SUMIFS('Lançamentos'!$H$2:$H$2000,'Lançamentos'!$B$2:$B$2000,B11,'Lançamentos'!$C$2:$C$2000,C11,'Lançamentos'!$D$2:$D$2000,"Studio",'Lançamentos'!$H$2:$H$2000,"&gt;0")</f>
        <v/>
      </c>
      <c r="E11" s="3">
        <f>SUMIFS('Lançamentos'!$H$2:$H$2000,'Lançamentos'!$B$2:$B$2000,B11,'Lançamentos'!$C$2:$C$2000,C11,'Lançamentos'!$D$2:$D$2000,"Studio",'Lançamentos'!$H$2:$H$2000,"&lt;0")</f>
        <v/>
      </c>
      <c r="F11" s="3">
        <f>D11+E11</f>
        <v/>
      </c>
    </row>
    <row r="12">
      <c r="A12" t="inlineStr">
        <is>
          <t>Novembro/2026</t>
        </is>
      </c>
      <c r="B12" t="n">
        <v>11</v>
      </c>
      <c r="C12" t="n">
        <v>2026</v>
      </c>
      <c r="D12" s="3">
        <f>SUMIFS('Lançamentos'!$H$2:$H$2000,'Lançamentos'!$B$2:$B$2000,B12,'Lançamentos'!$C$2:$C$2000,C12,'Lançamentos'!$D$2:$D$2000,"Studio",'Lançamentos'!$H$2:$H$2000,"&gt;0")</f>
        <v/>
      </c>
      <c r="E12" s="3">
        <f>SUMIFS('Lançamentos'!$H$2:$H$2000,'Lançamentos'!$B$2:$B$2000,B12,'Lançamentos'!$C$2:$C$2000,C12,'Lançamentos'!$D$2:$D$2000,"Studio",'Lançamentos'!$H$2:$H$2000,"&lt;0")</f>
        <v/>
      </c>
      <c r="F12" s="3">
        <f>D12+E12</f>
        <v/>
      </c>
    </row>
    <row r="13">
      <c r="A13" t="inlineStr">
        <is>
          <t>Dezembro/2026</t>
        </is>
      </c>
      <c r="B13" t="n">
        <v>12</v>
      </c>
      <c r="C13" t="n">
        <v>2026</v>
      </c>
      <c r="D13" s="3">
        <f>SUMIFS('Lançamentos'!$H$2:$H$2000,'Lançamentos'!$B$2:$B$2000,B13,'Lançamentos'!$C$2:$C$2000,C13,'Lançamentos'!$D$2:$D$2000,"Studio",'Lançamentos'!$H$2:$H$2000,"&gt;0")</f>
        <v/>
      </c>
      <c r="E13" s="3">
        <f>SUMIFS('Lançamentos'!$H$2:$H$2000,'Lançamentos'!$B$2:$B$2000,B13,'Lançamentos'!$C$2:$C$2000,C13,'Lançamentos'!$D$2:$D$2000,"Studio",'Lançamentos'!$H$2:$H$2000,"&lt;0")</f>
        <v/>
      </c>
      <c r="F13" s="3">
        <f>D13+E13</f>
        <v/>
      </c>
    </row>
    <row r="14">
      <c r="A14" s="2" t="inlineStr">
        <is>
          <t>TOTAL</t>
        </is>
      </c>
      <c r="D14" s="5">
        <f>SUM(D2:D13)</f>
        <v/>
      </c>
      <c r="E14" s="5">
        <f>SUM(E2:E13)</f>
        <v/>
      </c>
      <c r="F14" s="5">
        <f>SUM(F2:F13)</f>
        <v/>
      </c>
    </row>
    <row r="16">
      <c r="A16" s="8" t="inlineStr">
        <is>
          <t>Detalhamento por Conta (Studio)</t>
        </is>
      </c>
    </row>
    <row r="17">
      <c r="A17" s="9" t="inlineStr">
        <is>
          <t>Conta / Despesa</t>
        </is>
      </c>
      <c r="B17" s="9" t="inlineStr">
        <is>
          <t>Total</t>
        </is>
      </c>
      <c r="C17" s="9" t="inlineStr">
        <is>
          <t>Qtd Lançamentos</t>
        </is>
      </c>
    </row>
    <row r="18">
      <c r="A18" t="inlineStr">
        <is>
          <t>Analice</t>
        </is>
      </c>
      <c r="B18" s="3">
        <f>SUMIFS('Lançamentos'!$H$2:$H$2000,'Lançamentos'!$D$2:$D$2000,"Studio",'Lançamentos'!$F$2:$F$2000,A18)</f>
        <v/>
      </c>
      <c r="C18">
        <f>COUNTIFS('Lançamentos'!$D$2:$D$2000,"Studio",'Lançamentos'!$F$2:$F$2000,A18)</f>
        <v/>
      </c>
    </row>
    <row r="19">
      <c r="A19" t="inlineStr">
        <is>
          <t>Condomínio</t>
        </is>
      </c>
      <c r="B19" s="3">
        <f>SUMIFS('Lançamentos'!$H$2:$H$2000,'Lançamentos'!$D$2:$D$2000,"Studio",'Lançamentos'!$F$2:$F$2000,A19)</f>
        <v/>
      </c>
      <c r="C19">
        <f>COUNTIFS('Lançamentos'!$D$2:$D$2000,"Studio",'Lançamentos'!$F$2:$F$2000,A19)</f>
        <v/>
      </c>
    </row>
    <row r="20">
      <c r="A20" t="inlineStr">
        <is>
          <t>Depósito Midialike</t>
        </is>
      </c>
      <c r="B20" s="3">
        <f>SUMIFS('Lançamentos'!$H$2:$H$2000,'Lançamentos'!$D$2:$D$2000,"Studio",'Lançamentos'!$F$2:$F$2000,A20)</f>
        <v/>
      </c>
      <c r="C20">
        <f>COUNTIFS('Lançamentos'!$D$2:$D$2000,"Studio",'Lançamentos'!$F$2:$F$2000,A20)</f>
        <v/>
      </c>
    </row>
    <row r="21">
      <c r="A21" t="inlineStr">
        <is>
          <t>Depósito recebido de Denise / Salão</t>
        </is>
      </c>
      <c r="B21" s="3">
        <f>SUMIFS('Lançamentos'!$H$2:$H$2000,'Lançamentos'!$D$2:$D$2000,"Studio",'Lançamentos'!$F$2:$F$2000,A21)</f>
        <v/>
      </c>
      <c r="C21">
        <f>COUNTIFS('Lançamentos'!$D$2:$D$2000,"Studio",'Lançamentos'!$F$2:$F$2000,A21)</f>
        <v/>
      </c>
    </row>
    <row r="22">
      <c r="A22" t="inlineStr">
        <is>
          <t>Eliane</t>
        </is>
      </c>
      <c r="B22" s="3">
        <f>SUMIFS('Lançamentos'!$H$2:$H$2000,'Lançamentos'!$D$2:$D$2000,"Studio",'Lançamentos'!$F$2:$F$2000,A22)</f>
        <v/>
      </c>
      <c r="C22">
        <f>COUNTIFS('Lançamentos'!$D$2:$D$2000,"Studio",'Lançamentos'!$F$2:$F$2000,A22)</f>
        <v/>
      </c>
    </row>
    <row r="23">
      <c r="A23" t="inlineStr">
        <is>
          <t>Estacionamento Studio</t>
        </is>
      </c>
      <c r="B23" s="3">
        <f>SUMIFS('Lançamentos'!$H$2:$H$2000,'Lançamentos'!$D$2:$D$2000,"Studio",'Lançamentos'!$F$2:$F$2000,A23)</f>
        <v/>
      </c>
      <c r="C23">
        <f>COUNTIFS('Lançamentos'!$D$2:$D$2000,"Studio",'Lançamentos'!$F$2:$F$2000,A23)</f>
        <v/>
      </c>
    </row>
    <row r="24">
      <c r="A24" t="inlineStr">
        <is>
          <t>Facebook / Meta Ads</t>
        </is>
      </c>
      <c r="B24" s="3">
        <f>SUMIFS('Lançamentos'!$H$2:$H$2000,'Lançamentos'!$D$2:$D$2000,"Studio",'Lançamentos'!$F$2:$F$2000,A24)</f>
        <v/>
      </c>
      <c r="C24">
        <f>COUNTIFS('Lançamentos'!$D$2:$D$2000,"Studio",'Lançamentos'!$F$2:$F$2000,A24)</f>
        <v/>
      </c>
    </row>
    <row r="25">
      <c r="A25" t="inlineStr">
        <is>
          <t>Google Ads / Google</t>
        </is>
      </c>
      <c r="B25" s="3">
        <f>SUMIFS('Lançamentos'!$H$2:$H$2000,'Lançamentos'!$D$2:$D$2000,"Studio",'Lançamentos'!$F$2:$F$2000,A25)</f>
        <v/>
      </c>
      <c r="C25">
        <f>COUNTIFS('Lançamentos'!$D$2:$D$2000,"Studio",'Lançamentos'!$F$2:$F$2000,A25)</f>
        <v/>
      </c>
    </row>
    <row r="26">
      <c r="A26" t="inlineStr">
        <is>
          <t>Hospedagem / Site</t>
        </is>
      </c>
      <c r="B26" s="3">
        <f>SUMIFS('Lançamentos'!$H$2:$H$2000,'Lançamentos'!$D$2:$D$2000,"Studio",'Lançamentos'!$F$2:$F$2000,A26)</f>
        <v/>
      </c>
      <c r="C26">
        <f>COUNTIFS('Lançamentos'!$D$2:$D$2000,"Studio",'Lançamentos'!$F$2:$F$2000,A26)</f>
        <v/>
      </c>
    </row>
    <row r="27">
      <c r="A27" t="inlineStr">
        <is>
          <t>Internet / Telecom</t>
        </is>
      </c>
      <c r="B27" s="3">
        <f>SUMIFS('Lançamentos'!$H$2:$H$2000,'Lançamentos'!$D$2:$D$2000,"Studio",'Lançamentos'!$F$2:$F$2000,A27)</f>
        <v/>
      </c>
      <c r="C27">
        <f>COUNTIFS('Lançamentos'!$D$2:$D$2000,"Studio",'Lançamentos'!$F$2:$F$2000,A27)</f>
        <v/>
      </c>
    </row>
    <row r="28">
      <c r="A28" t="inlineStr">
        <is>
          <t>Liberação de Crédito (Studio)</t>
        </is>
      </c>
      <c r="B28" s="3">
        <f>SUMIFS('Lançamentos'!$H$2:$H$2000,'Lançamentos'!$D$2:$D$2000,"Studio",'Lançamentos'!$F$2:$F$2000,A28)</f>
        <v/>
      </c>
      <c r="C28">
        <f>COUNTIFS('Lançamentos'!$D$2:$D$2000,"Studio",'Lançamentos'!$F$2:$F$2000,A28)</f>
        <v/>
      </c>
    </row>
    <row r="29">
      <c r="A29" t="inlineStr">
        <is>
          <t>Marco</t>
        </is>
      </c>
      <c r="B29" s="3">
        <f>SUMIFS('Lançamentos'!$H$2:$H$2000,'Lançamentos'!$D$2:$D$2000,"Studio",'Lançamentos'!$F$2:$F$2000,A29)</f>
        <v/>
      </c>
      <c r="C29">
        <f>COUNTIFS('Lançamentos'!$D$2:$D$2000,"Studio",'Lançamentos'!$F$2:$F$2000,A29)</f>
        <v/>
      </c>
    </row>
    <row r="30">
      <c r="A30" t="inlineStr">
        <is>
          <t>Neemias</t>
        </is>
      </c>
      <c r="B30" s="3">
        <f>SUMIFS('Lançamentos'!$H$2:$H$2000,'Lançamentos'!$D$2:$D$2000,"Studio",'Lançamentos'!$F$2:$F$2000,A30)</f>
        <v/>
      </c>
      <c r="C30">
        <f>COUNTIFS('Lançamentos'!$D$2:$D$2000,"Studio",'Lançamentos'!$F$2:$F$2000,A30)</f>
        <v/>
      </c>
    </row>
    <row r="31">
      <c r="A31" t="inlineStr">
        <is>
          <t>Pagamento Cartão Bradesco</t>
        </is>
      </c>
      <c r="B31" s="3">
        <f>SUMIFS('Lançamentos'!$H$2:$H$2000,'Lançamentos'!$D$2:$D$2000,"Studio",'Lançamentos'!$F$2:$F$2000,A31)</f>
        <v/>
      </c>
      <c r="C31">
        <f>COUNTIFS('Lançamentos'!$D$2:$D$2000,"Studio",'Lançamentos'!$F$2:$F$2000,A31)</f>
        <v/>
      </c>
    </row>
    <row r="32">
      <c r="A32" t="inlineStr">
        <is>
          <t>Pagamento Cartão Carrefour</t>
        </is>
      </c>
      <c r="B32" s="3">
        <f>SUMIFS('Lançamentos'!$H$2:$H$2000,'Lançamentos'!$D$2:$D$2000,"Studio",'Lançamentos'!$F$2:$F$2000,A32)</f>
        <v/>
      </c>
      <c r="C32">
        <f>COUNTIFS('Lançamentos'!$D$2:$D$2000,"Studio",'Lançamentos'!$F$2:$F$2000,A32)</f>
        <v/>
      </c>
    </row>
    <row r="33">
      <c r="A33" t="inlineStr">
        <is>
          <t>Pagamento Cartão Nubank</t>
        </is>
      </c>
      <c r="B33" s="3">
        <f>SUMIFS('Lançamentos'!$H$2:$H$2000,'Lançamentos'!$D$2:$D$2000,"Studio",'Lançamentos'!$F$2:$F$2000,A33)</f>
        <v/>
      </c>
      <c r="C33">
        <f>COUNTIFS('Lançamentos'!$D$2:$D$2000,"Studio",'Lançamentos'!$F$2:$F$2000,A33)</f>
        <v/>
      </c>
    </row>
    <row r="34">
      <c r="A34" t="inlineStr">
        <is>
          <t>Pagamento Cartão Santander</t>
        </is>
      </c>
      <c r="B34" s="3">
        <f>SUMIFS('Lançamentos'!$H$2:$H$2000,'Lançamentos'!$D$2:$D$2000,"Studio",'Lançamentos'!$F$2:$F$2000,A34)</f>
        <v/>
      </c>
      <c r="C34">
        <f>COUNTIFS('Lançamentos'!$D$2:$D$2000,"Studio",'Lançamentos'!$F$2:$F$2000,A34)</f>
        <v/>
      </c>
    </row>
    <row r="35">
      <c r="A35" t="inlineStr">
        <is>
          <t>Pagar.me (boleto)</t>
        </is>
      </c>
      <c r="B35" s="3">
        <f>SUMIFS('Lançamentos'!$H$2:$H$2000,'Lançamentos'!$D$2:$D$2000,"Studio",'Lançamentos'!$F$2:$F$2000,A35)</f>
        <v/>
      </c>
      <c r="C35">
        <f>COUNTIFS('Lançamentos'!$D$2:$D$2000,"Studio",'Lançamentos'!$F$2:$F$2000,A35)</f>
        <v/>
      </c>
    </row>
    <row r="36">
      <c r="A36" t="inlineStr">
        <is>
          <t>Pix recebido (cliente)</t>
        </is>
      </c>
      <c r="B36" s="3">
        <f>SUMIFS('Lançamentos'!$H$2:$H$2000,'Lançamentos'!$D$2:$D$2000,"Studio",'Lançamentos'!$F$2:$F$2000,A36)</f>
        <v/>
      </c>
      <c r="C36">
        <f>COUNTIFS('Lançamentos'!$D$2:$D$2000,"Studio",'Lançamentos'!$F$2:$F$2000,A36)</f>
        <v/>
      </c>
    </row>
    <row r="37">
      <c r="A37" t="inlineStr">
        <is>
          <t>Pix recebido cliente Studio</t>
        </is>
      </c>
      <c r="B37" s="3">
        <f>SUMIFS('Lançamentos'!$H$2:$H$2000,'Lançamentos'!$D$2:$D$2000,"Studio",'Lançamentos'!$F$2:$F$2000,A37)</f>
        <v/>
      </c>
      <c r="C37">
        <f>COUNTIFS('Lançamentos'!$D$2:$D$2000,"Studio",'Lançamentos'!$F$2:$F$2000,A37)</f>
        <v/>
      </c>
    </row>
    <row r="38">
      <c r="A38" t="inlineStr">
        <is>
          <t>Receita não categorizada</t>
        </is>
      </c>
      <c r="B38" s="3">
        <f>SUMIFS('Lançamentos'!$H$2:$H$2000,'Lançamentos'!$D$2:$D$2000,"Studio",'Lançamentos'!$F$2:$F$2000,A38)</f>
        <v/>
      </c>
      <c r="C38">
        <f>COUNTIFS('Lançamentos'!$D$2:$D$2000,"Studio",'Lançamentos'!$F$2:$F$2000,A38)</f>
        <v/>
      </c>
    </row>
    <row r="39">
      <c r="A39" t="inlineStr">
        <is>
          <t>Reembolso recebido</t>
        </is>
      </c>
      <c r="B39" s="3">
        <f>SUMIFS('Lançamentos'!$H$2:$H$2000,'Lançamentos'!$D$2:$D$2000,"Studio",'Lançamentos'!$F$2:$F$2000,A39)</f>
        <v/>
      </c>
      <c r="C39">
        <f>COUNTIFS('Lançamentos'!$D$2:$D$2000,"Studio",'Lançamentos'!$F$2:$F$2000,A39)</f>
        <v/>
      </c>
    </row>
    <row r="40">
      <c r="A40" t="inlineStr">
        <is>
          <t>Serviços Online / Domínio</t>
        </is>
      </c>
      <c r="B40" s="3">
        <f>SUMIFS('Lançamentos'!$H$2:$H$2000,'Lançamentos'!$D$2:$D$2000,"Studio",'Lançamentos'!$F$2:$F$2000,A40)</f>
        <v/>
      </c>
      <c r="C40">
        <f>COUNTIFS('Lançamentos'!$D$2:$D$2000,"Studio",'Lançamentos'!$F$2:$F$2000,A40)</f>
        <v/>
      </c>
    </row>
    <row r="41">
      <c r="A41" t="inlineStr">
        <is>
          <t>Tributo / Guia</t>
        </is>
      </c>
      <c r="B41" s="3">
        <f>SUMIFS('Lançamentos'!$H$2:$H$2000,'Lançamentos'!$D$2:$D$2000,"Studio",'Lançamentos'!$F$2:$F$2000,A41)</f>
        <v/>
      </c>
      <c r="C41">
        <f>COUNTIFS('Lançamentos'!$D$2:$D$2000,"Studio",'Lançamentos'!$F$2:$F$2000,A41)</f>
        <v/>
      </c>
    </row>
    <row r="42">
      <c r="A42" t="inlineStr">
        <is>
          <t>Tributo Municipal</t>
        </is>
      </c>
      <c r="B42" s="3">
        <f>SUMIFS('Lançamentos'!$H$2:$H$2000,'Lançamentos'!$D$2:$D$2000,"Studio",'Lançamentos'!$F$2:$F$2000,A42)</f>
        <v/>
      </c>
      <c r="C42">
        <f>COUNTIFS('Lançamentos'!$D$2:$D$2000,"Studio",'Lançamentos'!$F$2:$F$2000,A42)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6" customWidth="1" min="5" max="5"/>
    <col width="18" customWidth="1" min="6" max="6"/>
  </cols>
  <sheetData>
    <row r="1">
      <c r="A1" s="7" t="inlineStr">
        <is>
          <t>Categoria</t>
        </is>
      </c>
      <c r="B1" s="7" t="inlineStr">
        <is>
          <t>Total</t>
        </is>
      </c>
      <c r="C1" s="7" t="inlineStr">
        <is>
          <t>Qtd Lançamentos</t>
        </is>
      </c>
      <c r="D1" s="7" t="inlineStr">
        <is>
          <t>Média por Lançamento</t>
        </is>
      </c>
      <c r="E1" s="7" t="inlineStr">
        <is>
          <t>Média Mensal</t>
        </is>
      </c>
      <c r="F1" s="7" t="inlineStr">
        <is>
          <t>% do Total Despesas</t>
        </is>
      </c>
    </row>
    <row r="2">
      <c r="A2" t="inlineStr">
        <is>
          <t>Receita - Midialike</t>
        </is>
      </c>
      <c r="B2" s="3">
        <f>SUMIF('Lançamentos'!$E$2:$E$2000,A2,'Lançamentos'!$H$2:$H$2000)</f>
        <v/>
      </c>
      <c r="C2">
        <f>COUNTIF('Lançamentos'!$E$2:$E$2000,A2)</f>
        <v/>
      </c>
      <c r="D2" s="3">
        <f>IFERROR(B2/C2,0)</f>
        <v/>
      </c>
      <c r="E2" s="3">
        <f>B2/12</f>
        <v/>
      </c>
      <c r="F2" t="inlineStr"/>
    </row>
    <row r="3">
      <c r="A3" t="inlineStr">
        <is>
          <t>Receita - Denise (Salão)</t>
        </is>
      </c>
      <c r="B3" s="3">
        <f>SUMIF('Lançamentos'!$E$2:$E$2000,A3,'Lançamentos'!$H$2:$H$2000)</f>
        <v/>
      </c>
      <c r="C3">
        <f>COUNTIF('Lançamentos'!$E$2:$E$2000,A3)</f>
        <v/>
      </c>
      <c r="D3" s="3">
        <f>IFERROR(B3/C3,0)</f>
        <v/>
      </c>
      <c r="E3" s="3">
        <f>B3/12</f>
        <v/>
      </c>
      <c r="F3" t="inlineStr"/>
    </row>
    <row r="4">
      <c r="A4" t="inlineStr">
        <is>
          <t>Receita - Clientes Studio</t>
        </is>
      </c>
      <c r="B4" s="3">
        <f>SUMIF('Lançamentos'!$E$2:$E$2000,A4,'Lançamentos'!$H$2:$H$2000)</f>
        <v/>
      </c>
      <c r="C4">
        <f>COUNTIF('Lançamentos'!$E$2:$E$2000,A4)</f>
        <v/>
      </c>
      <c r="D4" s="3">
        <f>IFERROR(B4/C4,0)</f>
        <v/>
      </c>
      <c r="E4" s="3">
        <f>B4/12</f>
        <v/>
      </c>
      <c r="F4" t="inlineStr"/>
    </row>
    <row r="5">
      <c r="A5" t="inlineStr">
        <is>
          <t>Receita - Liberação de Crédito</t>
        </is>
      </c>
      <c r="B5" s="3">
        <f>SUMIF('Lançamentos'!$E$2:$E$2000,A5,'Lançamentos'!$H$2:$H$2000)</f>
        <v/>
      </c>
      <c r="C5">
        <f>COUNTIF('Lançamentos'!$E$2:$E$2000,A5)</f>
        <v/>
      </c>
      <c r="D5" s="3">
        <f>IFERROR(B5/C5,0)</f>
        <v/>
      </c>
      <c r="E5" s="3">
        <f>B5/12</f>
        <v/>
      </c>
      <c r="F5" t="inlineStr"/>
    </row>
    <row r="6">
      <c r="A6" t="inlineStr">
        <is>
          <t>Receita - Reembolso</t>
        </is>
      </c>
      <c r="B6" s="3">
        <f>SUMIF('Lançamentos'!$E$2:$E$2000,A6,'Lançamentos'!$H$2:$H$2000)</f>
        <v/>
      </c>
      <c r="C6">
        <f>COUNTIF('Lançamentos'!$E$2:$E$2000,A6)</f>
        <v/>
      </c>
      <c r="D6" s="3">
        <f>IFERROR(B6/C6,0)</f>
        <v/>
      </c>
      <c r="E6" s="3">
        <f>B6/12</f>
        <v/>
      </c>
      <c r="F6" t="inlineStr"/>
    </row>
    <row r="7">
      <c r="A7" t="inlineStr">
        <is>
          <t>Receita - Outros</t>
        </is>
      </c>
      <c r="B7" s="3">
        <f>SUMIF('Lançamentos'!$E$2:$E$2000,A7,'Lançamentos'!$H$2:$H$2000)</f>
        <v/>
      </c>
      <c r="C7">
        <f>COUNTIF('Lançamentos'!$E$2:$E$2000,A7)</f>
        <v/>
      </c>
      <c r="D7" s="3">
        <f>IFERROR(B7/C7,0)</f>
        <v/>
      </c>
      <c r="E7" s="3">
        <f>B7/12</f>
        <v/>
      </c>
      <c r="F7" t="inlineStr"/>
    </row>
    <row r="8">
      <c r="A8" t="inlineStr">
        <is>
          <t>Contas Fixas</t>
        </is>
      </c>
      <c r="B8" s="3">
        <f>SUMIF('Lançamentos'!$E$2:$E$2000,A8,'Lançamentos'!$H$2:$H$2000)</f>
        <v/>
      </c>
      <c r="C8">
        <f>COUNTIF('Lançamentos'!$E$2:$E$2000,A8)</f>
        <v/>
      </c>
      <c r="D8" s="3">
        <f>IFERROR(B8/C8,0)</f>
        <v/>
      </c>
      <c r="E8" s="3">
        <f>B8/12</f>
        <v/>
      </c>
      <c r="F8" s="10">
        <f>IFERROR(B8/SUMIFS('Lançamentos'!$H$2:$H$2000,'Lançamentos'!$H$2:$H$2000,"&lt;0",'Lançamentos'!$E$2:$E$2000,"&lt;&gt;Transferência - Bruno (própria)",'Lançamentos'!$E$2:$E$2000,"&lt;&gt;Transferência - Denise"),0)</f>
        <v/>
      </c>
    </row>
    <row r="9">
      <c r="A9" t="inlineStr">
        <is>
          <t>Contas Variáveis</t>
        </is>
      </c>
      <c r="B9" s="3">
        <f>SUMIF('Lançamentos'!$E$2:$E$2000,A9,'Lançamentos'!$H$2:$H$2000)</f>
        <v/>
      </c>
      <c r="C9">
        <f>COUNTIF('Lançamentos'!$E$2:$E$2000,A9)</f>
        <v/>
      </c>
      <c r="D9" s="3">
        <f>IFERROR(B9/C9,0)</f>
        <v/>
      </c>
      <c r="E9" s="3">
        <f>B9/12</f>
        <v/>
      </c>
      <c r="F9" s="10">
        <f>IFERROR(B9/SUMIFS('Lançamentos'!$H$2:$H$2000,'Lançamentos'!$H$2:$H$2000,"&lt;0",'Lançamentos'!$E$2:$E$2000,"&lt;&gt;Transferência - Bruno (própria)",'Lançamentos'!$E$2:$E$2000,"&lt;&gt;Transferência - Denise"),0)</f>
        <v/>
      </c>
    </row>
    <row r="10">
      <c r="A10" t="inlineStr">
        <is>
          <t>Pessoal</t>
        </is>
      </c>
      <c r="B10" s="3">
        <f>SUMIF('Lançamentos'!$E$2:$E$2000,A10,'Lançamentos'!$H$2:$H$2000)</f>
        <v/>
      </c>
      <c r="C10">
        <f>COUNTIF('Lançamentos'!$E$2:$E$2000,A10)</f>
        <v/>
      </c>
      <c r="D10" s="3">
        <f>IFERROR(B10/C10,0)</f>
        <v/>
      </c>
      <c r="E10" s="3">
        <f>B10/12</f>
        <v/>
      </c>
      <c r="F10" s="10">
        <f>IFERROR(B10/SUMIFS('Lançamentos'!$H$2:$H$2000,'Lançamentos'!$H$2:$H$2000,"&lt;0",'Lançamentos'!$E$2:$E$2000,"&lt;&gt;Transferência - Bruno (própria)",'Lançamentos'!$E$2:$E$2000,"&lt;&gt;Transferência - Denise"),0)</f>
        <v/>
      </c>
    </row>
    <row r="11">
      <c r="A11" t="inlineStr">
        <is>
          <t>Impostos</t>
        </is>
      </c>
      <c r="B11" s="3">
        <f>SUMIF('Lançamentos'!$E$2:$E$2000,A11,'Lançamentos'!$H$2:$H$2000)</f>
        <v/>
      </c>
      <c r="C11">
        <f>COUNTIF('Lançamentos'!$E$2:$E$2000,A11)</f>
        <v/>
      </c>
      <c r="D11" s="3">
        <f>IFERROR(B11/C11,0)</f>
        <v/>
      </c>
      <c r="E11" s="3">
        <f>B11/12</f>
        <v/>
      </c>
      <c r="F11" s="10">
        <f>IFERROR(B11/SUMIFS('Lançamentos'!$H$2:$H$2000,'Lançamentos'!$H$2:$H$2000,"&lt;0",'Lançamentos'!$E$2:$E$2000,"&lt;&gt;Transferência - Bruno (própria)",'Lançamentos'!$E$2:$E$2000,"&lt;&gt;Transferência - Denise"),0)</f>
        <v/>
      </c>
    </row>
    <row r="12">
      <c r="A12" t="inlineStr">
        <is>
          <t>Outros</t>
        </is>
      </c>
      <c r="B12" s="3">
        <f>SUMIF('Lançamentos'!$E$2:$E$2000,A12,'Lançamentos'!$H$2:$H$2000)</f>
        <v/>
      </c>
      <c r="C12">
        <f>COUNTIF('Lançamentos'!$E$2:$E$2000,A12)</f>
        <v/>
      </c>
      <c r="D12" s="3">
        <f>IFERROR(B12/C12,0)</f>
        <v/>
      </c>
      <c r="E12" s="3">
        <f>B12/12</f>
        <v/>
      </c>
      <c r="F12" s="10">
        <f>IFERROR(B12/SUMIFS('Lançamentos'!$H$2:$H$2000,'Lançamentos'!$H$2:$H$2000,"&lt;0",'Lançamentos'!$E$2:$E$2000,"&lt;&gt;Transferência - Bruno (própria)",'Lançamentos'!$E$2:$E$2000,"&lt;&gt;Transferência - Denise"),0)</f>
        <v/>
      </c>
    </row>
    <row r="13">
      <c r="A13" t="inlineStr">
        <is>
          <t>Transferência - Bruno (própria)</t>
        </is>
      </c>
      <c r="B13" s="3">
        <f>SUMIF('Lançamentos'!$E$2:$E$2000,A13,'Lançamentos'!$H$2:$H$2000)</f>
        <v/>
      </c>
      <c r="C13">
        <f>COUNTIF('Lançamentos'!$E$2:$E$2000,A13)</f>
        <v/>
      </c>
      <c r="D13" s="3">
        <f>IFERROR(B13/C13,0)</f>
        <v/>
      </c>
      <c r="E13" s="3">
        <f>B13/12</f>
        <v/>
      </c>
      <c r="F13" t="inlineStr"/>
    </row>
    <row r="14">
      <c r="A14" t="inlineStr">
        <is>
          <t>Transferência - Denise</t>
        </is>
      </c>
      <c r="B14" s="3">
        <f>SUMIF('Lançamentos'!$E$2:$E$2000,A14,'Lançamentos'!$H$2:$H$2000)</f>
        <v/>
      </c>
      <c r="C14">
        <f>COUNTIF('Lançamentos'!$E$2:$E$2000,A14)</f>
        <v/>
      </c>
      <c r="D14" s="3">
        <f>IFERROR(B14/C14,0)</f>
        <v/>
      </c>
      <c r="E14" s="3">
        <f>B14/12</f>
        <v/>
      </c>
      <c r="F1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60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14" customWidth="1" min="3" max="3"/>
    <col width="16" customWidth="1" min="4" max="4"/>
    <col width="42" customWidth="1" min="5" max="5"/>
    <col width="18" customWidth="1" min="6" max="6"/>
    <col width="60" customWidth="1" min="7" max="7"/>
  </cols>
  <sheetData>
    <row r="1">
      <c r="A1" s="11" t="inlineStr">
        <is>
          <t>Janeiro/2026</t>
        </is>
      </c>
    </row>
    <row r="2">
      <c r="A2" s="12" t="inlineStr">
        <is>
          <t>Categoria</t>
        </is>
      </c>
      <c r="B2" s="12" t="inlineStr">
        <is>
          <t>Conta / Despesa</t>
        </is>
      </c>
      <c r="C2" s="12" t="inlineStr">
        <is>
          <t>Valor</t>
        </is>
      </c>
      <c r="D2" s="12" t="inlineStr">
        <is>
          <t>Data de Pagamento</t>
        </is>
      </c>
      <c r="E2" s="12" t="inlineStr">
        <is>
          <t>Recibo / Comprovante</t>
        </is>
      </c>
      <c r="F2" s="12" t="inlineStr">
        <is>
          <t>Status</t>
        </is>
      </c>
      <c r="G2" s="12" t="inlineStr">
        <is>
          <t>Observações</t>
        </is>
      </c>
    </row>
    <row r="3">
      <c r="A3" s="13" t="inlineStr">
        <is>
          <t>Receita - Midialike</t>
        </is>
      </c>
      <c r="B3" s="14" t="n"/>
      <c r="C3" s="14" t="n"/>
      <c r="D3" s="14" t="n"/>
      <c r="E3" s="14" t="n"/>
      <c r="F3" s="14" t="n"/>
      <c r="G3" s="14" t="n"/>
    </row>
    <row r="4">
      <c r="A4" s="15" t="inlineStr">
        <is>
          <t>Receita - Midialike</t>
        </is>
      </c>
      <c r="B4" s="15" t="inlineStr">
        <is>
          <t>Depósito Midialike</t>
        </is>
      </c>
      <c r="C4" s="16" t="n">
        <v>6000</v>
      </c>
      <c r="D4" s="17" t="n">
        <v>46032</v>
      </c>
      <c r="E4" s="15" t="inlineStr"/>
      <c r="F4" s="15" t="inlineStr">
        <is>
          <t>Recebido</t>
        </is>
      </c>
      <c r="G4" s="15" t="inlineStr">
        <is>
          <t>Transferência Pix recebida MIDIA LIKE LTDA</t>
        </is>
      </c>
    </row>
    <row r="5">
      <c r="A5" s="18" t="inlineStr">
        <is>
          <t>Subtotal Receita - Midialike</t>
        </is>
      </c>
      <c r="B5" s="19" t="n"/>
      <c r="C5" s="20">
        <f>SUM(C4:C4)</f>
        <v/>
      </c>
      <c r="D5" s="19" t="n"/>
      <c r="E5" s="19" t="n"/>
      <c r="F5" s="19" t="n"/>
      <c r="G5" s="19" t="n"/>
    </row>
    <row r="6">
      <c r="A6" s="21" t="inlineStr">
        <is>
          <t>Receita - Denise (Salão)</t>
        </is>
      </c>
      <c r="B6" s="22" t="n"/>
      <c r="C6" s="22" t="n"/>
      <c r="D6" s="22" t="n"/>
      <c r="E6" s="22" t="n"/>
      <c r="F6" s="22" t="n"/>
      <c r="G6" s="22" t="n"/>
    </row>
    <row r="7">
      <c r="A7" s="15" t="inlineStr">
        <is>
          <t>Receita - Denise (Salão)</t>
        </is>
      </c>
      <c r="B7" s="15" t="inlineStr">
        <is>
          <t>Depósito recebido de Denise / Salão</t>
        </is>
      </c>
      <c r="C7" s="16" t="n">
        <v>1000</v>
      </c>
      <c r="D7" s="17" t="n">
        <v>46032</v>
      </c>
      <c r="E7" s="15" t="inlineStr"/>
      <c r="F7" s="15" t="inlineStr">
        <is>
          <t>Recebido</t>
        </is>
      </c>
      <c r="G7" s="15" t="inlineStr">
        <is>
          <t>Transferência Pix recebida DENISE DE PAULA</t>
        </is>
      </c>
    </row>
    <row r="8">
      <c r="A8" s="15" t="inlineStr">
        <is>
          <t>Receita - Denise (Salão)</t>
        </is>
      </c>
      <c r="B8" s="15" t="inlineStr">
        <is>
          <t>Depósito recebido de Denise / Salão</t>
        </is>
      </c>
      <c r="C8" s="16" t="n">
        <v>3000</v>
      </c>
      <c r="D8" s="17" t="n">
        <v>46034</v>
      </c>
      <c r="E8" s="15" t="inlineStr"/>
      <c r="F8" s="15" t="inlineStr">
        <is>
          <t>Recebido</t>
        </is>
      </c>
      <c r="G8" s="15" t="inlineStr">
        <is>
          <t>Transferência Pix recebida DENISE DE PAULA CENTRO DE ESTETICA LTDA</t>
        </is>
      </c>
    </row>
    <row r="9">
      <c r="A9" s="15" t="inlineStr">
        <is>
          <t>Receita - Denise (Salão)</t>
        </is>
      </c>
      <c r="B9" s="15" t="inlineStr">
        <is>
          <t>Depósito recebido de Denise / Salão</t>
        </is>
      </c>
      <c r="C9" s="16" t="n">
        <v>1000</v>
      </c>
      <c r="D9" s="17" t="n">
        <v>46037</v>
      </c>
      <c r="E9" s="15" t="inlineStr"/>
      <c r="F9" s="15" t="inlineStr">
        <is>
          <t>Recebido</t>
        </is>
      </c>
      <c r="G9" s="15" t="inlineStr">
        <is>
          <t>Transferência Pix recebida DENISE DE PAULA</t>
        </is>
      </c>
    </row>
    <row r="10">
      <c r="A10" s="18" t="inlineStr">
        <is>
          <t>Subtotal Receita - Denise (Salão)</t>
        </is>
      </c>
      <c r="B10" s="19" t="n"/>
      <c r="C10" s="20">
        <f>SUM(C7:C9)</f>
        <v/>
      </c>
      <c r="D10" s="19" t="n"/>
      <c r="E10" s="19" t="n"/>
      <c r="F10" s="19" t="n"/>
      <c r="G10" s="19" t="n"/>
    </row>
    <row r="11">
      <c r="A11" s="21" t="inlineStr">
        <is>
          <t>Receita - Liberação de Crédito</t>
        </is>
      </c>
      <c r="B11" s="22" t="n"/>
      <c r="C11" s="22" t="n"/>
      <c r="D11" s="22" t="n"/>
      <c r="E11" s="22" t="n"/>
      <c r="F11" s="22" t="n"/>
      <c r="G11" s="22" t="n"/>
    </row>
    <row r="12">
      <c r="A12" s="15" t="inlineStr">
        <is>
          <t>Receita - Liberação de Crédito</t>
        </is>
      </c>
      <c r="B12" s="15" t="inlineStr">
        <is>
          <t>Liberação de Crédito (Studio)</t>
        </is>
      </c>
      <c r="C12" s="16" t="n">
        <v>296.67</v>
      </c>
      <c r="D12" s="17" t="n">
        <v>46027</v>
      </c>
      <c r="E12" s="15" t="inlineStr"/>
      <c r="F12" s="15" t="inlineStr">
        <is>
          <t>Recebido</t>
        </is>
      </c>
      <c r="G12" s="15" t="inlineStr">
        <is>
          <t>Liberação de dinheiro</t>
        </is>
      </c>
    </row>
    <row r="13">
      <c r="A13" s="15" t="inlineStr">
        <is>
          <t>Receita - Liberação de Crédito</t>
        </is>
      </c>
      <c r="B13" s="15" t="inlineStr">
        <is>
          <t>Liberação de Crédito (Studio)</t>
        </is>
      </c>
      <c r="C13" s="16" t="n">
        <v>465.71</v>
      </c>
      <c r="D13" s="17" t="n">
        <v>46027</v>
      </c>
      <c r="E13" s="15" t="inlineStr"/>
      <c r="F13" s="15" t="inlineStr">
        <is>
          <t>Recebido</t>
        </is>
      </c>
      <c r="G13" s="15" t="inlineStr">
        <is>
          <t>Liberação de dinheiro</t>
        </is>
      </c>
    </row>
    <row r="14">
      <c r="A14" s="15" t="inlineStr">
        <is>
          <t>Receita - Liberação de Crédito</t>
        </is>
      </c>
      <c r="B14" s="15" t="inlineStr">
        <is>
          <t>Liberação de Crédito (Studio)</t>
        </is>
      </c>
      <c r="C14" s="16" t="n">
        <v>148.33</v>
      </c>
      <c r="D14" s="17" t="n">
        <v>46027</v>
      </c>
      <c r="E14" s="15" t="inlineStr"/>
      <c r="F14" s="15" t="inlineStr">
        <is>
          <t>Recebido</t>
        </is>
      </c>
      <c r="G14" s="15" t="inlineStr">
        <is>
          <t>Liberação de dinheiro</t>
        </is>
      </c>
    </row>
    <row r="15">
      <c r="A15" s="15" t="inlineStr">
        <is>
          <t>Receita - Liberação de Crédito</t>
        </is>
      </c>
      <c r="B15" s="15" t="inlineStr">
        <is>
          <t>Liberação de Crédito (Studio)</t>
        </is>
      </c>
      <c r="C15" s="16" t="n">
        <v>484.8</v>
      </c>
      <c r="D15" s="17" t="n">
        <v>46029</v>
      </c>
      <c r="E15" s="15" t="inlineStr"/>
      <c r="F15" s="15" t="inlineStr">
        <is>
          <t>Recebido</t>
        </is>
      </c>
      <c r="G15" s="15" t="inlineStr">
        <is>
          <t>Liberação de dinheiro</t>
        </is>
      </c>
    </row>
    <row r="16">
      <c r="A16" s="15" t="inlineStr">
        <is>
          <t>Receita - Liberação de Crédito</t>
        </is>
      </c>
      <c r="B16" s="15" t="inlineStr">
        <is>
          <t>Liberação de Crédito (Studio)</t>
        </is>
      </c>
      <c r="C16" s="16" t="n">
        <v>646.99</v>
      </c>
      <c r="D16" s="17" t="n">
        <v>46032</v>
      </c>
      <c r="E16" s="15" t="inlineStr"/>
      <c r="F16" s="15" t="inlineStr">
        <is>
          <t>Recebido</t>
        </is>
      </c>
      <c r="G16" s="15" t="inlineStr">
        <is>
          <t>Liberação de dinheiro</t>
        </is>
      </c>
    </row>
    <row r="17">
      <c r="A17" s="15" t="inlineStr">
        <is>
          <t>Receita - Liberação de Crédito</t>
        </is>
      </c>
      <c r="B17" s="15" t="inlineStr">
        <is>
          <t>Liberação de Crédito (Studio)</t>
        </is>
      </c>
      <c r="C17" s="16" t="n">
        <v>487.6</v>
      </c>
      <c r="D17" s="17" t="n">
        <v>46035</v>
      </c>
      <c r="E17" s="15" t="inlineStr"/>
      <c r="F17" s="15" t="inlineStr">
        <is>
          <t>Recebido</t>
        </is>
      </c>
      <c r="G17" s="15" t="inlineStr">
        <is>
          <t>Liberação de dinheiro</t>
        </is>
      </c>
    </row>
    <row r="18">
      <c r="A18" s="15" t="inlineStr">
        <is>
          <t>Receita - Liberação de Crédito</t>
        </is>
      </c>
      <c r="B18" s="15" t="inlineStr">
        <is>
          <t>Liberação de Crédito (Studio)</t>
        </is>
      </c>
      <c r="C18" s="16" t="n">
        <v>983.96</v>
      </c>
      <c r="D18" s="17" t="n">
        <v>46036</v>
      </c>
      <c r="E18" s="15" t="inlineStr"/>
      <c r="F18" s="15" t="inlineStr">
        <is>
          <t>Recebido</t>
        </is>
      </c>
      <c r="G18" s="15" t="inlineStr">
        <is>
          <t>Liberação de dinheiro</t>
        </is>
      </c>
    </row>
    <row r="19">
      <c r="A19" s="15" t="inlineStr">
        <is>
          <t>Receita - Liberação de Crédito</t>
        </is>
      </c>
      <c r="B19" s="15" t="inlineStr">
        <is>
          <t>Liberação de Crédito (Studio)</t>
        </is>
      </c>
      <c r="C19" s="16" t="n">
        <v>652.37</v>
      </c>
      <c r="D19" s="17" t="n">
        <v>46037</v>
      </c>
      <c r="E19" s="15" t="inlineStr"/>
      <c r="F19" s="15" t="inlineStr">
        <is>
          <t>Recebido</t>
        </is>
      </c>
      <c r="G19" s="15" t="inlineStr">
        <is>
          <t>Liberação de dinheiro</t>
        </is>
      </c>
    </row>
    <row r="20">
      <c r="A20" s="15" t="inlineStr">
        <is>
          <t>Receita - Liberação de Crédito</t>
        </is>
      </c>
      <c r="B20" s="15" t="inlineStr">
        <is>
          <t>Liberação de Crédito (Studio)</t>
        </is>
      </c>
      <c r="C20" s="16" t="n">
        <v>494.45</v>
      </c>
      <c r="D20" s="17" t="n">
        <v>46038</v>
      </c>
      <c r="E20" s="15" t="inlineStr"/>
      <c r="F20" s="15" t="inlineStr">
        <is>
          <t>Recebido</t>
        </is>
      </c>
      <c r="G20" s="15" t="inlineStr">
        <is>
          <t>Liberação de dinheiro</t>
        </is>
      </c>
    </row>
    <row r="21">
      <c r="A21" s="15" t="inlineStr">
        <is>
          <t>Receita - Liberação de Crédito</t>
        </is>
      </c>
      <c r="B21" s="15" t="inlineStr">
        <is>
          <t>Liberação de Crédito (Studio)</t>
        </is>
      </c>
      <c r="C21" s="16" t="n">
        <v>245.72</v>
      </c>
      <c r="D21" s="17" t="n">
        <v>46038</v>
      </c>
      <c r="E21" s="15" t="inlineStr"/>
      <c r="F21" s="15" t="inlineStr">
        <is>
          <t>Recebido</t>
        </is>
      </c>
      <c r="G21" s="15" t="inlineStr">
        <is>
          <t>Liberação de dinheiro</t>
        </is>
      </c>
    </row>
    <row r="22">
      <c r="A22" s="15" t="inlineStr">
        <is>
          <t>Receita - Liberação de Crédito</t>
        </is>
      </c>
      <c r="B22" s="15" t="inlineStr">
        <is>
          <t>Liberação de Crédito (Studio)</t>
        </is>
      </c>
      <c r="C22" s="16" t="n">
        <v>803.33</v>
      </c>
      <c r="D22" s="17" t="n">
        <v>46041</v>
      </c>
      <c r="E22" s="15" t="inlineStr"/>
      <c r="F22" s="15" t="inlineStr">
        <is>
          <t>Recebido</t>
        </is>
      </c>
      <c r="G22" s="15" t="inlineStr">
        <is>
          <t>Liberação de dinheiro</t>
        </is>
      </c>
    </row>
    <row r="23">
      <c r="A23" s="15" t="inlineStr">
        <is>
          <t>Receita - Liberação de Crédito</t>
        </is>
      </c>
      <c r="B23" s="15" t="inlineStr">
        <is>
          <t>Liberação de Crédito (Studio)</t>
        </is>
      </c>
      <c r="C23" s="16" t="n">
        <v>652.37</v>
      </c>
      <c r="D23" s="17" t="n">
        <v>46042</v>
      </c>
      <c r="E23" s="15" t="inlineStr"/>
      <c r="F23" s="15" t="inlineStr">
        <is>
          <t>Recebido</t>
        </is>
      </c>
      <c r="G23" s="15" t="inlineStr">
        <is>
          <t>Liberação de dinheiro</t>
        </is>
      </c>
    </row>
    <row r="24">
      <c r="A24" s="15" t="inlineStr">
        <is>
          <t>Receita - Liberação de Crédito</t>
        </is>
      </c>
      <c r="B24" s="15" t="inlineStr">
        <is>
          <t>Liberação de Crédito (Studio)</t>
        </is>
      </c>
      <c r="C24" s="16" t="n">
        <v>145.44</v>
      </c>
      <c r="D24" s="17" t="n">
        <v>46042</v>
      </c>
      <c r="E24" s="15" t="inlineStr"/>
      <c r="F24" s="15" t="inlineStr">
        <is>
          <t>Recebido</t>
        </is>
      </c>
      <c r="G24" s="15" t="inlineStr">
        <is>
          <t>Liberação de dinheiro</t>
        </is>
      </c>
    </row>
    <row r="25">
      <c r="A25" s="15" t="inlineStr">
        <is>
          <t>Receita - Liberação de Crédito</t>
        </is>
      </c>
      <c r="B25" s="15" t="inlineStr">
        <is>
          <t>Liberação de Crédito (Studio)</t>
        </is>
      </c>
      <c r="C25" s="16" t="n">
        <v>652.37</v>
      </c>
      <c r="D25" s="17" t="n">
        <v>46043</v>
      </c>
      <c r="E25" s="15" t="inlineStr"/>
      <c r="F25" s="15" t="inlineStr">
        <is>
          <t>Recebido</t>
        </is>
      </c>
      <c r="G25" s="15" t="inlineStr">
        <is>
          <t>Liberação de dinheiro</t>
        </is>
      </c>
    </row>
    <row r="26">
      <c r="A26" s="15" t="inlineStr">
        <is>
          <t>Receita - Liberação de Crédito</t>
        </is>
      </c>
      <c r="B26" s="15" t="inlineStr">
        <is>
          <t>Liberação de Crédito (Studio)</t>
        </is>
      </c>
      <c r="C26" s="16" t="n">
        <v>145.44</v>
      </c>
      <c r="D26" s="17" t="n">
        <v>46043</v>
      </c>
      <c r="E26" s="15" t="inlineStr"/>
      <c r="F26" s="15" t="inlineStr">
        <is>
          <t>Recebido</t>
        </is>
      </c>
      <c r="G26" s="15" t="inlineStr">
        <is>
          <t>Liberação de dinheiro</t>
        </is>
      </c>
    </row>
    <row r="27">
      <c r="A27" s="15" t="inlineStr">
        <is>
          <t>Receita - Liberação de Crédito</t>
        </is>
      </c>
      <c r="B27" s="15" t="inlineStr">
        <is>
          <t>Liberação de Crédito (Studio)</t>
        </is>
      </c>
      <c r="C27" s="16" t="n">
        <v>387.84</v>
      </c>
      <c r="D27" s="17" t="n">
        <v>46048</v>
      </c>
      <c r="E27" s="15" t="inlineStr"/>
      <c r="F27" s="15" t="inlineStr">
        <is>
          <t>Recebido</t>
        </is>
      </c>
      <c r="G27" s="15" t="inlineStr">
        <is>
          <t>Liberação de dinheiro</t>
        </is>
      </c>
    </row>
    <row r="28">
      <c r="A28" s="15" t="inlineStr">
        <is>
          <t>Receita - Liberação de Crédito</t>
        </is>
      </c>
      <c r="B28" s="15" t="inlineStr">
        <is>
          <t>Liberação de Crédito (Studio)</t>
        </is>
      </c>
      <c r="C28" s="16" t="n">
        <v>445</v>
      </c>
      <c r="D28" s="17" t="n">
        <v>46049</v>
      </c>
      <c r="E28" s="15" t="inlineStr"/>
      <c r="F28" s="15" t="inlineStr">
        <is>
          <t>Recebido</t>
        </is>
      </c>
      <c r="G28" s="15" t="inlineStr">
        <is>
          <t>Liberação de dinheiro</t>
        </is>
      </c>
    </row>
    <row r="29">
      <c r="A29" s="15" t="inlineStr">
        <is>
          <t>Receita - Liberação de Crédito</t>
        </is>
      </c>
      <c r="B29" s="15" t="inlineStr">
        <is>
          <t>Liberação de Crédito (Studio)</t>
        </is>
      </c>
      <c r="C29" s="16" t="n">
        <v>652.37</v>
      </c>
      <c r="D29" s="17" t="n">
        <v>46050</v>
      </c>
      <c r="E29" s="15" t="inlineStr"/>
      <c r="F29" s="15" t="inlineStr">
        <is>
          <t>Recebido</t>
        </is>
      </c>
      <c r="G29" s="15" t="inlineStr">
        <is>
          <t>Liberação de dinheiro</t>
        </is>
      </c>
    </row>
    <row r="30">
      <c r="A30" s="15" t="inlineStr">
        <is>
          <t>Receita - Liberação de Crédito</t>
        </is>
      </c>
      <c r="B30" s="15" t="inlineStr">
        <is>
          <t>Liberação de Crédito (Studio)</t>
        </is>
      </c>
      <c r="C30" s="16" t="n">
        <v>1026.63</v>
      </c>
      <c r="D30" s="17" t="n">
        <v>46050</v>
      </c>
      <c r="E30" s="15" t="inlineStr"/>
      <c r="F30" s="15" t="inlineStr">
        <is>
          <t>Recebido</t>
        </is>
      </c>
      <c r="G30" s="15" t="inlineStr">
        <is>
          <t>Liberação de dinheiro</t>
        </is>
      </c>
    </row>
    <row r="31">
      <c r="A31" s="15" t="inlineStr">
        <is>
          <t>Receita - Liberação de Crédito</t>
        </is>
      </c>
      <c r="B31" s="15" t="inlineStr">
        <is>
          <t>Liberação de Crédito (Studio)</t>
        </is>
      </c>
      <c r="C31" s="16" t="n">
        <v>741.67</v>
      </c>
      <c r="D31" s="17" t="n">
        <v>46050</v>
      </c>
      <c r="E31" s="15" t="inlineStr"/>
      <c r="F31" s="15" t="inlineStr">
        <is>
          <t>Recebido</t>
        </is>
      </c>
      <c r="G31" s="15" t="inlineStr">
        <is>
          <t>Liberação de dinheiro</t>
        </is>
      </c>
    </row>
    <row r="32">
      <c r="A32" s="15" t="inlineStr">
        <is>
          <t>Receita - Liberação de Crédito</t>
        </is>
      </c>
      <c r="B32" s="15" t="inlineStr">
        <is>
          <t>Liberação de Crédito (Studio)</t>
        </is>
      </c>
      <c r="C32" s="16" t="n">
        <v>592.35</v>
      </c>
      <c r="D32" s="17" t="n">
        <v>46051</v>
      </c>
      <c r="E32" s="15" t="inlineStr"/>
      <c r="F32" s="15" t="inlineStr">
        <is>
          <t>Recebido</t>
        </is>
      </c>
      <c r="G32" s="15" t="inlineStr">
        <is>
          <t>Liberação de dinheiro</t>
        </is>
      </c>
    </row>
    <row r="33">
      <c r="A33" s="15" t="inlineStr">
        <is>
          <t>Receita - Liberação de Crédito</t>
        </is>
      </c>
      <c r="B33" s="15" t="inlineStr">
        <is>
          <t>Liberação de Crédito (Studio)</t>
        </is>
      </c>
      <c r="C33" s="16" t="n">
        <v>262.06</v>
      </c>
      <c r="D33" s="17" t="n">
        <v>46051</v>
      </c>
      <c r="E33" s="15" t="inlineStr"/>
      <c r="F33" s="15" t="inlineStr">
        <is>
          <t>Recebido</t>
        </is>
      </c>
      <c r="G33" s="15" t="inlineStr">
        <is>
          <t>Liberação de dinheiro</t>
        </is>
      </c>
    </row>
    <row r="34">
      <c r="A34" s="15" t="inlineStr">
        <is>
          <t>Receita - Liberação de Crédito</t>
        </is>
      </c>
      <c r="B34" s="15" t="inlineStr">
        <is>
          <t>Liberação de Crédito (Studio)</t>
        </is>
      </c>
      <c r="C34" s="16" t="n">
        <v>657.62</v>
      </c>
      <c r="D34" s="17" t="n">
        <v>46051</v>
      </c>
      <c r="E34" s="15" t="inlineStr"/>
      <c r="F34" s="15" t="inlineStr">
        <is>
          <t>Recebido</t>
        </is>
      </c>
      <c r="G34" s="15" t="inlineStr">
        <is>
          <t>Liberação de dinheiro</t>
        </is>
      </c>
    </row>
    <row r="35">
      <c r="A35" s="15" t="inlineStr">
        <is>
          <t>Receita - Liberação de Crédito</t>
        </is>
      </c>
      <c r="B35" s="15" t="inlineStr">
        <is>
          <t>Liberação de Crédito (Studio)</t>
        </is>
      </c>
      <c r="C35" s="16" t="n">
        <v>1837.39</v>
      </c>
      <c r="D35" s="17" t="n">
        <v>46052</v>
      </c>
      <c r="E35" s="15" t="inlineStr"/>
      <c r="F35" s="15" t="inlineStr">
        <is>
          <t>Recebido</t>
        </is>
      </c>
      <c r="G35" s="15" t="inlineStr">
        <is>
          <t>Liberação de dinheiro</t>
        </is>
      </c>
    </row>
    <row r="36">
      <c r="A36" s="15" t="inlineStr">
        <is>
          <t>Receita - Liberação de Crédito</t>
        </is>
      </c>
      <c r="B36" s="15" t="inlineStr">
        <is>
          <t>Liberação de Crédito (Studio)</t>
        </is>
      </c>
      <c r="C36" s="16" t="n">
        <v>148.33</v>
      </c>
      <c r="D36" s="17" t="n">
        <v>46053</v>
      </c>
      <c r="E36" s="15" t="inlineStr"/>
      <c r="F36" s="15" t="inlineStr">
        <is>
          <t>Recebido</t>
        </is>
      </c>
      <c r="G36" s="15" t="inlineStr">
        <is>
          <t>Liberação de dinheiro</t>
        </is>
      </c>
    </row>
    <row r="37">
      <c r="A37" s="18" t="inlineStr">
        <is>
          <t>Subtotal Receita - Liberação de Crédito</t>
        </is>
      </c>
      <c r="B37" s="19" t="n"/>
      <c r="C37" s="20">
        <f>SUM(C12:C36)</f>
        <v/>
      </c>
      <c r="D37" s="19" t="n"/>
      <c r="E37" s="19" t="n"/>
      <c r="F37" s="19" t="n"/>
      <c r="G37" s="19" t="n"/>
    </row>
    <row r="38">
      <c r="A38" s="21" t="inlineStr">
        <is>
          <t>Receita - Reembolso</t>
        </is>
      </c>
      <c r="B38" s="22" t="n"/>
      <c r="C38" s="22" t="n"/>
      <c r="D38" s="22" t="n"/>
      <c r="E38" s="22" t="n"/>
      <c r="F38" s="22" t="n"/>
      <c r="G38" s="22" t="n"/>
    </row>
    <row r="39">
      <c r="A39" s="15" t="inlineStr">
        <is>
          <t>Receita - Reembolso</t>
        </is>
      </c>
      <c r="B39" s="15" t="inlineStr">
        <is>
          <t>Reembolso recebido</t>
        </is>
      </c>
      <c r="C39" s="16" t="n">
        <v>107.61</v>
      </c>
      <c r="D39" s="17" t="n">
        <v>46032</v>
      </c>
      <c r="E39" s="15" t="inlineStr"/>
      <c r="F39" s="15" t="inlineStr">
        <is>
          <t>Recebido</t>
        </is>
      </c>
      <c r="G39" s="15" t="inlineStr">
        <is>
          <t>Reembolso Reembolso de tarifas</t>
        </is>
      </c>
    </row>
    <row r="40">
      <c r="A40" s="15" t="inlineStr">
        <is>
          <t>Receita - Reembolso</t>
        </is>
      </c>
      <c r="B40" s="15" t="inlineStr">
        <is>
          <t>Reembolso recebido</t>
        </is>
      </c>
      <c r="C40" s="16" t="n">
        <v>32.41</v>
      </c>
      <c r="D40" s="17" t="n">
        <v>46051</v>
      </c>
      <c r="E40" s="15" t="inlineStr"/>
      <c r="F40" s="15" t="inlineStr">
        <is>
          <t>Recebido</t>
        </is>
      </c>
      <c r="G40" s="15" t="inlineStr">
        <is>
          <t>Reembolso Compra garantida</t>
        </is>
      </c>
    </row>
    <row r="41">
      <c r="A41" s="18" t="inlineStr">
        <is>
          <t>Subtotal Receita - Reembolso</t>
        </is>
      </c>
      <c r="B41" s="19" t="n"/>
      <c r="C41" s="20">
        <f>SUM(C39:C40)</f>
        <v/>
      </c>
      <c r="D41" s="19" t="n"/>
      <c r="E41" s="19" t="n"/>
      <c r="F41" s="19" t="n"/>
      <c r="G41" s="19" t="n"/>
    </row>
    <row r="42">
      <c r="A42" s="12" t="inlineStr">
        <is>
          <t>Contas Fixas</t>
        </is>
      </c>
      <c r="B42" s="23" t="n"/>
      <c r="C42" s="23" t="n"/>
      <c r="D42" s="23" t="n"/>
      <c r="E42" s="23" t="n"/>
      <c r="F42" s="23" t="n"/>
      <c r="G42" s="23" t="n"/>
    </row>
    <row r="43">
      <c r="A43" s="15" t="inlineStr">
        <is>
          <t>Contas Fixas</t>
        </is>
      </c>
      <c r="B43" s="15" t="inlineStr">
        <is>
          <t>Assinatura Meli+</t>
        </is>
      </c>
      <c r="C43" s="16" t="n">
        <v>-8.9</v>
      </c>
      <c r="D43" s="17" t="n">
        <v>46023</v>
      </c>
      <c r="E43" s="15" t="inlineStr"/>
      <c r="F43" s="15" t="inlineStr">
        <is>
          <t>Sem comprovante</t>
        </is>
      </c>
      <c r="G43" s="15" t="inlineStr">
        <is>
          <t>Pagamento de assinatura Meli+</t>
        </is>
      </c>
    </row>
    <row r="44">
      <c r="A44" s="15" t="inlineStr">
        <is>
          <t>Contas Fixas</t>
        </is>
      </c>
      <c r="B44" s="15" t="inlineStr">
        <is>
          <t>Hospedagem / Site</t>
        </is>
      </c>
      <c r="C44" s="16" t="n">
        <v>-43.29</v>
      </c>
      <c r="D44" s="17" t="n">
        <v>46027</v>
      </c>
      <c r="E44" s="15" t="inlineStr">
        <is>
          <t>Site/00000013-PHOTO-2026-01-05-16-46-15.jpg</t>
        </is>
      </c>
      <c r="F44" s="15" t="inlineStr">
        <is>
          <t>Pago</t>
        </is>
      </c>
      <c r="G44" s="15" t="inlineStr">
        <is>
          <t>Pagamento com QR Pix HOSTGATOR BRASIL LTDA.</t>
        </is>
      </c>
    </row>
    <row r="45">
      <c r="A45" s="15" t="inlineStr">
        <is>
          <t>Contas Fixas</t>
        </is>
      </c>
      <c r="B45" s="15" t="inlineStr">
        <is>
          <t>Internet / Telecom</t>
        </is>
      </c>
      <c r="C45" s="16" t="n">
        <v>-105.95</v>
      </c>
      <c r="D45" s="17" t="n">
        <v>46034</v>
      </c>
      <c r="E45" s="15" t="inlineStr"/>
      <c r="F45" s="15" t="inlineStr">
        <is>
          <t>Sem comprovante</t>
        </is>
      </c>
      <c r="G45" s="15" t="inlineStr">
        <is>
          <t>Pagamento de conta Banco Votorantim S.A.</t>
        </is>
      </c>
    </row>
    <row r="46">
      <c r="A46" s="15" t="inlineStr">
        <is>
          <t>Contas Fixas</t>
        </is>
      </c>
      <c r="B46" s="15" t="inlineStr">
        <is>
          <t>Internet / Telecom</t>
        </is>
      </c>
      <c r="C46" s="16" t="n">
        <v>-167.57</v>
      </c>
      <c r="D46" s="17" t="n">
        <v>46042</v>
      </c>
      <c r="E46" s="15" t="inlineStr">
        <is>
          <t>Internet Casa/00000035-comprovante-142206638175.pdf</t>
        </is>
      </c>
      <c r="F46" s="15" t="inlineStr">
        <is>
          <t>Pago</t>
        </is>
      </c>
      <c r="G46" s="15" t="inlineStr">
        <is>
          <t>Pagamento com QR Pix LIGGA TELECOMUNICACOES S.A.</t>
        </is>
      </c>
    </row>
    <row r="47">
      <c r="A47" s="15" t="inlineStr">
        <is>
          <t>Contas Fixas</t>
        </is>
      </c>
      <c r="B47" s="15" t="inlineStr">
        <is>
          <t>Internet / Telecom</t>
        </is>
      </c>
      <c r="C47" s="16" t="n">
        <v>-425.9</v>
      </c>
      <c r="D47" s="17" t="n">
        <v>46051</v>
      </c>
      <c r="E47" s="15" t="inlineStr"/>
      <c r="F47" s="15" t="inlineStr">
        <is>
          <t>Sem comprovante</t>
        </is>
      </c>
      <c r="G47" s="15" t="inlineStr">
        <is>
          <t>Pagamento de conta Sorocred - Crédito, Financiamento e Investimento S/A           ...</t>
        </is>
      </c>
    </row>
    <row r="48">
      <c r="A48" s="15" t="inlineStr">
        <is>
          <t>Contas Fixas</t>
        </is>
      </c>
      <c r="B48" s="15" t="inlineStr">
        <is>
          <t>Assinatura Meli+</t>
        </is>
      </c>
      <c r="C48" s="16" t="n">
        <v>-9.9</v>
      </c>
      <c r="D48" s="17" t="n">
        <v>46053</v>
      </c>
      <c r="E48" s="15" t="inlineStr"/>
      <c r="F48" s="15" t="inlineStr">
        <is>
          <t>Sem comprovante</t>
        </is>
      </c>
      <c r="G48" s="15" t="inlineStr">
        <is>
          <t>Pagamento de assinatura Meli+</t>
        </is>
      </c>
    </row>
    <row r="49">
      <c r="A49" s="18" t="inlineStr">
        <is>
          <t>Subtotal Contas Fixas</t>
        </is>
      </c>
      <c r="B49" s="19" t="n"/>
      <c r="C49" s="20">
        <f>SUM(C43:C48)</f>
        <v/>
      </c>
      <c r="D49" s="19" t="n"/>
      <c r="E49" s="19" t="n"/>
      <c r="F49" s="19" t="n"/>
      <c r="G49" s="19" t="n"/>
    </row>
    <row r="50">
      <c r="A50" s="12" t="inlineStr">
        <is>
          <t>Contas Variáveis</t>
        </is>
      </c>
      <c r="B50" s="23" t="n"/>
      <c r="C50" s="23" t="n"/>
      <c r="D50" s="23" t="n"/>
      <c r="E50" s="23" t="n"/>
      <c r="F50" s="23" t="n"/>
      <c r="G50" s="23" t="n"/>
    </row>
    <row r="51">
      <c r="A51" s="15" t="inlineStr">
        <is>
          <t>Contas Variáveis</t>
        </is>
      </c>
      <c r="B51" s="15" t="inlineStr">
        <is>
          <t>Materiais / Construção</t>
        </is>
      </c>
      <c r="C51" s="16" t="n">
        <v>-33.8</v>
      </c>
      <c r="D51" s="17" t="n">
        <v>46025</v>
      </c>
      <c r="E51" s="15" t="inlineStr"/>
      <c r="F51" s="15" t="inlineStr">
        <is>
          <t>Sem comprovante</t>
        </is>
      </c>
      <c r="G51" s="15" t="inlineStr">
        <is>
          <t>Pagamento com QR Pix M FILIPAK PONTAL POSTES MATERIAIS ELETRICOS</t>
        </is>
      </c>
    </row>
    <row r="52">
      <c r="A52" s="15" t="inlineStr">
        <is>
          <t>Contas Variáveis</t>
        </is>
      </c>
      <c r="B52" s="15" t="inlineStr">
        <is>
          <t>Mercado</t>
        </is>
      </c>
      <c r="C52" s="16" t="n">
        <v>-170.88</v>
      </c>
      <c r="D52" s="17" t="n">
        <v>46026</v>
      </c>
      <c r="E52" s="15" t="inlineStr"/>
      <c r="F52" s="15" t="inlineStr">
        <is>
          <t>Sem comprovante</t>
        </is>
      </c>
      <c r="G52" s="15" t="inlineStr">
        <is>
          <t>Pagamento com QR Pix IRMAOS MUFFATO CIA LTDA</t>
        </is>
      </c>
    </row>
    <row r="53">
      <c r="A53" s="15" t="inlineStr">
        <is>
          <t>Contas Variáveis</t>
        </is>
      </c>
      <c r="B53" s="15" t="inlineStr">
        <is>
          <t>Combustível</t>
        </is>
      </c>
      <c r="C53" s="16" t="n">
        <v>-71.98999999999999</v>
      </c>
      <c r="D53" s="17" t="n">
        <v>46026</v>
      </c>
      <c r="E53" s="15" t="inlineStr"/>
      <c r="F53" s="15" t="inlineStr">
        <is>
          <t>Sem comprovante</t>
        </is>
      </c>
      <c r="G53" s="15" t="inlineStr">
        <is>
          <t>Pagamento com QR Pix POSTO ATLANTICO PARANAGUA LTDA</t>
        </is>
      </c>
    </row>
    <row r="54">
      <c r="A54" s="15" t="inlineStr">
        <is>
          <t>Contas Variáveis</t>
        </is>
      </c>
      <c r="B54" s="15" t="inlineStr">
        <is>
          <t>Google Ads / Google</t>
        </is>
      </c>
      <c r="C54" s="16" t="n">
        <v>-96.98999999999999</v>
      </c>
      <c r="D54" s="17" t="n">
        <v>46027</v>
      </c>
      <c r="E54" s="15" t="inlineStr"/>
      <c r="F54" s="15" t="inlineStr">
        <is>
          <t>Sem comprovante</t>
        </is>
      </c>
      <c r="G54" s="15" t="inlineStr">
        <is>
          <t>Pagamento GOOGLE BRASIL PAGAMENTOS LTDA.</t>
        </is>
      </c>
    </row>
    <row r="55">
      <c r="A55" s="15" t="inlineStr">
        <is>
          <t>Contas Variáveis</t>
        </is>
      </c>
      <c r="B55" s="15" t="inlineStr">
        <is>
          <t>Mercado</t>
        </is>
      </c>
      <c r="C55" s="16" t="n">
        <v>-268.31</v>
      </c>
      <c r="D55" s="17" t="n">
        <v>46028</v>
      </c>
      <c r="E55" s="15" t="inlineStr"/>
      <c r="F55" s="15" t="inlineStr">
        <is>
          <t>Sem comprovante</t>
        </is>
      </c>
      <c r="G55" s="15" t="inlineStr">
        <is>
          <t>Pagamento com QR Pix Supermercado Cristal De Tibagi Ltda</t>
        </is>
      </c>
    </row>
    <row r="56">
      <c r="A56" s="15" t="inlineStr">
        <is>
          <t>Contas Variáveis</t>
        </is>
      </c>
      <c r="B56" s="15" t="inlineStr">
        <is>
          <t>Restaurante / Alimentação</t>
        </is>
      </c>
      <c r="C56" s="16" t="n">
        <v>-51.79</v>
      </c>
      <c r="D56" s="17" t="n">
        <v>46031</v>
      </c>
      <c r="E56" s="15" t="inlineStr"/>
      <c r="F56" s="15" t="inlineStr">
        <is>
          <t>Sem comprovante</t>
        </is>
      </c>
      <c r="G56" s="15" t="inlineStr">
        <is>
          <t>Pagamento com QR Pix RESTAURANTE LIRIO LTDA</t>
        </is>
      </c>
    </row>
    <row r="57">
      <c r="A57" s="15" t="inlineStr">
        <is>
          <t>Contas Variáveis</t>
        </is>
      </c>
      <c r="B57" s="15" t="inlineStr">
        <is>
          <t>Lazer / Compras</t>
        </is>
      </c>
      <c r="C57" s="16" t="n">
        <v>-115.49</v>
      </c>
      <c r="D57" s="17" t="n">
        <v>46037</v>
      </c>
      <c r="E57" s="15" t="inlineStr"/>
      <c r="F57" s="15" t="inlineStr">
        <is>
          <t>Sem comprovante</t>
        </is>
      </c>
      <c r="G57" s="15" t="inlineStr">
        <is>
          <t>Pagamento com QR Pix ODP - OUTLET DE PASSAGENS LTDA</t>
        </is>
      </c>
    </row>
    <row r="58">
      <c r="A58" s="15" t="inlineStr">
        <is>
          <t>Contas Variáveis</t>
        </is>
      </c>
      <c r="B58" s="15" t="inlineStr">
        <is>
          <t>Facebook / Meta Ads</t>
        </is>
      </c>
      <c r="C58" s="16" t="n">
        <v>-70</v>
      </c>
      <c r="D58" s="17" t="n">
        <v>46043</v>
      </c>
      <c r="E58" s="15" t="inlineStr"/>
      <c r="F58" s="15" t="inlineStr">
        <is>
          <t>Sem comprovante</t>
        </is>
      </c>
      <c r="G58" s="15" t="inlineStr">
        <is>
          <t>Pagamento com QR Pix FACEBOOK SERVICOS ONLINE DO BRASIL LTDA</t>
        </is>
      </c>
    </row>
    <row r="59">
      <c r="A59" s="15" t="inlineStr">
        <is>
          <t>Contas Variáveis</t>
        </is>
      </c>
      <c r="B59" s="15" t="inlineStr">
        <is>
          <t>Lazer / Ingressos</t>
        </is>
      </c>
      <c r="C59" s="16" t="n">
        <v>-126.5</v>
      </c>
      <c r="D59" s="17" t="n">
        <v>46044</v>
      </c>
      <c r="E59" s="15" t="inlineStr"/>
      <c r="F59" s="15" t="inlineStr">
        <is>
          <t>Sem comprovante</t>
        </is>
      </c>
      <c r="G59" s="15" t="inlineStr">
        <is>
          <t>Pagamento com QR Pix Clube do Ingresso Ltda</t>
        </is>
      </c>
    </row>
    <row r="60">
      <c r="A60" s="15" t="inlineStr">
        <is>
          <t>Contas Variáveis</t>
        </is>
      </c>
      <c r="B60" s="15" t="inlineStr">
        <is>
          <t>Compra Mercado Livre</t>
        </is>
      </c>
      <c r="C60" s="16" t="n">
        <v>-32.41</v>
      </c>
      <c r="D60" s="17" t="n">
        <v>46045</v>
      </c>
      <c r="E60" s="15" t="inlineStr"/>
      <c r="F60" s="15" t="inlineStr">
        <is>
          <t>Sem comprovante</t>
        </is>
      </c>
      <c r="G60" s="15" t="inlineStr">
        <is>
          <t>Compra de Apoio De Braço De Computador Girado Para Descanso De Pulso Cor Preto Mer...</t>
        </is>
      </c>
    </row>
    <row r="61">
      <c r="A61" s="15" t="inlineStr">
        <is>
          <t>Contas Variáveis</t>
        </is>
      </c>
      <c r="B61" s="15" t="inlineStr">
        <is>
          <t>Facebook / Meta Ads</t>
        </is>
      </c>
      <c r="C61" s="16" t="n">
        <v>-130</v>
      </c>
      <c r="D61" s="17" t="n">
        <v>46050</v>
      </c>
      <c r="E61" s="15" t="inlineStr"/>
      <c r="F61" s="15" t="inlineStr">
        <is>
          <t>Sem comprovante</t>
        </is>
      </c>
      <c r="G61" s="15" t="inlineStr">
        <is>
          <t>Pagamento com QR Pix FACEBOOK SERVICOS ONLINE DO BRASIL LTDA.</t>
        </is>
      </c>
    </row>
    <row r="62">
      <c r="A62" s="15" t="inlineStr">
        <is>
          <t>Contas Variáveis</t>
        </is>
      </c>
      <c r="B62" s="15" t="inlineStr">
        <is>
          <t>iFood</t>
        </is>
      </c>
      <c r="C62" s="16" t="n">
        <v>-59.99</v>
      </c>
      <c r="D62" s="17" t="n">
        <v>46050</v>
      </c>
      <c r="E62" s="15" t="inlineStr"/>
      <c r="F62" s="15" t="inlineStr">
        <is>
          <t>Sem comprovante</t>
        </is>
      </c>
      <c r="G62" s="15" t="inlineStr">
        <is>
          <t>Pagamento com QR Pix IFOOD.COM AGENCIA DE RESTAURANTES ONLINE S.A.</t>
        </is>
      </c>
    </row>
    <row r="63">
      <c r="A63" s="15" t="inlineStr">
        <is>
          <t>Contas Variáveis</t>
        </is>
      </c>
      <c r="B63" s="15" t="inlineStr">
        <is>
          <t>Compra Mercado Livre</t>
        </is>
      </c>
      <c r="C63" s="16" t="n">
        <v>-32.41</v>
      </c>
      <c r="D63" s="17" t="n">
        <v>46051</v>
      </c>
      <c r="E63" s="15" t="inlineStr"/>
      <c r="F63" s="15" t="inlineStr">
        <is>
          <t>Sem comprovante</t>
        </is>
      </c>
      <c r="G63" s="15" t="inlineStr">
        <is>
          <t>Compra de Apoio De Braço De Computador Girado Para Descanso De Pulso Cor Preto Mer...</t>
        </is>
      </c>
    </row>
    <row r="64">
      <c r="A64" s="18" t="inlineStr">
        <is>
          <t>Subtotal Contas Variáveis</t>
        </is>
      </c>
      <c r="B64" s="19" t="n"/>
      <c r="C64" s="20">
        <f>SUM(C51:C63)</f>
        <v/>
      </c>
      <c r="D64" s="19" t="n"/>
      <c r="E64" s="19" t="n"/>
      <c r="F64" s="19" t="n"/>
      <c r="G64" s="19" t="n"/>
    </row>
    <row r="65">
      <c r="A65" s="12" t="inlineStr">
        <is>
          <t>Pessoal</t>
        </is>
      </c>
      <c r="B65" s="23" t="n"/>
      <c r="C65" s="23" t="n"/>
      <c r="D65" s="23" t="n"/>
      <c r="E65" s="23" t="n"/>
      <c r="F65" s="23" t="n"/>
      <c r="G65" s="23" t="n"/>
    </row>
    <row r="66">
      <c r="A66" s="15" t="inlineStr">
        <is>
          <t>Pessoal</t>
        </is>
      </c>
      <c r="B66" s="15" t="inlineStr">
        <is>
          <t>Eliane</t>
        </is>
      </c>
      <c r="C66" s="16" t="n">
        <v>-740</v>
      </c>
      <c r="D66" s="17" t="n">
        <v>46027</v>
      </c>
      <c r="E66" s="15" t="inlineStr"/>
      <c r="F66" s="15" t="inlineStr">
        <is>
          <t>Sem comprovante</t>
        </is>
      </c>
      <c r="G66" s="15" t="inlineStr">
        <is>
          <t>Transferência Pix enviada Eliane do Rocio de Lima</t>
        </is>
      </c>
    </row>
    <row r="67">
      <c r="A67" s="15" t="inlineStr">
        <is>
          <t>Pessoal</t>
        </is>
      </c>
      <c r="B67" s="15" t="inlineStr">
        <is>
          <t>Analice</t>
        </is>
      </c>
      <c r="C67" s="16" t="n">
        <v>-500</v>
      </c>
      <c r="D67" s="17" t="n">
        <v>46029</v>
      </c>
      <c r="E67" s="15" t="inlineStr"/>
      <c r="F67" s="15" t="inlineStr">
        <is>
          <t>Sem comprovante</t>
        </is>
      </c>
      <c r="G67" s="15" t="inlineStr">
        <is>
          <t>Transferência Pix enviada Analice Souza Pinheiro</t>
        </is>
      </c>
    </row>
    <row r="68">
      <c r="A68" s="15" t="inlineStr">
        <is>
          <t>Pessoal</t>
        </is>
      </c>
      <c r="B68" s="15" t="inlineStr">
        <is>
          <t>Eliane</t>
        </is>
      </c>
      <c r="C68" s="16" t="n">
        <v>-402</v>
      </c>
      <c r="D68" s="17" t="n">
        <v>46029</v>
      </c>
      <c r="E68" s="15" t="inlineStr"/>
      <c r="F68" s="15" t="inlineStr">
        <is>
          <t>Sem comprovante</t>
        </is>
      </c>
      <c r="G68" s="15" t="inlineStr">
        <is>
          <t>Transferência Pix enviada Eliane do Rocio de Lima</t>
        </is>
      </c>
    </row>
    <row r="69">
      <c r="A69" s="15" t="inlineStr">
        <is>
          <t>Pessoal</t>
        </is>
      </c>
      <c r="B69" s="15" t="inlineStr">
        <is>
          <t>Marco</t>
        </is>
      </c>
      <c r="C69" s="16" t="n">
        <v>-1005.51</v>
      </c>
      <c r="D69" s="17" t="n">
        <v>46032</v>
      </c>
      <c r="E69" s="15" t="inlineStr"/>
      <c r="F69" s="15" t="inlineStr">
        <is>
          <t>Sem comprovante</t>
        </is>
      </c>
      <c r="G69" s="15" t="inlineStr">
        <is>
          <t>Transferência Pix enviada Marco Aurelio de Moura Leite</t>
        </is>
      </c>
    </row>
    <row r="70">
      <c r="A70" s="15" t="inlineStr">
        <is>
          <t>Pessoal</t>
        </is>
      </c>
      <c r="B70" s="15" t="inlineStr">
        <is>
          <t>Fernanda</t>
        </is>
      </c>
      <c r="C70" s="16" t="n">
        <v>-30</v>
      </c>
      <c r="D70" s="17" t="n">
        <v>46036</v>
      </c>
      <c r="E70" s="15" t="inlineStr"/>
      <c r="F70" s="15" t="inlineStr">
        <is>
          <t>Sem comprovante</t>
        </is>
      </c>
      <c r="G70" s="15" t="inlineStr">
        <is>
          <t>Transferência Pix enviada Fernanda Angeline dos Santos Manoel</t>
        </is>
      </c>
    </row>
    <row r="71">
      <c r="A71" s="15" t="inlineStr">
        <is>
          <t>Pessoal</t>
        </is>
      </c>
      <c r="B71" s="15" t="inlineStr">
        <is>
          <t>Giovanni</t>
        </is>
      </c>
      <c r="C71" s="16" t="n">
        <v>-1000</v>
      </c>
      <c r="D71" s="17" t="n">
        <v>46038</v>
      </c>
      <c r="E71" s="15" t="inlineStr"/>
      <c r="F71" s="15" t="inlineStr">
        <is>
          <t>Sem comprovante</t>
        </is>
      </c>
      <c r="G71" s="15" t="inlineStr">
        <is>
          <t>Transferência Pix enviada GIOVANNI SALVI DA LUZ</t>
        </is>
      </c>
    </row>
    <row r="72">
      <c r="A72" s="15" t="inlineStr">
        <is>
          <t>Pessoal</t>
        </is>
      </c>
      <c r="B72" s="15" t="inlineStr">
        <is>
          <t>Marco</t>
        </is>
      </c>
      <c r="C72" s="16" t="n">
        <v>-684.87</v>
      </c>
      <c r="D72" s="17" t="n">
        <v>46038</v>
      </c>
      <c r="E72" s="15" t="inlineStr"/>
      <c r="F72" s="15" t="inlineStr">
        <is>
          <t>Sem comprovante</t>
        </is>
      </c>
      <c r="G72" s="15" t="inlineStr">
        <is>
          <t>Transferência Pix enviada Marco Aurelio de Moura Leite</t>
        </is>
      </c>
    </row>
    <row r="73">
      <c r="A73" s="15" t="inlineStr">
        <is>
          <t>Pessoal</t>
        </is>
      </c>
      <c r="B73" s="15" t="inlineStr">
        <is>
          <t>Joseli</t>
        </is>
      </c>
      <c r="C73" s="16" t="n">
        <v>-150</v>
      </c>
      <c r="D73" s="17" t="n">
        <v>46040</v>
      </c>
      <c r="E73" s="15" t="inlineStr"/>
      <c r="F73" s="15" t="inlineStr">
        <is>
          <t>Sem comprovante</t>
        </is>
      </c>
      <c r="G73" s="15" t="inlineStr">
        <is>
          <t>Transferência Pix enviada Joseli de Fuccio Santos</t>
        </is>
      </c>
    </row>
    <row r="74">
      <c r="A74" s="15" t="inlineStr">
        <is>
          <t>Pessoal</t>
        </is>
      </c>
      <c r="B74" s="15" t="inlineStr">
        <is>
          <t>Analice</t>
        </is>
      </c>
      <c r="C74" s="16" t="n">
        <v>-500</v>
      </c>
      <c r="D74" s="17" t="n">
        <v>46042</v>
      </c>
      <c r="E74" s="15" t="inlineStr"/>
      <c r="F74" s="15" t="inlineStr">
        <is>
          <t>Sem comprovante</t>
        </is>
      </c>
      <c r="G74" s="15" t="inlineStr">
        <is>
          <t>Transferência Pix enviada Analice Souza Pinheiro</t>
        </is>
      </c>
    </row>
    <row r="75">
      <c r="A75" s="15" t="inlineStr">
        <is>
          <t>Pessoal</t>
        </is>
      </c>
      <c r="B75" s="15" t="inlineStr">
        <is>
          <t>Marco</t>
        </is>
      </c>
      <c r="C75" s="16" t="n">
        <v>-200.73</v>
      </c>
      <c r="D75" s="17" t="n">
        <v>46046</v>
      </c>
      <c r="E75" s="15" t="inlineStr"/>
      <c r="F75" s="15" t="inlineStr">
        <is>
          <t>Sem comprovante</t>
        </is>
      </c>
      <c r="G75" s="15" t="inlineStr">
        <is>
          <t>Transferência Pix enviada Marco Aurelio de Moura Leite</t>
        </is>
      </c>
    </row>
    <row r="76">
      <c r="A76" s="15" t="inlineStr">
        <is>
          <t>Pessoal</t>
        </is>
      </c>
      <c r="B76" s="15" t="inlineStr">
        <is>
          <t>Simone (Casa)</t>
        </is>
      </c>
      <c r="C76" s="16" t="n">
        <v>-250</v>
      </c>
      <c r="D76" s="17" t="n">
        <v>46047</v>
      </c>
      <c r="E76" s="15" t="inlineStr"/>
      <c r="F76" s="15" t="inlineStr">
        <is>
          <t>Sem comprovante</t>
        </is>
      </c>
      <c r="G76" s="15" t="inlineStr">
        <is>
          <t>Transferência Pix enviada Simone Muniz Martins de Moura</t>
        </is>
      </c>
    </row>
    <row r="77">
      <c r="A77" s="15" t="inlineStr">
        <is>
          <t>Pessoal</t>
        </is>
      </c>
      <c r="B77" s="15" t="inlineStr">
        <is>
          <t>Analice</t>
        </is>
      </c>
      <c r="C77" s="16" t="n">
        <v>-2000</v>
      </c>
      <c r="D77" s="17" t="n">
        <v>46052</v>
      </c>
      <c r="E77" s="15" t="inlineStr"/>
      <c r="F77" s="15" t="inlineStr">
        <is>
          <t>Sem comprovante</t>
        </is>
      </c>
      <c r="G77" s="15" t="inlineStr">
        <is>
          <t>Transferência Pix enviada Analice Souza Pinheiro</t>
        </is>
      </c>
    </row>
    <row r="78">
      <c r="A78" s="15" t="inlineStr">
        <is>
          <t>Pessoal</t>
        </is>
      </c>
      <c r="B78" s="15" t="inlineStr">
        <is>
          <t>Marco</t>
        </is>
      </c>
      <c r="C78" s="16" t="n">
        <v>-200</v>
      </c>
      <c r="D78" s="17" t="n">
        <v>46052</v>
      </c>
      <c r="E78" s="15" t="inlineStr"/>
      <c r="F78" s="15" t="inlineStr">
        <is>
          <t>Sem comprovante</t>
        </is>
      </c>
      <c r="G78" s="15" t="inlineStr">
        <is>
          <t>Transferência Pix enviada Marco Aurelio de Moura Leite</t>
        </is>
      </c>
    </row>
    <row r="79">
      <c r="A79" s="15" t="inlineStr">
        <is>
          <t>Pessoal</t>
        </is>
      </c>
      <c r="B79" s="15" t="inlineStr">
        <is>
          <t>Neemias</t>
        </is>
      </c>
      <c r="C79" s="16" t="n">
        <v>-330</v>
      </c>
      <c r="D79" s="17" t="n">
        <v>46052</v>
      </c>
      <c r="E79" s="15" t="inlineStr"/>
      <c r="F79" s="15" t="inlineStr">
        <is>
          <t>Sem comprovante</t>
        </is>
      </c>
      <c r="G79" s="15" t="inlineStr">
        <is>
          <t>Transferência Pix enviada Neemias Marques de Oliveira</t>
        </is>
      </c>
    </row>
    <row r="80">
      <c r="A80" s="15" t="inlineStr">
        <is>
          <t>Pessoal</t>
        </is>
      </c>
      <c r="B80" s="15" t="inlineStr">
        <is>
          <t>Marco</t>
        </is>
      </c>
      <c r="C80" s="16" t="n">
        <v>-472.68</v>
      </c>
      <c r="D80" s="17" t="n">
        <v>46053</v>
      </c>
      <c r="E80" s="15" t="inlineStr"/>
      <c r="F80" s="15" t="inlineStr">
        <is>
          <t>Sem comprovante</t>
        </is>
      </c>
      <c r="G80" s="15" t="inlineStr">
        <is>
          <t>Transferência Pix enviada Marco Aurelio de Moura Leite</t>
        </is>
      </c>
    </row>
    <row r="81">
      <c r="A81" s="15" t="inlineStr">
        <is>
          <t>Pessoal</t>
        </is>
      </c>
      <c r="B81" s="15" t="inlineStr">
        <is>
          <t>Simone (Casa)</t>
        </is>
      </c>
      <c r="C81" s="16" t="n">
        <v>-100</v>
      </c>
      <c r="D81" s="17" t="n">
        <v>46053</v>
      </c>
      <c r="E81" s="15" t="inlineStr"/>
      <c r="F81" s="15" t="inlineStr">
        <is>
          <t>Sem comprovante</t>
        </is>
      </c>
      <c r="G81" s="15" t="inlineStr">
        <is>
          <t>Transferência Pix enviada Simone Muniz Martins de Moura</t>
        </is>
      </c>
    </row>
    <row r="82">
      <c r="A82" s="18" t="inlineStr">
        <is>
          <t>Subtotal Pessoal</t>
        </is>
      </c>
      <c r="B82" s="19" t="n"/>
      <c r="C82" s="20">
        <f>SUM(C66:C81)</f>
        <v/>
      </c>
      <c r="D82" s="19" t="n"/>
      <c r="E82" s="19" t="n"/>
      <c r="F82" s="19" t="n"/>
      <c r="G82" s="19" t="n"/>
    </row>
    <row r="83">
      <c r="A83" s="12" t="inlineStr">
        <is>
          <t>Impostos</t>
        </is>
      </c>
      <c r="B83" s="23" t="n"/>
      <c r="C83" s="23" t="n"/>
      <c r="D83" s="23" t="n"/>
      <c r="E83" s="23" t="n"/>
      <c r="F83" s="23" t="n"/>
      <c r="G83" s="23" t="n"/>
    </row>
    <row r="84">
      <c r="A84" s="15" t="inlineStr">
        <is>
          <t>Impostos</t>
        </is>
      </c>
      <c r="B84" s="15" t="inlineStr">
        <is>
          <t>Tributo / Guia</t>
        </is>
      </c>
      <c r="C84" s="16" t="n">
        <v>149.26</v>
      </c>
      <c r="D84" s="17" t="n">
        <v>46051</v>
      </c>
      <c r="E84" s="15" t="inlineStr"/>
      <c r="F84" s="15" t="inlineStr">
        <is>
          <t>Recebido</t>
        </is>
      </c>
      <c r="G84" s="15" t="inlineStr">
        <is>
          <t>Pagamento com Código QR Pix MARIA DAS G L R M CARD</t>
        </is>
      </c>
    </row>
    <row r="85">
      <c r="A85" s="18" t="inlineStr">
        <is>
          <t>Subtotal Impostos</t>
        </is>
      </c>
      <c r="B85" s="19" t="n"/>
      <c r="C85" s="20">
        <f>SUM(C84:C84)</f>
        <v/>
      </c>
      <c r="D85" s="19" t="n"/>
      <c r="E85" s="19" t="n"/>
      <c r="F85" s="19" t="n"/>
      <c r="G85" s="19" t="n"/>
    </row>
    <row r="86">
      <c r="A86" s="12" t="inlineStr">
        <is>
          <t>Outros</t>
        </is>
      </c>
      <c r="B86" s="23" t="n"/>
      <c r="C86" s="23" t="n"/>
      <c r="D86" s="23" t="n"/>
      <c r="E86" s="23" t="n"/>
      <c r="F86" s="23" t="n"/>
      <c r="G86" s="23" t="n"/>
    </row>
    <row r="87">
      <c r="A87" s="15" t="inlineStr">
        <is>
          <t>Outros</t>
        </is>
      </c>
      <c r="B87" s="15" t="inlineStr">
        <is>
          <t>Compra / Pix Pessoal</t>
        </is>
      </c>
      <c r="C87" s="16" t="n">
        <v>-64.98</v>
      </c>
      <c r="D87" s="17" t="n">
        <v>46024</v>
      </c>
      <c r="E87" s="15" t="inlineStr"/>
      <c r="F87" s="15" t="inlineStr">
        <is>
          <t>Sem comprovante</t>
        </is>
      </c>
      <c r="G87" s="15" t="inlineStr">
        <is>
          <t>Pagamento com QR Pix D C A ROSSETTI</t>
        </is>
      </c>
    </row>
    <row r="88">
      <c r="A88" s="15" t="inlineStr">
        <is>
          <t>Outros</t>
        </is>
      </c>
      <c r="B88" s="15" t="inlineStr">
        <is>
          <t>Transferência Pix Enviada</t>
        </is>
      </c>
      <c r="C88" s="16" t="n">
        <v>-23.4</v>
      </c>
      <c r="D88" s="17" t="n">
        <v>46024</v>
      </c>
      <c r="E88" s="15" t="inlineStr"/>
      <c r="F88" s="15" t="inlineStr">
        <is>
          <t>Sem comprovante</t>
        </is>
      </c>
      <c r="G88" s="15" t="inlineStr">
        <is>
          <t>Transferência Pix enviada Segline - Automacao Predial e Reparacao de Equipamentos ...</t>
        </is>
      </c>
    </row>
    <row r="89">
      <c r="A89" s="15" t="inlineStr">
        <is>
          <t>Outros</t>
        </is>
      </c>
      <c r="B89" s="15" t="inlineStr">
        <is>
          <t>Pagamento Stone</t>
        </is>
      </c>
      <c r="C89" s="16" t="n">
        <v>-99.90000000000001</v>
      </c>
      <c r="D89" s="17" t="n">
        <v>46026</v>
      </c>
      <c r="E89" s="15" t="inlineStr"/>
      <c r="F89" s="15" t="inlineStr">
        <is>
          <t>Sem comprovante</t>
        </is>
      </c>
      <c r="G89" s="15" t="inlineStr">
        <is>
          <t>Pagamento de conta Stone Pagamentos S.A.</t>
        </is>
      </c>
    </row>
    <row r="90">
      <c r="A90" s="15" t="inlineStr">
        <is>
          <t>Outros</t>
        </is>
      </c>
      <c r="B90" s="15" t="inlineStr">
        <is>
          <t>Pix recebido cliente Studio</t>
        </is>
      </c>
      <c r="C90" s="16" t="n">
        <v>496.55</v>
      </c>
      <c r="D90" s="17" t="n">
        <v>46027</v>
      </c>
      <c r="E90" s="15" t="inlineStr"/>
      <c r="F90" s="15" t="inlineStr">
        <is>
          <t>Recebido</t>
        </is>
      </c>
      <c r="G90" s="15" t="inlineStr">
        <is>
          <t>Pagamento com Código QR Pix CECILIA HALLU PALMA</t>
        </is>
      </c>
    </row>
    <row r="91">
      <c r="A91" s="15" t="inlineStr">
        <is>
          <t>Outros</t>
        </is>
      </c>
      <c r="B91" s="15" t="inlineStr">
        <is>
          <t>Compras Diversas</t>
        </is>
      </c>
      <c r="C91" s="16" t="n">
        <v>-257.62</v>
      </c>
      <c r="D91" s="17" t="n">
        <v>46029</v>
      </c>
      <c r="E91" s="15" t="inlineStr"/>
      <c r="F91" s="15" t="inlineStr">
        <is>
          <t>Sem comprovante</t>
        </is>
      </c>
      <c r="G91" s="15" t="inlineStr">
        <is>
          <t>Pagamento com QR Pix IDEAL GUAPO LTDA</t>
        </is>
      </c>
    </row>
    <row r="92">
      <c r="A92" s="15" t="inlineStr">
        <is>
          <t>Outros</t>
        </is>
      </c>
      <c r="B92" s="15" t="inlineStr">
        <is>
          <t>Compra / Pix Pessoal</t>
        </is>
      </c>
      <c r="C92" s="16" t="n">
        <v>-95</v>
      </c>
      <c r="D92" s="17" t="n">
        <v>46029</v>
      </c>
      <c r="E92" s="15" t="inlineStr"/>
      <c r="F92" s="15" t="inlineStr">
        <is>
          <t>Sem comprovante</t>
        </is>
      </c>
      <c r="G92" s="15" t="inlineStr">
        <is>
          <t>Pagamento com QR Pix MIRAIR IANZ TABORDA CONVENIENCIA</t>
        </is>
      </c>
    </row>
    <row r="93">
      <c r="A93" s="15" t="inlineStr">
        <is>
          <t>Outros</t>
        </is>
      </c>
      <c r="B93" s="15" t="inlineStr">
        <is>
          <t>Hotel</t>
        </is>
      </c>
      <c r="C93" s="16" t="n">
        <v>-474.5</v>
      </c>
      <c r="D93" s="17" t="n">
        <v>46030</v>
      </c>
      <c r="E93" s="15" t="inlineStr"/>
      <c r="F93" s="15" t="inlineStr">
        <is>
          <t>Sem comprovante</t>
        </is>
      </c>
      <c r="G93" s="15" t="inlineStr">
        <is>
          <t>Pagamento com QR Pix LEFAGUI HOTEL LTDA</t>
        </is>
      </c>
    </row>
    <row r="94">
      <c r="A94" s="15" t="inlineStr">
        <is>
          <t>Outros</t>
        </is>
      </c>
      <c r="B94" s="15" t="inlineStr">
        <is>
          <t>Pix recebido cliente Studio</t>
        </is>
      </c>
      <c r="C94" s="16" t="n">
        <v>746.3200000000001</v>
      </c>
      <c r="D94" s="17" t="n">
        <v>46031</v>
      </c>
      <c r="E94" s="15" t="inlineStr"/>
      <c r="F94" s="15" t="inlineStr">
        <is>
          <t>Recebido</t>
        </is>
      </c>
      <c r="G94" s="15" t="inlineStr">
        <is>
          <t>Pagamento com Código QR Pix VALERIA CHAVES DE QUEIROZ LEITE</t>
        </is>
      </c>
    </row>
    <row r="95">
      <c r="A95" s="15" t="inlineStr">
        <is>
          <t>Outros</t>
        </is>
      </c>
      <c r="B95" s="15" t="inlineStr">
        <is>
          <t>Maçonaria / Loja Simbólica</t>
        </is>
      </c>
      <c r="C95" s="16" t="n">
        <v>-76</v>
      </c>
      <c r="D95" s="17" t="n">
        <v>46031</v>
      </c>
      <c r="E95" s="15" t="inlineStr"/>
      <c r="F95" s="15" t="inlineStr">
        <is>
          <t>Sem comprovante</t>
        </is>
      </c>
      <c r="G95" s="15" t="inlineStr">
        <is>
          <t>Pagamento com QR Pix ANTIGA E MISTICA ORDEM ROSAE CRUCIS,AMORC-GRANDE LOJA DA JURI...</t>
        </is>
      </c>
    </row>
    <row r="96">
      <c r="A96" s="15" t="inlineStr">
        <is>
          <t>Outros</t>
        </is>
      </c>
      <c r="B96" s="15" t="inlineStr">
        <is>
          <t>Compra / Pix Pessoal</t>
        </is>
      </c>
      <c r="C96" s="16" t="n">
        <v>-250</v>
      </c>
      <c r="D96" s="17" t="n">
        <v>46031</v>
      </c>
      <c r="E96" s="15" t="inlineStr"/>
      <c r="F96" s="15" t="inlineStr">
        <is>
          <t>Sem comprovante</t>
        </is>
      </c>
      <c r="G96" s="15" t="inlineStr">
        <is>
          <t>Transferência Pix enviada Central do Portao Ltda</t>
        </is>
      </c>
    </row>
    <row r="97">
      <c r="A97" s="15" t="inlineStr">
        <is>
          <t>Outros</t>
        </is>
      </c>
      <c r="B97" s="15" t="inlineStr">
        <is>
          <t>Estorno / Contestação</t>
        </is>
      </c>
      <c r="C97" s="16" t="n">
        <v>-1960</v>
      </c>
      <c r="D97" s="17" t="n">
        <v>46032</v>
      </c>
      <c r="E97" s="15" t="inlineStr"/>
      <c r="F97" s="15" t="inlineStr">
        <is>
          <t>Sem comprovante</t>
        </is>
      </c>
      <c r="G97" s="15" t="inlineStr">
        <is>
          <t>Débito por dívida Contestação por venda</t>
        </is>
      </c>
    </row>
    <row r="98">
      <c r="A98" s="15" t="inlineStr">
        <is>
          <t>Outros</t>
        </is>
      </c>
      <c r="B98" s="15" t="inlineStr">
        <is>
          <t>Pagamento Cartão Carrefour</t>
        </is>
      </c>
      <c r="C98" s="16" t="n">
        <v>-7663.61</v>
      </c>
      <c r="D98" s="17" t="n">
        <v>46032</v>
      </c>
      <c r="E98" s="15" t="inlineStr"/>
      <c r="F98" s="15" t="inlineStr">
        <is>
          <t>Sem comprovante</t>
        </is>
      </c>
      <c r="G98" s="15" t="inlineStr">
        <is>
          <t>Pagamento com QR Pix CSF</t>
        </is>
      </c>
    </row>
    <row r="99">
      <c r="A99" s="15" t="inlineStr">
        <is>
          <t>Outros</t>
        </is>
      </c>
      <c r="B99" s="15" t="inlineStr">
        <is>
          <t>Pagamento Cartão Santander</t>
        </is>
      </c>
      <c r="C99" s="16" t="n">
        <v>-1087.36</v>
      </c>
      <c r="D99" s="17" t="n">
        <v>46034</v>
      </c>
      <c r="E99" s="15" t="inlineStr"/>
      <c r="F99" s="15" t="inlineStr">
        <is>
          <t>Sem comprovante</t>
        </is>
      </c>
      <c r="G99" s="15" t="inlineStr">
        <is>
          <t>Pagamento de conta Banco Santander (Brasil) S. A.</t>
        </is>
      </c>
    </row>
    <row r="100">
      <c r="A100" s="15" t="inlineStr">
        <is>
          <t>Outros</t>
        </is>
      </c>
      <c r="B100" s="15" t="inlineStr">
        <is>
          <t>Pagamento Caixa</t>
        </is>
      </c>
      <c r="C100" s="16" t="n">
        <v>-930.12</v>
      </c>
      <c r="D100" s="17" t="n">
        <v>46034</v>
      </c>
      <c r="E100" s="15" t="inlineStr"/>
      <c r="F100" s="15" t="inlineStr">
        <is>
          <t>Sem comprovante</t>
        </is>
      </c>
      <c r="G100" s="15" t="inlineStr">
        <is>
          <t>Pagamento de conta Caixa Econômica Federal</t>
        </is>
      </c>
    </row>
    <row r="101">
      <c r="A101" s="15" t="inlineStr">
        <is>
          <t>Outros</t>
        </is>
      </c>
      <c r="B101" s="15" t="inlineStr">
        <is>
          <t>Pix recebido cliente Studio</t>
        </is>
      </c>
      <c r="C101" s="16" t="n">
        <v>447.79</v>
      </c>
      <c r="D101" s="17" t="n">
        <v>46035</v>
      </c>
      <c r="E101" s="15" t="inlineStr"/>
      <c r="F101" s="15" t="inlineStr">
        <is>
          <t>Recebido</t>
        </is>
      </c>
      <c r="G101" s="15" t="inlineStr">
        <is>
          <t>Pagamento com Código QR Pix ROSELI DO ROCIO MOCELIN DRA</t>
        </is>
      </c>
    </row>
    <row r="102">
      <c r="A102" s="15" t="inlineStr">
        <is>
          <t>Outros</t>
        </is>
      </c>
      <c r="B102" s="15" t="inlineStr">
        <is>
          <t>Pix recebido cliente Studio</t>
        </is>
      </c>
      <c r="C102" s="16" t="n">
        <v>59.71</v>
      </c>
      <c r="D102" s="17" t="n">
        <v>46036</v>
      </c>
      <c r="E102" s="15" t="inlineStr"/>
      <c r="F102" s="15" t="inlineStr">
        <is>
          <t>Recebido</t>
        </is>
      </c>
      <c r="G102" s="15" t="inlineStr">
        <is>
          <t>Pagamento com Código QR Pix SOULI TEREZINHA BASTOS DE BARROS</t>
        </is>
      </c>
    </row>
    <row r="103">
      <c r="A103" s="15" t="inlineStr">
        <is>
          <t>Outros</t>
        </is>
      </c>
      <c r="B103" s="15" t="inlineStr">
        <is>
          <t>Pix recebido cliente Studio</t>
        </is>
      </c>
      <c r="C103" s="16" t="n">
        <v>1164.27</v>
      </c>
      <c r="D103" s="17" t="n">
        <v>46036</v>
      </c>
      <c r="E103" s="15" t="inlineStr"/>
      <c r="F103" s="15" t="inlineStr">
        <is>
          <t>Recebido</t>
        </is>
      </c>
      <c r="G103" s="15" t="inlineStr">
        <is>
          <t>Pagamento com Código QR Pix TEREZINHA DI MITO</t>
        </is>
      </c>
    </row>
    <row r="104">
      <c r="A104" s="15" t="inlineStr">
        <is>
          <t>Outros</t>
        </is>
      </c>
      <c r="B104" s="15" t="inlineStr">
        <is>
          <t>Pagamento Efi (Boleto)</t>
        </is>
      </c>
      <c r="C104" s="16" t="n">
        <v>-37.43</v>
      </c>
      <c r="D104" s="17" t="n">
        <v>46037</v>
      </c>
      <c r="E104" s="15" t="inlineStr"/>
      <c r="F104" s="15" t="inlineStr">
        <is>
          <t>Sem comprovante</t>
        </is>
      </c>
      <c r="G104" s="15" t="inlineStr">
        <is>
          <t>Pagamento de conta Efi S.A. - Instituição de Pagamento</t>
        </is>
      </c>
    </row>
    <row r="105">
      <c r="A105" s="15" t="inlineStr">
        <is>
          <t>Outros</t>
        </is>
      </c>
      <c r="B105" s="15" t="inlineStr">
        <is>
          <t>Serviço Médico</t>
        </is>
      </c>
      <c r="C105" s="16" t="n">
        <v>-249.9</v>
      </c>
      <c r="D105" s="17" t="n">
        <v>46038</v>
      </c>
      <c r="E105" s="15" t="inlineStr"/>
      <c r="F105" s="15" t="inlineStr">
        <is>
          <t>Sem comprovante</t>
        </is>
      </c>
      <c r="G105" s="15" t="inlineStr">
        <is>
          <t>Pagamento com QR Pix SALVA SERVICOS MEDICOS DE EMERGENCIA LTDA</t>
        </is>
      </c>
    </row>
    <row r="106">
      <c r="A106" s="15" t="inlineStr">
        <is>
          <t>Outros</t>
        </is>
      </c>
      <c r="B106" s="15" t="inlineStr">
        <is>
          <t>Compra / Pix Pessoal</t>
        </is>
      </c>
      <c r="C106" s="16" t="n">
        <v>-38.9</v>
      </c>
      <c r="D106" s="17" t="n">
        <v>46038</v>
      </c>
      <c r="E106" s="15" t="inlineStr"/>
      <c r="F106" s="15" t="inlineStr">
        <is>
          <t>Sem comprovante</t>
        </is>
      </c>
      <c r="G106" s="15" t="inlineStr">
        <is>
          <t>Transferência Pix enviada CIA LATINO AMERICANA DE MEDICAMENTOS</t>
        </is>
      </c>
    </row>
    <row r="107">
      <c r="A107" s="15" t="inlineStr">
        <is>
          <t>Outros</t>
        </is>
      </c>
      <c r="B107" s="15" t="inlineStr">
        <is>
          <t>Pix recebido cliente Studio</t>
        </is>
      </c>
      <c r="C107" s="16" t="n">
        <v>496.55</v>
      </c>
      <c r="D107" s="17" t="n">
        <v>46043</v>
      </c>
      <c r="E107" s="15" t="inlineStr"/>
      <c r="F107" s="15" t="inlineStr">
        <is>
          <t>Recebido</t>
        </is>
      </c>
      <c r="G107" s="15" t="inlineStr">
        <is>
          <t>Pagamento com Código QR Pix DANIELE HOMAN FERST DE MORAES</t>
        </is>
      </c>
    </row>
    <row r="108">
      <c r="A108" s="15" t="inlineStr">
        <is>
          <t>Outros</t>
        </is>
      </c>
      <c r="B108" s="15" t="inlineStr">
        <is>
          <t>Pix recebido cliente Studio</t>
        </is>
      </c>
      <c r="C108" s="16" t="n">
        <v>149.26</v>
      </c>
      <c r="D108" s="17" t="n">
        <v>46043</v>
      </c>
      <c r="E108" s="15" t="inlineStr"/>
      <c r="F108" s="15" t="inlineStr">
        <is>
          <t>Recebido</t>
        </is>
      </c>
      <c r="G108" s="15" t="inlineStr">
        <is>
          <t>Pagamento com Código QR Pix ROSELI DO ROCIO MOCELIN DRA</t>
        </is>
      </c>
    </row>
    <row r="109">
      <c r="A109" s="15" t="inlineStr">
        <is>
          <t>Outros</t>
        </is>
      </c>
      <c r="B109" s="15" t="inlineStr">
        <is>
          <t>Pix recebido cliente Studio</t>
        </is>
      </c>
      <c r="C109" s="16" t="n">
        <v>990.12</v>
      </c>
      <c r="D109" s="17" t="n">
        <v>46045</v>
      </c>
      <c r="E109" s="15" t="inlineStr"/>
      <c r="F109" s="15" t="inlineStr">
        <is>
          <t>Recebido</t>
        </is>
      </c>
      <c r="G109" s="15" t="inlineStr">
        <is>
          <t>Pagamento com Código QR Pix DULCIMAR DE JESUS</t>
        </is>
      </c>
    </row>
    <row r="110">
      <c r="A110" s="15" t="inlineStr">
        <is>
          <t>Outros</t>
        </is>
      </c>
      <c r="B110" s="15" t="inlineStr">
        <is>
          <t>Compra / Pix Pessoal</t>
        </is>
      </c>
      <c r="C110" s="16" t="n">
        <v>-300</v>
      </c>
      <c r="D110" s="17" t="n">
        <v>46045</v>
      </c>
      <c r="E110" s="15" t="inlineStr"/>
      <c r="F110" s="15" t="inlineStr">
        <is>
          <t>Sem comprovante</t>
        </is>
      </c>
      <c r="G110" s="15" t="inlineStr">
        <is>
          <t>Transferência Pix enviada Ferencz Keller - Consultorio Odontologico Ss Ltda.</t>
        </is>
      </c>
    </row>
    <row r="111">
      <c r="A111" s="15" t="inlineStr">
        <is>
          <t>Outros</t>
        </is>
      </c>
      <c r="B111" s="15" t="inlineStr">
        <is>
          <t>Câmbio / Ebury</t>
        </is>
      </c>
      <c r="C111" s="16" t="n">
        <v>-43.64</v>
      </c>
      <c r="D111" s="17" t="n">
        <v>46046</v>
      </c>
      <c r="E111" s="15" t="inlineStr"/>
      <c r="F111" s="15" t="inlineStr">
        <is>
          <t>Sem comprovante</t>
        </is>
      </c>
      <c r="G111" s="15" t="inlineStr">
        <is>
          <t>Pagamento com QR Pix EBURY SOLUCOES DE PAGAMEN</t>
        </is>
      </c>
    </row>
    <row r="112">
      <c r="A112" s="15" t="inlineStr">
        <is>
          <t>Outros</t>
        </is>
      </c>
      <c r="B112" s="15" t="inlineStr">
        <is>
          <t>Pix recebido cliente Studio</t>
        </is>
      </c>
      <c r="C112" s="16" t="n">
        <v>49.75</v>
      </c>
      <c r="D112" s="17" t="n">
        <v>46050</v>
      </c>
      <c r="E112" s="15" t="inlineStr"/>
      <c r="F112" s="15" t="inlineStr">
        <is>
          <t>Recebido</t>
        </is>
      </c>
      <c r="G112" s="15" t="inlineStr">
        <is>
          <t>Pagamento com Código QR Pix IVO JOSE VENDRAMIN</t>
        </is>
      </c>
    </row>
    <row r="113">
      <c r="A113" s="15" t="inlineStr">
        <is>
          <t>Outros</t>
        </is>
      </c>
      <c r="B113" s="15" t="inlineStr">
        <is>
          <t>Pix recebido cliente Studio</t>
        </is>
      </c>
      <c r="C113" s="16" t="n">
        <v>298.53</v>
      </c>
      <c r="D113" s="17" t="n">
        <v>46050</v>
      </c>
      <c r="E113" s="15" t="inlineStr"/>
      <c r="F113" s="15" t="inlineStr">
        <is>
          <t>Recebido</t>
        </is>
      </c>
      <c r="G113" s="15" t="inlineStr">
        <is>
          <t>Pagamento com Código QR Pix JULIANA CAROLINA BORTOLAZ</t>
        </is>
      </c>
    </row>
    <row r="114">
      <c r="A114" s="18" t="inlineStr">
        <is>
          <t>Subtotal Outros</t>
        </is>
      </c>
      <c r="B114" s="19" t="n"/>
      <c r="C114" s="20">
        <f>SUM(C87:C113)</f>
        <v/>
      </c>
      <c r="D114" s="19" t="n"/>
      <c r="E114" s="19" t="n"/>
      <c r="F114" s="19" t="n"/>
      <c r="G114" s="19" t="n"/>
    </row>
    <row r="115">
      <c r="A115" s="12" t="inlineStr">
        <is>
          <t>Transferência - Bruno (própria)</t>
        </is>
      </c>
      <c r="B115" s="23" t="n"/>
      <c r="C115" s="23" t="n"/>
      <c r="D115" s="23" t="n"/>
      <c r="E115" s="23" t="n"/>
      <c r="F115" s="23" t="n"/>
      <c r="G115" s="23" t="n"/>
    </row>
    <row r="116">
      <c r="A116" s="15" t="inlineStr">
        <is>
          <t>Transferência - Bruno (própria)</t>
        </is>
      </c>
      <c r="B116" s="15" t="inlineStr">
        <is>
          <t>Pix Bruno→Bruno (entre contas próprias)</t>
        </is>
      </c>
      <c r="C116" s="16" t="n">
        <v>-500</v>
      </c>
      <c r="D116" s="17" t="n">
        <v>46023</v>
      </c>
      <c r="E116" s="15" t="inlineStr"/>
      <c r="F116" s="15" t="inlineStr">
        <is>
          <t>Sem comprovante</t>
        </is>
      </c>
      <c r="G116" s="15" t="inlineStr">
        <is>
          <t>Transferência Pix enviada Bruno Porto Seus</t>
        </is>
      </c>
    </row>
    <row r="117">
      <c r="A117" s="15" t="inlineStr">
        <is>
          <t>Transferência - Bruno (própria)</t>
        </is>
      </c>
      <c r="B117" s="15" t="inlineStr">
        <is>
          <t>Pix Bruno→Bruno (entre contas próprias)</t>
        </is>
      </c>
      <c r="C117" s="16" t="n">
        <v>-500</v>
      </c>
      <c r="D117" s="17" t="n">
        <v>46027</v>
      </c>
      <c r="E117" s="15" t="inlineStr"/>
      <c r="F117" s="15" t="inlineStr">
        <is>
          <t>Sem comprovante</t>
        </is>
      </c>
      <c r="G117" s="15" t="inlineStr">
        <is>
          <t>Transferência Pix enviada Bruno Porto Seus</t>
        </is>
      </c>
    </row>
    <row r="118">
      <c r="A118" s="15" t="inlineStr">
        <is>
          <t>Transferência - Bruno (própria)</t>
        </is>
      </c>
      <c r="B118" s="15" t="inlineStr">
        <is>
          <t>Pix Bruno→Bruno (entre contas próprias)</t>
        </is>
      </c>
      <c r="C118" s="16" t="n">
        <v>-300</v>
      </c>
      <c r="D118" s="17" t="n">
        <v>46031</v>
      </c>
      <c r="E118" s="15" t="inlineStr"/>
      <c r="F118" s="15" t="inlineStr">
        <is>
          <t>Sem comprovante</t>
        </is>
      </c>
      <c r="G118" s="15" t="inlineStr">
        <is>
          <t>Transferência Pix enviada Bruno Porto Seus</t>
        </is>
      </c>
    </row>
    <row r="119">
      <c r="A119" s="15" t="inlineStr">
        <is>
          <t>Transferência - Bruno (própria)</t>
        </is>
      </c>
      <c r="B119" s="15" t="inlineStr">
        <is>
          <t>Pix Bruno→Bruno (entre contas próprias)</t>
        </is>
      </c>
      <c r="C119" s="16" t="n">
        <v>-1000</v>
      </c>
      <c r="D119" s="17" t="n">
        <v>46038</v>
      </c>
      <c r="E119" s="15" t="inlineStr"/>
      <c r="F119" s="15" t="inlineStr">
        <is>
          <t>Sem comprovante</t>
        </is>
      </c>
      <c r="G119" s="15" t="inlineStr">
        <is>
          <t>Transferência Pix enviada Bruno Porto Seus</t>
        </is>
      </c>
    </row>
    <row r="120">
      <c r="A120" s="15" t="inlineStr">
        <is>
          <t>Transferência - Bruno (própria)</t>
        </is>
      </c>
      <c r="B120" s="15" t="inlineStr">
        <is>
          <t>Pix Bruno→Bruno (entre contas próprias)</t>
        </is>
      </c>
      <c r="C120" s="16" t="n">
        <v>-150</v>
      </c>
      <c r="D120" s="17" t="n">
        <v>46045</v>
      </c>
      <c r="E120" s="15" t="inlineStr"/>
      <c r="F120" s="15" t="inlineStr">
        <is>
          <t>Sem comprovante</t>
        </is>
      </c>
      <c r="G120" s="15" t="inlineStr">
        <is>
          <t>Transferência Pix enviada Bruno Porto Seus</t>
        </is>
      </c>
    </row>
    <row r="121">
      <c r="A121" s="15" t="inlineStr">
        <is>
          <t>Transferência - Bruno (própria)</t>
        </is>
      </c>
      <c r="B121" s="15" t="inlineStr">
        <is>
          <t>Pix Bruno→Bruno (entre contas próprias)</t>
        </is>
      </c>
      <c r="C121" s="16" t="n">
        <v>-1600</v>
      </c>
      <c r="D121" s="17" t="n">
        <v>46051</v>
      </c>
      <c r="E121" s="15" t="inlineStr"/>
      <c r="F121" s="15" t="inlineStr">
        <is>
          <t>Sem comprovante</t>
        </is>
      </c>
      <c r="G121" s="15" t="inlineStr">
        <is>
          <t>Transferência Pix enviada Bruno Porto Seus</t>
        </is>
      </c>
    </row>
    <row r="122">
      <c r="A122" s="15" t="inlineStr">
        <is>
          <t>Transferência - Bruno (própria)</t>
        </is>
      </c>
      <c r="B122" s="15" t="inlineStr">
        <is>
          <t>Pix Bruno→Bruno (entre contas próprias)</t>
        </is>
      </c>
      <c r="C122" s="16" t="n">
        <v>-300</v>
      </c>
      <c r="D122" s="17" t="n">
        <v>46052</v>
      </c>
      <c r="E122" s="15" t="inlineStr"/>
      <c r="F122" s="15" t="inlineStr">
        <is>
          <t>Sem comprovante</t>
        </is>
      </c>
      <c r="G122" s="15" t="inlineStr">
        <is>
          <t>Transferência Pix enviada Bruno Porto Seus</t>
        </is>
      </c>
    </row>
    <row r="123">
      <c r="A123" s="18" t="inlineStr">
        <is>
          <t>Subtotal Transferência - Bruno (própria)</t>
        </is>
      </c>
      <c r="B123" s="19" t="n"/>
      <c r="C123" s="20">
        <f>SUM(C116:C122)</f>
        <v/>
      </c>
      <c r="D123" s="19" t="n"/>
      <c r="E123" s="19" t="n"/>
      <c r="F123" s="19" t="n"/>
      <c r="G123" s="19" t="n"/>
    </row>
    <row r="124">
      <c r="A124" s="12" t="inlineStr">
        <is>
          <t>Transferência - Denise</t>
        </is>
      </c>
      <c r="B124" s="23" t="n"/>
      <c r="C124" s="23" t="n"/>
      <c r="D124" s="23" t="n"/>
      <c r="E124" s="23" t="n"/>
      <c r="F124" s="23" t="n"/>
      <c r="G124" s="23" t="n"/>
    </row>
    <row r="125">
      <c r="A125" s="15" t="inlineStr">
        <is>
          <t>Transferência - Denise</t>
        </is>
      </c>
      <c r="B125" s="15" t="inlineStr">
        <is>
          <t>Pix Bruno→Denise</t>
        </is>
      </c>
      <c r="C125" s="16" t="n">
        <v>-200</v>
      </c>
      <c r="D125" s="17" t="n">
        <v>46024</v>
      </c>
      <c r="E125" s="15" t="inlineStr"/>
      <c r="F125" s="15" t="inlineStr">
        <is>
          <t>Sem comprovante</t>
        </is>
      </c>
      <c r="G125" s="15" t="inlineStr">
        <is>
          <t>Transferência enviada Denise De Paula</t>
        </is>
      </c>
    </row>
    <row r="126">
      <c r="A126" s="15" t="inlineStr">
        <is>
          <t>Transferência - Denise</t>
        </is>
      </c>
      <c r="B126" s="15" t="inlineStr">
        <is>
          <t>Pix Bruno→Denise</t>
        </is>
      </c>
      <c r="C126" s="16" t="n">
        <v>-150</v>
      </c>
      <c r="D126" s="17" t="n">
        <v>46031</v>
      </c>
      <c r="E126" s="15" t="inlineStr"/>
      <c r="F126" s="15" t="inlineStr">
        <is>
          <t>Sem comprovante</t>
        </is>
      </c>
      <c r="G126" s="15" t="inlineStr">
        <is>
          <t>Transferência enviada Denise De Paula</t>
        </is>
      </c>
    </row>
    <row r="127">
      <c r="A127" s="15" t="inlineStr">
        <is>
          <t>Transferência - Denise</t>
        </is>
      </c>
      <c r="B127" s="15" t="inlineStr">
        <is>
          <t>Pix Bruno→Denise</t>
        </is>
      </c>
      <c r="C127" s="16" t="n">
        <v>-1000</v>
      </c>
      <c r="D127" s="17" t="n">
        <v>46034</v>
      </c>
      <c r="E127" s="15" t="inlineStr"/>
      <c r="F127" s="15" t="inlineStr">
        <is>
          <t>Sem comprovante</t>
        </is>
      </c>
      <c r="G127" s="15" t="inlineStr">
        <is>
          <t>Transferência enviada Denise De Paula</t>
        </is>
      </c>
    </row>
    <row r="128">
      <c r="A128" s="15" t="inlineStr">
        <is>
          <t>Transferência - Denise</t>
        </is>
      </c>
      <c r="B128" s="15" t="inlineStr">
        <is>
          <t>Pix Bruno→Denise</t>
        </is>
      </c>
      <c r="C128" s="16" t="n">
        <v>-100</v>
      </c>
      <c r="D128" s="17" t="n">
        <v>46037</v>
      </c>
      <c r="E128" s="15" t="inlineStr"/>
      <c r="F128" s="15" t="inlineStr">
        <is>
          <t>Sem comprovante</t>
        </is>
      </c>
      <c r="G128" s="15" t="inlineStr">
        <is>
          <t>Transferência enviada Denise De Paula</t>
        </is>
      </c>
    </row>
    <row r="129">
      <c r="A129" s="15" t="inlineStr">
        <is>
          <t>Transferência - Denise</t>
        </is>
      </c>
      <c r="B129" s="15" t="inlineStr">
        <is>
          <t>Pix Bruno→Denise</t>
        </is>
      </c>
      <c r="C129" s="16" t="n">
        <v>-200</v>
      </c>
      <c r="D129" s="17" t="n">
        <v>46044</v>
      </c>
      <c r="E129" s="15" t="inlineStr"/>
      <c r="F129" s="15" t="inlineStr">
        <is>
          <t>Sem comprovante</t>
        </is>
      </c>
      <c r="G129" s="15" t="inlineStr">
        <is>
          <t>Transferência Pix enviada Denise De Paula</t>
        </is>
      </c>
    </row>
    <row r="130">
      <c r="A130" s="15" t="inlineStr">
        <is>
          <t>Transferência - Denise</t>
        </is>
      </c>
      <c r="B130" s="15" t="inlineStr">
        <is>
          <t>Pix Bruno→Denise</t>
        </is>
      </c>
      <c r="C130" s="16" t="n">
        <v>-200</v>
      </c>
      <c r="D130" s="17" t="n">
        <v>46050</v>
      </c>
      <c r="E130" s="15" t="inlineStr"/>
      <c r="F130" s="15" t="inlineStr">
        <is>
          <t>Sem comprovante</t>
        </is>
      </c>
      <c r="G130" s="15" t="inlineStr">
        <is>
          <t>Transferência Pix enviada Denise De Paula</t>
        </is>
      </c>
    </row>
    <row r="131">
      <c r="A131" s="18" t="inlineStr">
        <is>
          <t>Subtotal Transferência - Denise</t>
        </is>
      </c>
      <c r="B131" s="19" t="n"/>
      <c r="C131" s="20">
        <f>SUM(C125:C130)</f>
        <v/>
      </c>
      <c r="D131" s="19" t="n"/>
      <c r="E131" s="19" t="n"/>
      <c r="F131" s="19" t="n"/>
      <c r="G131" s="19" t="n"/>
    </row>
    <row r="132">
      <c r="A132" s="6" t="inlineStr">
        <is>
          <t>TOTAL DESPESAS PAGAS</t>
        </is>
      </c>
      <c r="C132" s="24">
        <f>C49+C64+C82+C85+C114</f>
        <v/>
      </c>
    </row>
    <row r="133">
      <c r="A133" s="25" t="inlineStr">
        <is>
          <t>TOTAL RECEITAS</t>
        </is>
      </c>
      <c r="C133" s="26">
        <f>C5+C10+C37+C41</f>
        <v/>
      </c>
    </row>
    <row r="134">
      <c r="A134" s="27" t="inlineStr">
        <is>
          <t xml:space="preserve">  ↳ Midialike (separado)</t>
        </is>
      </c>
      <c r="C134" s="28">
        <f>C5</f>
        <v/>
      </c>
    </row>
    <row r="135">
      <c r="A135" s="27" t="inlineStr">
        <is>
          <t xml:space="preserve">  ↳ Denise / Salão (separado)</t>
        </is>
      </c>
      <c r="C135" s="28">
        <f>C10</f>
        <v/>
      </c>
    </row>
    <row r="136">
      <c r="A136" s="2" t="inlineStr">
        <is>
          <t>SALDO LÍQUIDO DO MÊS</t>
        </is>
      </c>
      <c r="C136" s="5">
        <f>C5+C10+C37+C41+C49+C64+C82+C85+C114</f>
        <v/>
      </c>
    </row>
    <row r="138">
      <c r="A138" s="11" t="inlineStr">
        <is>
          <t>Fevereiro/2026</t>
        </is>
      </c>
    </row>
    <row r="139">
      <c r="A139" s="12" t="inlineStr">
        <is>
          <t>Categoria</t>
        </is>
      </c>
      <c r="B139" s="12" t="inlineStr">
        <is>
          <t>Conta / Despesa</t>
        </is>
      </c>
      <c r="C139" s="12" t="inlineStr">
        <is>
          <t>Valor</t>
        </is>
      </c>
      <c r="D139" s="12" t="inlineStr">
        <is>
          <t>Data de Pagamento</t>
        </is>
      </c>
      <c r="E139" s="12" t="inlineStr">
        <is>
          <t>Recibo / Comprovante</t>
        </is>
      </c>
      <c r="F139" s="12" t="inlineStr">
        <is>
          <t>Status</t>
        </is>
      </c>
      <c r="G139" s="12" t="inlineStr">
        <is>
          <t>Observações</t>
        </is>
      </c>
    </row>
    <row r="140">
      <c r="A140" s="13" t="inlineStr">
        <is>
          <t>Receita - Midialike</t>
        </is>
      </c>
      <c r="B140" s="14" t="n"/>
      <c r="C140" s="14" t="n"/>
      <c r="D140" s="14" t="n"/>
      <c r="E140" s="14" t="n"/>
      <c r="F140" s="14" t="n"/>
      <c r="G140" s="14" t="n"/>
    </row>
    <row r="141">
      <c r="A141" s="15" t="inlineStr">
        <is>
          <t>Receita - Midialike</t>
        </is>
      </c>
      <c r="B141" s="15" t="inlineStr">
        <is>
          <t>Depósito Midialike</t>
        </is>
      </c>
      <c r="C141" s="16" t="n">
        <v>8000</v>
      </c>
      <c r="D141" s="17" t="n">
        <v>46056</v>
      </c>
      <c r="E141" s="15" t="inlineStr"/>
      <c r="F141" s="15" t="inlineStr">
        <is>
          <t>Recebido</t>
        </is>
      </c>
      <c r="G141" s="15" t="inlineStr">
        <is>
          <t>Transferência Pix recebida MIDIA LIKE LTDA</t>
        </is>
      </c>
    </row>
    <row r="142">
      <c r="A142" s="18" t="inlineStr">
        <is>
          <t>Subtotal Receita - Midialike</t>
        </is>
      </c>
      <c r="B142" s="19" t="n"/>
      <c r="C142" s="20">
        <f>SUM(C141:C141)</f>
        <v/>
      </c>
      <c r="D142" s="19" t="n"/>
      <c r="E142" s="19" t="n"/>
      <c r="F142" s="19" t="n"/>
      <c r="G142" s="19" t="n"/>
    </row>
    <row r="143">
      <c r="A143" s="21" t="inlineStr">
        <is>
          <t>Receita - Denise (Salão)</t>
        </is>
      </c>
      <c r="B143" s="22" t="n"/>
      <c r="C143" s="22" t="n"/>
      <c r="D143" s="22" t="n"/>
      <c r="E143" s="22" t="n"/>
      <c r="F143" s="22" t="n"/>
      <c r="G143" s="22" t="n"/>
    </row>
    <row r="144">
      <c r="A144" s="15" t="inlineStr">
        <is>
          <t>Receita - Denise (Salão)</t>
        </is>
      </c>
      <c r="B144" s="15" t="inlineStr">
        <is>
          <t>Depósito recebido de Denise / Salão</t>
        </is>
      </c>
      <c r="C144" s="16" t="n">
        <v>1300</v>
      </c>
      <c r="D144" s="17" t="n">
        <v>46079</v>
      </c>
      <c r="E144" s="15" t="inlineStr"/>
      <c r="F144" s="15" t="inlineStr">
        <is>
          <t>Recebido</t>
        </is>
      </c>
      <c r="G144" s="15" t="inlineStr">
        <is>
          <t>Pix recebido DENISE DE PAULA</t>
        </is>
      </c>
    </row>
    <row r="145">
      <c r="A145" s="18" t="inlineStr">
        <is>
          <t>Subtotal Receita - Denise (Salão)</t>
        </is>
      </c>
      <c r="B145" s="19" t="n"/>
      <c r="C145" s="20">
        <f>SUM(C144:C144)</f>
        <v/>
      </c>
      <c r="D145" s="19" t="n"/>
      <c r="E145" s="19" t="n"/>
      <c r="F145" s="19" t="n"/>
      <c r="G145" s="19" t="n"/>
    </row>
    <row r="146">
      <c r="A146" s="21" t="inlineStr">
        <is>
          <t>Receita - Liberação de Crédito</t>
        </is>
      </c>
      <c r="B146" s="22" t="n"/>
      <c r="C146" s="22" t="n"/>
      <c r="D146" s="22" t="n"/>
      <c r="E146" s="22" t="n"/>
      <c r="F146" s="22" t="n"/>
      <c r="G146" s="22" t="n"/>
    </row>
    <row r="147">
      <c r="A147" s="15" t="inlineStr">
        <is>
          <t>Receita - Liberação de Crédito</t>
        </is>
      </c>
      <c r="B147" s="15" t="inlineStr">
        <is>
          <t>Liberação de Crédito (Studio)</t>
        </is>
      </c>
      <c r="C147" s="16" t="n">
        <v>145.07</v>
      </c>
      <c r="D147" s="17" t="n">
        <v>46055</v>
      </c>
      <c r="E147" s="15" t="inlineStr"/>
      <c r="F147" s="15" t="inlineStr">
        <is>
          <t>Recebido</t>
        </is>
      </c>
      <c r="G147" s="15" t="inlineStr">
        <is>
          <t>Liberação de dinheiro</t>
        </is>
      </c>
    </row>
    <row r="148">
      <c r="A148" s="15" t="inlineStr">
        <is>
          <t>Receita - Liberação de Crédito</t>
        </is>
      </c>
      <c r="B148" s="15" t="inlineStr">
        <is>
          <t>Liberação de Crédito (Studio)</t>
        </is>
      </c>
      <c r="C148" s="16" t="n">
        <v>930.2</v>
      </c>
      <c r="D148" s="17" t="n">
        <v>46057</v>
      </c>
      <c r="E148" s="15" t="inlineStr"/>
      <c r="F148" s="15" t="inlineStr">
        <is>
          <t>Recebido</t>
        </is>
      </c>
      <c r="G148" s="15" t="inlineStr">
        <is>
          <t>Liberação de dinheiro</t>
        </is>
      </c>
    </row>
    <row r="149">
      <c r="A149" s="15" t="inlineStr">
        <is>
          <t>Receita - Liberação de Crédito</t>
        </is>
      </c>
      <c r="B149" s="15" t="inlineStr">
        <is>
          <t>Liberação de Crédito (Studio)</t>
        </is>
      </c>
      <c r="C149" s="16" t="n">
        <v>118.46</v>
      </c>
      <c r="D149" s="17" t="n">
        <v>46057</v>
      </c>
      <c r="E149" s="15" t="inlineStr"/>
      <c r="F149" s="15" t="inlineStr">
        <is>
          <t>Recebido</t>
        </is>
      </c>
      <c r="G149" s="15" t="inlineStr">
        <is>
          <t>Liberação de dinheiro</t>
        </is>
      </c>
    </row>
    <row r="150">
      <c r="A150" s="15" t="inlineStr">
        <is>
          <t>Receita - Liberação de Crédito</t>
        </is>
      </c>
      <c r="B150" s="15" t="inlineStr">
        <is>
          <t>Liberação de Crédito (Studio)</t>
        </is>
      </c>
      <c r="C150" s="16" t="n">
        <v>650.21</v>
      </c>
      <c r="D150" s="17" t="n">
        <v>46057</v>
      </c>
      <c r="E150" s="15" t="inlineStr"/>
      <c r="F150" s="15" t="inlineStr">
        <is>
          <t>Recebido</t>
        </is>
      </c>
      <c r="G150" s="15" t="inlineStr">
        <is>
          <t>Liberação de dinheiro</t>
        </is>
      </c>
    </row>
    <row r="151">
      <c r="A151" s="15" t="inlineStr">
        <is>
          <t>Receita - Liberação de Crédito</t>
        </is>
      </c>
      <c r="B151" s="15" t="inlineStr">
        <is>
          <t>Liberação de Crédito (Studio)</t>
        </is>
      </c>
      <c r="C151" s="16" t="n">
        <v>518.15</v>
      </c>
      <c r="D151" s="17" t="n">
        <v>46058</v>
      </c>
      <c r="E151" s="15" t="inlineStr"/>
      <c r="F151" s="15" t="inlineStr">
        <is>
          <t>Recebido</t>
        </is>
      </c>
      <c r="G151" s="15" t="inlineStr">
        <is>
          <t>Liberação de dinheiro</t>
        </is>
      </c>
    </row>
    <row r="152">
      <c r="A152" s="15" t="inlineStr">
        <is>
          <t>Receita - Liberação de Crédito</t>
        </is>
      </c>
      <c r="B152" s="15" t="inlineStr">
        <is>
          <t>Liberação de Crédito (Studio)</t>
        </is>
      </c>
      <c r="C152" s="16" t="n">
        <v>40</v>
      </c>
      <c r="D152" s="17" t="n">
        <v>46058</v>
      </c>
      <c r="E152" s="15" t="inlineStr"/>
      <c r="F152" s="15" t="inlineStr">
        <is>
          <t>Recebido</t>
        </is>
      </c>
      <c r="G152" s="15" t="inlineStr">
        <is>
          <t>Liberação de dinheiro</t>
        </is>
      </c>
    </row>
    <row r="153">
      <c r="A153" s="15" t="inlineStr">
        <is>
          <t>Receita - Liberação de Crédito</t>
        </is>
      </c>
      <c r="B153" s="15" t="inlineStr">
        <is>
          <t>Liberação de Crédito (Studio)</t>
        </is>
      </c>
      <c r="C153" s="16" t="n">
        <v>1158.71</v>
      </c>
      <c r="D153" s="17" t="n">
        <v>46063</v>
      </c>
      <c r="E153" s="15" t="inlineStr"/>
      <c r="F153" s="15" t="inlineStr">
        <is>
          <t>Recebido</t>
        </is>
      </c>
      <c r="G153" s="15" t="inlineStr">
        <is>
          <t>Liberação de dinheiro</t>
        </is>
      </c>
    </row>
    <row r="154">
      <c r="A154" s="15" t="inlineStr">
        <is>
          <t>Receita - Liberação de Crédito</t>
        </is>
      </c>
      <c r="B154" s="15" t="inlineStr">
        <is>
          <t>Liberação de Crédito (Studio)</t>
        </is>
      </c>
      <c r="C154" s="16" t="n">
        <v>656.49</v>
      </c>
      <c r="D154" s="17" t="n">
        <v>46063</v>
      </c>
      <c r="E154" s="15" t="inlineStr"/>
      <c r="F154" s="15" t="inlineStr">
        <is>
          <t>Recebido</t>
        </is>
      </c>
      <c r="G154" s="15" t="inlineStr">
        <is>
          <t>Liberação de dinheiro</t>
        </is>
      </c>
    </row>
    <row r="155">
      <c r="A155" s="15" t="inlineStr">
        <is>
          <t>Receita - Liberação de Crédito</t>
        </is>
      </c>
      <c r="B155" s="15" t="inlineStr">
        <is>
          <t>Liberação de Crédito (Studio)</t>
        </is>
      </c>
      <c r="C155" s="16" t="n">
        <v>148.08</v>
      </c>
      <c r="D155" s="17" t="n">
        <v>46064</v>
      </c>
      <c r="E155" s="15" t="inlineStr"/>
      <c r="F155" s="15" t="inlineStr">
        <is>
          <t>Recebido</t>
        </is>
      </c>
      <c r="G155" s="15" t="inlineStr">
        <is>
          <t>Liberação de dinheiro</t>
        </is>
      </c>
    </row>
    <row r="156">
      <c r="A156" s="15" t="inlineStr">
        <is>
          <t>Receita - Liberação de Crédito</t>
        </is>
      </c>
      <c r="B156" s="15" t="inlineStr">
        <is>
          <t>Liberação de Crédito (Studio)</t>
        </is>
      </c>
      <c r="C156" s="16" t="n">
        <v>1107</v>
      </c>
      <c r="D156" s="17" t="n">
        <v>46064</v>
      </c>
      <c r="E156" s="15" t="inlineStr"/>
      <c r="F156" s="15" t="inlineStr">
        <is>
          <t>Recebido</t>
        </is>
      </c>
      <c r="G156" s="15" t="inlineStr">
        <is>
          <t>Liberação de dinheiro</t>
        </is>
      </c>
    </row>
    <row r="157">
      <c r="A157" s="15" t="inlineStr">
        <is>
          <t>Receita - Liberação de Crédito</t>
        </is>
      </c>
      <c r="B157" s="15" t="inlineStr">
        <is>
          <t>Liberação de Crédito (Studio)</t>
        </is>
      </c>
      <c r="C157" s="16" t="n">
        <v>743.23</v>
      </c>
      <c r="D157" s="17" t="n">
        <v>46064</v>
      </c>
      <c r="E157" s="15" t="inlineStr"/>
      <c r="F157" s="15" t="inlineStr">
        <is>
          <t>Recebido</t>
        </is>
      </c>
      <c r="G157" s="15" t="inlineStr">
        <is>
          <t>Liberação de dinheiro</t>
        </is>
      </c>
    </row>
    <row r="158">
      <c r="A158" s="15" t="inlineStr">
        <is>
          <t>Receita - Liberação de Crédito</t>
        </is>
      </c>
      <c r="B158" s="15" t="inlineStr">
        <is>
          <t>Liberação de Crédito (Studio)</t>
        </is>
      </c>
      <c r="C158" s="16" t="n">
        <v>650.21</v>
      </c>
      <c r="D158" s="17" t="n">
        <v>46065</v>
      </c>
      <c r="E158" s="15" t="inlineStr"/>
      <c r="F158" s="15" t="inlineStr">
        <is>
          <t>Recebido</t>
        </is>
      </c>
      <c r="G158" s="15" t="inlineStr">
        <is>
          <t>Liberação de dinheiro</t>
        </is>
      </c>
    </row>
    <row r="159">
      <c r="A159" s="15" t="inlineStr">
        <is>
          <t>Receita - Liberação de Crédito</t>
        </is>
      </c>
      <c r="B159" s="15" t="inlineStr">
        <is>
          <t>Liberação de Crédito (Studio)</t>
        </is>
      </c>
      <c r="C159" s="16" t="n">
        <v>650.21</v>
      </c>
      <c r="D159" s="17" t="n">
        <v>46072</v>
      </c>
      <c r="E159" s="15" t="inlineStr"/>
      <c r="F159" s="15" t="inlineStr">
        <is>
          <t>Recebido</t>
        </is>
      </c>
      <c r="G159" s="15" t="inlineStr">
        <is>
          <t>Liberação de dinheiro</t>
        </is>
      </c>
    </row>
    <row r="160">
      <c r="A160" s="15" t="inlineStr">
        <is>
          <t>Receita - Liberação de Crédito</t>
        </is>
      </c>
      <c r="B160" s="15" t="inlineStr">
        <is>
          <t>Liberação de Crédito (Studio)</t>
        </is>
      </c>
      <c r="C160" s="16" t="n">
        <v>493.6</v>
      </c>
      <c r="D160" s="17" t="n">
        <v>46072</v>
      </c>
      <c r="E160" s="15" t="inlineStr"/>
      <c r="F160" s="15" t="inlineStr">
        <is>
          <t>Recebido</t>
        </is>
      </c>
      <c r="G160" s="15" t="inlineStr">
        <is>
          <t>Liberação de dinheiro</t>
        </is>
      </c>
    </row>
    <row r="161">
      <c r="A161" s="15" t="inlineStr">
        <is>
          <t>Receita - Liberação de Crédito</t>
        </is>
      </c>
      <c r="B161" s="15" t="inlineStr">
        <is>
          <t>Liberação de Crédito (Studio)</t>
        </is>
      </c>
      <c r="C161" s="16" t="n">
        <v>58.04</v>
      </c>
      <c r="D161" s="17" t="n">
        <v>46072</v>
      </c>
      <c r="E161" s="15" t="inlineStr"/>
      <c r="F161" s="15" t="inlineStr">
        <is>
          <t>Recebido</t>
        </is>
      </c>
      <c r="G161" s="15" t="inlineStr">
        <is>
          <t>Liberação de dinheiro</t>
        </is>
      </c>
    </row>
    <row r="162">
      <c r="A162" s="15" t="inlineStr">
        <is>
          <t>Receita - Liberação de Crédito</t>
        </is>
      </c>
      <c r="B162" s="15" t="inlineStr">
        <is>
          <t>Liberação de Crédito (Studio)</t>
        </is>
      </c>
      <c r="C162" s="16" t="n">
        <v>743.23</v>
      </c>
      <c r="D162" s="17" t="n">
        <v>46074</v>
      </c>
      <c r="E162" s="15" t="inlineStr"/>
      <c r="F162" s="15" t="inlineStr">
        <is>
          <t>Recebido</t>
        </is>
      </c>
      <c r="G162" s="15" t="inlineStr">
        <is>
          <t>Liberação de dinheiro</t>
        </is>
      </c>
    </row>
    <row r="163">
      <c r="A163" s="15" t="inlineStr">
        <is>
          <t>Receita - Liberação de Crédito</t>
        </is>
      </c>
      <c r="B163" s="15" t="inlineStr">
        <is>
          <t>Liberação de Crédito (Studio)</t>
        </is>
      </c>
      <c r="C163" s="16" t="n">
        <v>644.83</v>
      </c>
      <c r="D163" s="17" t="n">
        <v>46076</v>
      </c>
      <c r="E163" s="15" t="inlineStr"/>
      <c r="F163" s="15" t="inlineStr">
        <is>
          <t>Recebido</t>
        </is>
      </c>
      <c r="G163" s="15" t="inlineStr">
        <is>
          <t>Liberação de dinheiro</t>
        </is>
      </c>
    </row>
    <row r="164">
      <c r="A164" s="15" t="inlineStr">
        <is>
          <t>Receita - Liberação de Crédito</t>
        </is>
      </c>
      <c r="B164" s="15" t="inlineStr">
        <is>
          <t>Liberação de Crédito (Studio)</t>
        </is>
      </c>
      <c r="C164" s="16" t="n">
        <v>492.61</v>
      </c>
      <c r="D164" s="17" t="n">
        <v>46076</v>
      </c>
      <c r="E164" s="15" t="inlineStr"/>
      <c r="F164" s="15" t="inlineStr">
        <is>
          <t>Recebido</t>
        </is>
      </c>
      <c r="G164" s="15" t="inlineStr">
        <is>
          <t>Liberação de dinheiro</t>
        </is>
      </c>
    </row>
    <row r="165">
      <c r="A165" s="15" t="inlineStr">
        <is>
          <t>Receita - Liberação de Crédito</t>
        </is>
      </c>
      <c r="B165" s="15" t="inlineStr">
        <is>
          <t>Liberação de Crédito (Studio)</t>
        </is>
      </c>
      <c r="C165" s="16" t="n">
        <v>743.23</v>
      </c>
      <c r="D165" s="17" t="n">
        <v>46077</v>
      </c>
      <c r="E165" s="15" t="inlineStr"/>
      <c r="F165" s="15" t="inlineStr">
        <is>
          <t>Recebido</t>
        </is>
      </c>
      <c r="G165" s="15" t="inlineStr">
        <is>
          <t>Liberação de dinheiro</t>
        </is>
      </c>
    </row>
    <row r="166">
      <c r="A166" s="15" t="inlineStr">
        <is>
          <t>Receita - Liberação de Crédito</t>
        </is>
      </c>
      <c r="B166" s="15" t="inlineStr">
        <is>
          <t>Liberação de Crédito (Studio)</t>
        </is>
      </c>
      <c r="C166" s="16" t="n">
        <v>518.15</v>
      </c>
      <c r="D166" s="17" t="n">
        <v>46078</v>
      </c>
      <c r="E166" s="15" t="inlineStr"/>
      <c r="F166" s="15" t="inlineStr">
        <is>
          <t>Recebido</t>
        </is>
      </c>
      <c r="G166" s="15" t="inlineStr">
        <is>
          <t>Liberação de dinheiro</t>
        </is>
      </c>
    </row>
    <row r="167">
      <c r="A167" s="15" t="inlineStr">
        <is>
          <t>Receita - Liberação de Crédito</t>
        </is>
      </c>
      <c r="B167" s="15" t="inlineStr">
        <is>
          <t>Liberação de Crédito (Studio)</t>
        </is>
      </c>
      <c r="C167" s="16" t="n">
        <v>518.15</v>
      </c>
      <c r="D167" s="17" t="n">
        <v>46078</v>
      </c>
      <c r="E167" s="15" t="inlineStr"/>
      <c r="F167" s="15" t="inlineStr">
        <is>
          <t>Recebido</t>
        </is>
      </c>
      <c r="G167" s="15" t="inlineStr">
        <is>
          <t>Liberação de dinheiro</t>
        </is>
      </c>
    </row>
    <row r="168">
      <c r="A168" s="15" t="inlineStr">
        <is>
          <t>Receita - Liberação de Crédito</t>
        </is>
      </c>
      <c r="B168" s="15" t="inlineStr">
        <is>
          <t>Liberação de Crédito (Studio)</t>
        </is>
      </c>
      <c r="C168" s="16" t="n">
        <v>502.31</v>
      </c>
      <c r="D168" s="17" t="n">
        <v>46079</v>
      </c>
      <c r="E168" s="15" t="inlineStr"/>
      <c r="F168" s="15" t="inlineStr">
        <is>
          <t>Recebido</t>
        </is>
      </c>
      <c r="G168" s="15" t="inlineStr">
        <is>
          <t>Liberação de dinheiro</t>
        </is>
      </c>
    </row>
    <row r="169">
      <c r="A169" s="15" t="inlineStr">
        <is>
          <t>Receita - Liberação de Crédito</t>
        </is>
      </c>
      <c r="B169" s="15" t="inlineStr">
        <is>
          <t>Liberação de Crédito (Studio)</t>
        </is>
      </c>
      <c r="C169" s="16" t="n">
        <v>1197.4</v>
      </c>
      <c r="D169" s="17" t="n">
        <v>46079</v>
      </c>
      <c r="E169" s="15" t="inlineStr"/>
      <c r="F169" s="15" t="inlineStr">
        <is>
          <t>Recebido</t>
        </is>
      </c>
      <c r="G169" s="15" t="inlineStr">
        <is>
          <t>Liberação de dinheiro</t>
        </is>
      </c>
    </row>
    <row r="170">
      <c r="A170" s="18" t="inlineStr">
        <is>
          <t>Subtotal Receita - Liberação de Crédito</t>
        </is>
      </c>
      <c r="B170" s="19" t="n"/>
      <c r="C170" s="20">
        <f>SUM(C147:C169)</f>
        <v/>
      </c>
      <c r="D170" s="19" t="n"/>
      <c r="E170" s="19" t="n"/>
      <c r="F170" s="19" t="n"/>
      <c r="G170" s="19" t="n"/>
    </row>
    <row r="171">
      <c r="A171" s="21" t="inlineStr">
        <is>
          <t>Receita - Outros</t>
        </is>
      </c>
      <c r="B171" s="22" t="n"/>
      <c r="C171" s="22" t="n"/>
      <c r="D171" s="22" t="n"/>
      <c r="E171" s="22" t="n"/>
      <c r="F171" s="22" t="n"/>
      <c r="G171" s="22" t="n"/>
    </row>
    <row r="172">
      <c r="A172" s="15" t="inlineStr">
        <is>
          <t>Receita - Outros</t>
        </is>
      </c>
      <c r="B172" s="15" t="inlineStr">
        <is>
          <t>Receita não categorizada</t>
        </is>
      </c>
      <c r="C172" s="16" t="n">
        <v>661.74</v>
      </c>
      <c r="D172" s="17" t="n">
        <v>46058</v>
      </c>
      <c r="E172" s="15" t="inlineStr"/>
      <c r="F172" s="15" t="inlineStr">
        <is>
          <t>Recebido</t>
        </is>
      </c>
      <c r="G172" s="15" t="inlineStr">
        <is>
          <t>Pagamento com Código QR Pix Renato Colaço Trentin</t>
        </is>
      </c>
    </row>
    <row r="173">
      <c r="A173" s="15" t="inlineStr">
        <is>
          <t>Receita - Outros</t>
        </is>
      </c>
      <c r="B173" s="15" t="inlineStr">
        <is>
          <t>Receita não categorizada</t>
        </is>
      </c>
      <c r="C173" s="16" t="n">
        <v>990.12</v>
      </c>
      <c r="D173" s="17" t="n">
        <v>46059</v>
      </c>
      <c r="E173" s="15" t="inlineStr"/>
      <c r="F173" s="15" t="inlineStr">
        <is>
          <t>Recebido</t>
        </is>
      </c>
      <c r="G173" s="15" t="inlineStr">
        <is>
          <t>Pagamento com Código QR Pix LUIZA KLOSOWSKI</t>
        </is>
      </c>
    </row>
    <row r="174">
      <c r="A174" s="15" t="inlineStr">
        <is>
          <t>Receita - Outros</t>
        </is>
      </c>
      <c r="B174" s="15" t="inlineStr">
        <is>
          <t>Receita não categorizada</t>
        </is>
      </c>
      <c r="C174" s="16" t="n">
        <v>496.55</v>
      </c>
      <c r="D174" s="17" t="n">
        <v>46059</v>
      </c>
      <c r="E174" s="15" t="inlineStr"/>
      <c r="F174" s="15" t="inlineStr">
        <is>
          <t>Recebido</t>
        </is>
      </c>
      <c r="G174" s="15" t="inlineStr">
        <is>
          <t>Pagamento com Código QR Pix MARIA G AMBONI STADTLOBER</t>
        </is>
      </c>
    </row>
    <row r="175">
      <c r="A175" s="15" t="inlineStr">
        <is>
          <t>Receita - Outros</t>
        </is>
      </c>
      <c r="B175" s="15" t="inlineStr">
        <is>
          <t>Receita não categorizada</t>
        </is>
      </c>
      <c r="C175" s="16" t="n">
        <v>496.55</v>
      </c>
      <c r="D175" s="17" t="n">
        <v>46072</v>
      </c>
      <c r="E175" s="15" t="inlineStr"/>
      <c r="F175" s="15" t="inlineStr">
        <is>
          <t>Recebido</t>
        </is>
      </c>
      <c r="G175" s="15" t="inlineStr">
        <is>
          <t>Pagamento com Código QR Pix KATIA REGINA SASSO</t>
        </is>
      </c>
    </row>
    <row r="176">
      <c r="A176" s="15" t="inlineStr">
        <is>
          <t>Receita - Outros</t>
        </is>
      </c>
      <c r="B176" s="15" t="inlineStr">
        <is>
          <t>Receita não categorizada</t>
        </is>
      </c>
      <c r="C176" s="16" t="n">
        <v>497.55</v>
      </c>
      <c r="D176" s="17" t="n">
        <v>46076</v>
      </c>
      <c r="E176" s="15" t="inlineStr"/>
      <c r="F176" s="15" t="inlineStr">
        <is>
          <t>Recebido</t>
        </is>
      </c>
      <c r="G176" s="15" t="inlineStr">
        <is>
          <t>Pagamento com Código QR Pix ANA LUCIA RAVAGNANI BIROLI KLIMCZAK</t>
        </is>
      </c>
    </row>
    <row r="177">
      <c r="A177" s="15" t="inlineStr">
        <is>
          <t>Receita - Outros</t>
        </is>
      </c>
      <c r="B177" s="15" t="inlineStr">
        <is>
          <t>Receita não categorizada</t>
        </is>
      </c>
      <c r="C177" s="16" t="n">
        <v>567.21</v>
      </c>
      <c r="D177" s="17" t="n">
        <v>46080</v>
      </c>
      <c r="E177" s="15" t="inlineStr"/>
      <c r="F177" s="15" t="inlineStr">
        <is>
          <t>Recebido</t>
        </is>
      </c>
      <c r="G177" s="15" t="inlineStr">
        <is>
          <t>Pagamento com Código QR Pix ATENTOUR TRAVEL OPERADORA TURISTICA LTDA</t>
        </is>
      </c>
    </row>
    <row r="178">
      <c r="A178" s="18" t="inlineStr">
        <is>
          <t>Subtotal Receita - Outros</t>
        </is>
      </c>
      <c r="B178" s="19" t="n"/>
      <c r="C178" s="20">
        <f>SUM(C172:C177)</f>
        <v/>
      </c>
      <c r="D178" s="19" t="n"/>
      <c r="E178" s="19" t="n"/>
      <c r="F178" s="19" t="n"/>
      <c r="G178" s="19" t="n"/>
    </row>
    <row r="179">
      <c r="A179" s="12" t="inlineStr">
        <is>
          <t>Contas Fixas</t>
        </is>
      </c>
      <c r="B179" s="23" t="n"/>
      <c r="C179" s="23" t="n"/>
      <c r="D179" s="23" t="n"/>
      <c r="E179" s="23" t="n"/>
      <c r="F179" s="23" t="n"/>
      <c r="G179" s="23" t="n"/>
    </row>
    <row r="180">
      <c r="A180" s="15" t="inlineStr">
        <is>
          <t>Contas Fixas</t>
        </is>
      </c>
      <c r="B180" s="15" t="inlineStr">
        <is>
          <t>Luz (Copel)</t>
        </is>
      </c>
      <c r="C180" s="16" t="n">
        <v>-171.69</v>
      </c>
      <c r="D180" s="17" t="n">
        <v>46054</v>
      </c>
      <c r="E180" s="15" t="inlineStr">
        <is>
          <t>Copel Studio/00000023-comprovante-144394819886.pdf</t>
        </is>
      </c>
      <c r="F180" s="15" t="inlineStr">
        <is>
          <t>Pago</t>
        </is>
      </c>
      <c r="G180" s="15" t="inlineStr">
        <is>
          <t>Pagamento com QR Pix COPEL DISTRIBUICAO S.A.</t>
        </is>
      </c>
    </row>
    <row r="181">
      <c r="A181" s="15" t="inlineStr">
        <is>
          <t>Contas Fixas</t>
        </is>
      </c>
      <c r="B181" s="15" t="inlineStr">
        <is>
          <t>Luz (Copel)</t>
        </is>
      </c>
      <c r="C181" s="16" t="n">
        <v>-115.18</v>
      </c>
      <c r="D181" s="17" t="n">
        <v>46054</v>
      </c>
      <c r="E181" s="15" t="inlineStr">
        <is>
          <t>Copel Studio/00000023-comprovante-144394819886.pdf</t>
        </is>
      </c>
      <c r="F181" s="15" t="inlineStr">
        <is>
          <t>Pago</t>
        </is>
      </c>
      <c r="G181" s="15" t="inlineStr">
        <is>
          <t>Pagamento com QR Pix COPEL DISTRIBUICAO S.A.</t>
        </is>
      </c>
    </row>
    <row r="182">
      <c r="A182" s="15" t="inlineStr">
        <is>
          <t>Contas Fixas</t>
        </is>
      </c>
      <c r="B182" s="15" t="inlineStr">
        <is>
          <t>Internet / Telecom</t>
        </is>
      </c>
      <c r="C182" s="16" t="n">
        <v>-164.12</v>
      </c>
      <c r="D182" s="17" t="n">
        <v>46059</v>
      </c>
      <c r="E182" s="15" t="inlineStr">
        <is>
          <t>Internet Casa/00000036-comprovante-144507831195.pdf</t>
        </is>
      </c>
      <c r="F182" s="15" t="inlineStr">
        <is>
          <t>Pago</t>
        </is>
      </c>
      <c r="G182" s="15" t="inlineStr">
        <is>
          <t>Pagamento com QR Pix LIGGA TELECOMUNICACOES S.A.</t>
        </is>
      </c>
    </row>
    <row r="183">
      <c r="A183" s="15" t="inlineStr">
        <is>
          <t>Contas Fixas</t>
        </is>
      </c>
      <c r="B183" s="15" t="inlineStr">
        <is>
          <t>Luz (Copel)</t>
        </is>
      </c>
      <c r="C183" s="16" t="n">
        <v>-122.65</v>
      </c>
      <c r="D183" s="17" t="n">
        <v>46064</v>
      </c>
      <c r="E183" s="15" t="inlineStr">
        <is>
          <t>Copel Casa/00000030-PHOTO-2026-02-11-22-02-13.jpg</t>
        </is>
      </c>
      <c r="F183" s="15" t="inlineStr">
        <is>
          <t>Pago</t>
        </is>
      </c>
      <c r="G183" s="15" t="inlineStr">
        <is>
          <t>Pagamento com QR Pix COPEL DISTRIBUICAO S.A.</t>
        </is>
      </c>
    </row>
    <row r="184">
      <c r="A184" s="15" t="inlineStr">
        <is>
          <t>Contas Fixas</t>
        </is>
      </c>
      <c r="B184" s="15" t="inlineStr">
        <is>
          <t>Água (Sanepar)</t>
        </is>
      </c>
      <c r="C184" s="16" t="n">
        <v>-303.93</v>
      </c>
      <c r="D184" s="17" t="n">
        <v>46065</v>
      </c>
      <c r="E184" s="15" t="inlineStr">
        <is>
          <t>Sanepar Curitiba/00000027-comprovante-146026595860.pdf</t>
        </is>
      </c>
      <c r="F184" s="15" t="inlineStr">
        <is>
          <t>Pago</t>
        </is>
      </c>
      <c r="G184" s="15" t="inlineStr">
        <is>
          <t>Pagamento com QR Pix COMPANHIA DE SANEAMENTO DO PARANA SANEPAR</t>
        </is>
      </c>
    </row>
    <row r="185">
      <c r="A185" s="15" t="inlineStr">
        <is>
          <t>Contas Fixas</t>
        </is>
      </c>
      <c r="B185" s="15" t="inlineStr">
        <is>
          <t>Internet / Telecom</t>
        </is>
      </c>
      <c r="C185" s="16" t="n">
        <v>562.23</v>
      </c>
      <c r="D185" s="17" t="n">
        <v>46071</v>
      </c>
      <c r="E185" s="15" t="inlineStr"/>
      <c r="F185" s="15" t="inlineStr">
        <is>
          <t>Recebido</t>
        </is>
      </c>
      <c r="G185" s="15" t="inlineStr">
        <is>
          <t>Pagamento com Código QR Pix LUCIANA DE FATIMA LOURENCONI</t>
        </is>
      </c>
    </row>
    <row r="186">
      <c r="A186" s="15" t="inlineStr">
        <is>
          <t>Contas Fixas</t>
        </is>
      </c>
      <c r="B186" s="15" t="inlineStr">
        <is>
          <t>Internet / Telecom</t>
        </is>
      </c>
      <c r="C186" s="16" t="n">
        <v>-352.79</v>
      </c>
      <c r="D186" s="17" t="n">
        <v>46077</v>
      </c>
      <c r="E186" s="15" t="inlineStr"/>
      <c r="F186" s="15" t="inlineStr">
        <is>
          <t>Sem comprovante</t>
        </is>
      </c>
      <c r="G186" s="15" t="inlineStr">
        <is>
          <t>Pagamento com QR Pix Claro</t>
        </is>
      </c>
    </row>
    <row r="187">
      <c r="A187" s="15" t="inlineStr">
        <is>
          <t>Contas Fixas</t>
        </is>
      </c>
      <c r="B187" s="15" t="inlineStr">
        <is>
          <t>Hospedagem / Site</t>
        </is>
      </c>
      <c r="C187" s="16" t="n">
        <v>-45.28</v>
      </c>
      <c r="D187" s="17" t="n">
        <v>46077</v>
      </c>
      <c r="E187" s="15" t="inlineStr">
        <is>
          <t>Site/00000014-PHOTO-2026-02-24-18-03-01.jpg</t>
        </is>
      </c>
      <c r="F187" s="15" t="inlineStr">
        <is>
          <t>Pago</t>
        </is>
      </c>
      <c r="G187" s="15" t="inlineStr">
        <is>
          <t>Pagamento com QR Pix HOSTGATOR BRASIL LTDA.</t>
        </is>
      </c>
    </row>
    <row r="188">
      <c r="A188" s="18" t="inlineStr">
        <is>
          <t>Subtotal Contas Fixas</t>
        </is>
      </c>
      <c r="B188" s="19" t="n"/>
      <c r="C188" s="20">
        <f>SUM(C180:C187)</f>
        <v/>
      </c>
      <c r="D188" s="19" t="n"/>
      <c r="E188" s="19" t="n"/>
      <c r="F188" s="19" t="n"/>
      <c r="G188" s="19" t="n"/>
    </row>
    <row r="189">
      <c r="A189" s="12" t="inlineStr">
        <is>
          <t>Contas Variáveis</t>
        </is>
      </c>
      <c r="B189" s="23" t="n"/>
      <c r="C189" s="23" t="n"/>
      <c r="D189" s="23" t="n"/>
      <c r="E189" s="23" t="n"/>
      <c r="F189" s="23" t="n"/>
      <c r="G189" s="23" t="n"/>
    </row>
    <row r="190">
      <c r="A190" s="15" t="inlineStr">
        <is>
          <t>Contas Variáveis</t>
        </is>
      </c>
      <c r="B190" s="15" t="inlineStr">
        <is>
          <t>Compra Mercado Livre</t>
        </is>
      </c>
      <c r="C190" s="16" t="n">
        <v>-37</v>
      </c>
      <c r="D190" s="17" t="n">
        <v>46054</v>
      </c>
      <c r="E190" s="15" t="inlineStr"/>
      <c r="F190" s="15" t="inlineStr">
        <is>
          <t>Sem comprovante</t>
        </is>
      </c>
      <c r="G190" s="15" t="inlineStr">
        <is>
          <t>Compra de Apoio De Braço De Computador Girado Para Descanso De Pulso Cor Preto Mer...</t>
        </is>
      </c>
    </row>
    <row r="191">
      <c r="A191" s="15" t="inlineStr">
        <is>
          <t>Contas Variáveis</t>
        </is>
      </c>
      <c r="B191" s="15" t="inlineStr">
        <is>
          <t>Mercado</t>
        </is>
      </c>
      <c r="C191" s="16" t="n">
        <v>-39.9</v>
      </c>
      <c r="D191" s="17" t="n">
        <v>46056</v>
      </c>
      <c r="E191" s="15" t="inlineStr"/>
      <c r="F191" s="15" t="inlineStr">
        <is>
          <t>Sem comprovante</t>
        </is>
      </c>
      <c r="G191" s="15" t="inlineStr">
        <is>
          <t>Compra de Apoio De Braço De Computador Girado Para Descanso De Pulso Preto Mercado...</t>
        </is>
      </c>
    </row>
    <row r="192">
      <c r="A192" s="15" t="inlineStr">
        <is>
          <t>Contas Variáveis</t>
        </is>
      </c>
      <c r="B192" s="15" t="inlineStr">
        <is>
          <t>Google Ads / Google</t>
        </is>
      </c>
      <c r="C192" s="16" t="n">
        <v>-96.98999999999999</v>
      </c>
      <c r="D192" s="17" t="n">
        <v>46058</v>
      </c>
      <c r="E192" s="15" t="inlineStr"/>
      <c r="F192" s="15" t="inlineStr">
        <is>
          <t>Sem comprovante</t>
        </is>
      </c>
      <c r="G192" s="15" t="inlineStr">
        <is>
          <t>Pagamento GOOGLE BRASIL PAGAMENTOS LTDA.</t>
        </is>
      </c>
    </row>
    <row r="193">
      <c r="A193" s="15" t="inlineStr">
        <is>
          <t>Contas Variáveis</t>
        </is>
      </c>
      <c r="B193" s="15" t="inlineStr">
        <is>
          <t>iFood</t>
        </is>
      </c>
      <c r="C193" s="16" t="n">
        <v>-40.89</v>
      </c>
      <c r="D193" s="17" t="n">
        <v>46063</v>
      </c>
      <c r="E193" s="15" t="inlineStr"/>
      <c r="F193" s="15" t="inlineStr">
        <is>
          <t>Sem comprovante</t>
        </is>
      </c>
      <c r="G193" s="15" t="inlineStr">
        <is>
          <t>Pagamento com QR Pix IFOOD.COM AGENCIA DE RESTAURANTES ONLINE S.A.</t>
        </is>
      </c>
    </row>
    <row r="194">
      <c r="A194" s="15" t="inlineStr">
        <is>
          <t>Contas Variáveis</t>
        </is>
      </c>
      <c r="B194" s="15" t="inlineStr">
        <is>
          <t>iFood</t>
        </is>
      </c>
      <c r="C194" s="16" t="n">
        <v>-40.89</v>
      </c>
      <c r="D194" s="17" t="n">
        <v>46064</v>
      </c>
      <c r="E194" s="15" t="inlineStr"/>
      <c r="F194" s="15" t="inlineStr">
        <is>
          <t>Sem comprovante</t>
        </is>
      </c>
      <c r="G194" s="15" t="inlineStr">
        <is>
          <t>Pagamento com QR Pix IFOOD.COM AGENCIA DE RESTAURANTES ONLINE S.A.</t>
        </is>
      </c>
    </row>
    <row r="195">
      <c r="A195" s="15" t="inlineStr">
        <is>
          <t>Contas Variáveis</t>
        </is>
      </c>
      <c r="B195" s="15" t="inlineStr">
        <is>
          <t>iFood</t>
        </is>
      </c>
      <c r="C195" s="16" t="n">
        <v>-89.98999999999999</v>
      </c>
      <c r="D195" s="17" t="n">
        <v>46075</v>
      </c>
      <c r="E195" s="15" t="inlineStr"/>
      <c r="F195" s="15" t="inlineStr">
        <is>
          <t>Sem comprovante</t>
        </is>
      </c>
      <c r="G195" s="15" t="inlineStr">
        <is>
          <t>Pagamento com QR Pix IFOOD.COM AGENCIA DE RESTAURANTES ONLINE S.A.</t>
        </is>
      </c>
    </row>
    <row r="196">
      <c r="A196" s="18" t="inlineStr">
        <is>
          <t>Subtotal Contas Variáveis</t>
        </is>
      </c>
      <c r="B196" s="19" t="n"/>
      <c r="C196" s="20">
        <f>SUM(C190:C195)</f>
        <v/>
      </c>
      <c r="D196" s="19" t="n"/>
      <c r="E196" s="19" t="n"/>
      <c r="F196" s="19" t="n"/>
      <c r="G196" s="19" t="n"/>
    </row>
    <row r="197">
      <c r="A197" s="12" t="inlineStr">
        <is>
          <t>Pessoal</t>
        </is>
      </c>
      <c r="B197" s="23" t="n"/>
      <c r="C197" s="23" t="n"/>
      <c r="D197" s="23" t="n"/>
      <c r="E197" s="23" t="n"/>
      <c r="F197" s="23" t="n"/>
      <c r="G197" s="23" t="n"/>
    </row>
    <row r="198">
      <c r="A198" s="15" t="inlineStr">
        <is>
          <t>Pessoal</t>
        </is>
      </c>
      <c r="B198" s="15" t="inlineStr">
        <is>
          <t>Eliane</t>
        </is>
      </c>
      <c r="C198" s="16" t="n">
        <v>-1340</v>
      </c>
      <c r="D198" s="17" t="n">
        <v>46058</v>
      </c>
      <c r="E198" s="15" t="inlineStr"/>
      <c r="F198" s="15" t="inlineStr">
        <is>
          <t>Sem comprovante</t>
        </is>
      </c>
      <c r="G198" s="15" t="inlineStr">
        <is>
          <t>Pix enviado Eliane do Rocio de Lima</t>
        </is>
      </c>
    </row>
    <row r="199">
      <c r="A199" s="15" t="inlineStr">
        <is>
          <t>Pessoal</t>
        </is>
      </c>
      <c r="B199" s="15" t="inlineStr">
        <is>
          <t>Marco</t>
        </is>
      </c>
      <c r="C199" s="16" t="n">
        <v>-438.88</v>
      </c>
      <c r="D199" s="17" t="n">
        <v>46060</v>
      </c>
      <c r="E199" s="15" t="inlineStr"/>
      <c r="F199" s="15" t="inlineStr">
        <is>
          <t>Sem comprovante</t>
        </is>
      </c>
      <c r="G199" s="15" t="inlineStr">
        <is>
          <t>Pix enviado Marco Aurelio de Moura Leite</t>
        </is>
      </c>
    </row>
    <row r="200">
      <c r="A200" s="15" t="inlineStr">
        <is>
          <t>Pessoal</t>
        </is>
      </c>
      <c r="B200" s="15" t="inlineStr">
        <is>
          <t>Marco</t>
        </is>
      </c>
      <c r="C200" s="16" t="n">
        <v>-378.47</v>
      </c>
      <c r="D200" s="17" t="n">
        <v>46074</v>
      </c>
      <c r="E200" s="15" t="inlineStr"/>
      <c r="F200" s="15" t="inlineStr">
        <is>
          <t>Sem comprovante</t>
        </is>
      </c>
      <c r="G200" s="15" t="inlineStr">
        <is>
          <t>Pix enviado Marco Aurelio de Moura Leite</t>
        </is>
      </c>
    </row>
    <row r="201">
      <c r="A201" s="15" t="inlineStr">
        <is>
          <t>Pessoal</t>
        </is>
      </c>
      <c r="B201" s="15" t="inlineStr">
        <is>
          <t>Simone (Casa)</t>
        </is>
      </c>
      <c r="C201" s="16" t="n">
        <v>-250</v>
      </c>
      <c r="D201" s="17" t="n">
        <v>46077</v>
      </c>
      <c r="E201" s="15" t="inlineStr">
        <is>
          <t>Simone Casa/00000019-PHOTO-2026-02-24-09-43-37.jpg</t>
        </is>
      </c>
      <c r="F201" s="15" t="inlineStr">
        <is>
          <t>Pago</t>
        </is>
      </c>
      <c r="G201" s="15" t="inlineStr">
        <is>
          <t>Pix enviado Simone Muniz Martins de Moura</t>
        </is>
      </c>
    </row>
    <row r="202">
      <c r="A202" s="15" t="inlineStr">
        <is>
          <t>Pessoal</t>
        </is>
      </c>
      <c r="B202" s="15" t="inlineStr">
        <is>
          <t>Eliane</t>
        </is>
      </c>
      <c r="C202" s="16" t="n">
        <v>-136</v>
      </c>
      <c r="D202" s="17" t="n">
        <v>46078</v>
      </c>
      <c r="E202" s="15" t="inlineStr"/>
      <c r="F202" s="15" t="inlineStr">
        <is>
          <t>Sem comprovante</t>
        </is>
      </c>
      <c r="G202" s="15" t="inlineStr">
        <is>
          <t>Pix enviado Eliane do Rocio de Lima</t>
        </is>
      </c>
    </row>
    <row r="203">
      <c r="A203" s="15" t="inlineStr">
        <is>
          <t>Pessoal</t>
        </is>
      </c>
      <c r="B203" s="15" t="inlineStr">
        <is>
          <t>Analice</t>
        </is>
      </c>
      <c r="C203" s="16" t="n">
        <v>-700</v>
      </c>
      <c r="D203" s="17" t="n">
        <v>46080</v>
      </c>
      <c r="E203" s="15" t="inlineStr"/>
      <c r="F203" s="15" t="inlineStr">
        <is>
          <t>Sem comprovante</t>
        </is>
      </c>
      <c r="G203" s="15" t="inlineStr">
        <is>
          <t>Pix enviado Analice Souza Pinheiro</t>
        </is>
      </c>
    </row>
    <row r="204">
      <c r="A204" s="15" t="inlineStr">
        <is>
          <t>Pessoal</t>
        </is>
      </c>
      <c r="B204" s="15" t="inlineStr">
        <is>
          <t>Marco</t>
        </is>
      </c>
      <c r="C204" s="16" t="n">
        <v>-473.39</v>
      </c>
      <c r="D204" s="17" t="n">
        <v>46080</v>
      </c>
      <c r="E204" s="15" t="inlineStr"/>
      <c r="F204" s="15" t="inlineStr">
        <is>
          <t>Sem comprovante</t>
        </is>
      </c>
      <c r="G204" s="15" t="inlineStr">
        <is>
          <t>Pix enviado Marco Aurelio de Moura Leite</t>
        </is>
      </c>
    </row>
    <row r="205">
      <c r="A205" s="15" t="inlineStr">
        <is>
          <t>Pessoal</t>
        </is>
      </c>
      <c r="B205" s="15" t="inlineStr">
        <is>
          <t>Neemias</t>
        </is>
      </c>
      <c r="C205" s="16" t="n">
        <v>-330</v>
      </c>
      <c r="D205" s="17" t="n">
        <v>46080</v>
      </c>
      <c r="E205" s="15" t="inlineStr"/>
      <c r="F205" s="15" t="inlineStr">
        <is>
          <t>Sem comprovante</t>
        </is>
      </c>
      <c r="G205" s="15" t="inlineStr">
        <is>
          <t>Pix enviado Neemias Marques de Oliveira</t>
        </is>
      </c>
    </row>
    <row r="206">
      <c r="A206" s="18" t="inlineStr">
        <is>
          <t>Subtotal Pessoal</t>
        </is>
      </c>
      <c r="B206" s="19" t="n"/>
      <c r="C206" s="20">
        <f>SUM(C198:C205)</f>
        <v/>
      </c>
      <c r="D206" s="19" t="n"/>
      <c r="E206" s="19" t="n"/>
      <c r="F206" s="19" t="n"/>
      <c r="G206" s="19" t="n"/>
    </row>
    <row r="207">
      <c r="A207" s="12" t="inlineStr">
        <is>
          <t>Outros</t>
        </is>
      </c>
      <c r="B207" s="23" t="n"/>
      <c r="C207" s="23" t="n"/>
      <c r="D207" s="23" t="n"/>
      <c r="E207" s="23" t="n"/>
      <c r="F207" s="23" t="n"/>
      <c r="G207" s="23" t="n"/>
    </row>
    <row r="208">
      <c r="A208" s="15" t="inlineStr">
        <is>
          <t>Outros</t>
        </is>
      </c>
      <c r="B208" s="15" t="inlineStr">
        <is>
          <t>Pagamento Cartão Nubank</t>
        </is>
      </c>
      <c r="C208" s="16" t="n">
        <v>-3069.49</v>
      </c>
      <c r="D208" s="17" t="n">
        <v>46055</v>
      </c>
      <c r="E208" s="15" t="inlineStr"/>
      <c r="F208" s="15" t="inlineStr">
        <is>
          <t>Sem comprovante</t>
        </is>
      </c>
      <c r="G208" s="15" t="inlineStr">
        <is>
          <t>Pagamento com QR Pix NU PAGAMENTOS SA</t>
        </is>
      </c>
    </row>
    <row r="209">
      <c r="A209" s="15" t="inlineStr">
        <is>
          <t>Outros</t>
        </is>
      </c>
      <c r="B209" s="15" t="inlineStr">
        <is>
          <t>Pagamento Caixa</t>
        </is>
      </c>
      <c r="C209" s="16" t="n">
        <v>-1854.04</v>
      </c>
      <c r="D209" s="17" t="n">
        <v>46055</v>
      </c>
      <c r="E209" s="15" t="inlineStr"/>
      <c r="F209" s="15" t="inlineStr">
        <is>
          <t>Sem comprovante</t>
        </is>
      </c>
      <c r="G209" s="15" t="inlineStr">
        <is>
          <t>Pagamento de conta Caixa Econômica Federal</t>
        </is>
      </c>
    </row>
    <row r="210">
      <c r="A210" s="15" t="inlineStr">
        <is>
          <t>Outros</t>
        </is>
      </c>
      <c r="B210" s="15" t="inlineStr">
        <is>
          <t>Transferência Pix Enviada</t>
        </is>
      </c>
      <c r="C210" s="16" t="n">
        <v>-180</v>
      </c>
      <c r="D210" s="17" t="n">
        <v>46056</v>
      </c>
      <c r="E210" s="15" t="inlineStr"/>
      <c r="F210" s="15" t="inlineStr">
        <is>
          <t>Sem comprovante</t>
        </is>
      </c>
      <c r="G210" s="15" t="inlineStr">
        <is>
          <t>Transferência Pix enviada Rubens Alves dos Santos</t>
        </is>
      </c>
    </row>
    <row r="211">
      <c r="A211" s="15" t="inlineStr">
        <is>
          <t>Outros</t>
        </is>
      </c>
      <c r="B211" s="15" t="inlineStr">
        <is>
          <t>Não identificado</t>
        </is>
      </c>
      <c r="C211" s="16" t="n">
        <v>-1</v>
      </c>
      <c r="D211" s="17" t="n">
        <v>46057</v>
      </c>
      <c r="E211" s="15" t="inlineStr"/>
      <c r="F211" s="15" t="inlineStr">
        <is>
          <t>Sem comprovante</t>
        </is>
      </c>
      <c r="G211" s="15" t="inlineStr">
        <is>
          <t>Dinheiro reservado Invest_24</t>
        </is>
      </c>
    </row>
    <row r="212">
      <c r="A212" s="15" t="inlineStr">
        <is>
          <t>Outros</t>
        </is>
      </c>
      <c r="B212" s="15" t="inlineStr">
        <is>
          <t>Pagamento Caixa</t>
        </is>
      </c>
      <c r="C212" s="16" t="n">
        <v>-700.01</v>
      </c>
      <c r="D212" s="17" t="n">
        <v>46058</v>
      </c>
      <c r="E212" s="15" t="inlineStr"/>
      <c r="F212" s="15" t="inlineStr">
        <is>
          <t>Sem comprovante</t>
        </is>
      </c>
      <c r="G212" s="15" t="inlineStr">
        <is>
          <t>Pagamento de conta Caixa Econômica Federal</t>
        </is>
      </c>
    </row>
    <row r="213">
      <c r="A213" s="15" t="inlineStr">
        <is>
          <t>Outros</t>
        </is>
      </c>
      <c r="B213" s="15" t="inlineStr">
        <is>
          <t>Pagamento Stone</t>
        </is>
      </c>
      <c r="C213" s="16" t="n">
        <v>-99.90000000000001</v>
      </c>
      <c r="D213" s="17" t="n">
        <v>46058</v>
      </c>
      <c r="E213" s="15" t="inlineStr"/>
      <c r="F213" s="15" t="inlineStr">
        <is>
          <t>Sem comprovante</t>
        </is>
      </c>
      <c r="G213" s="15" t="inlineStr">
        <is>
          <t>Pagamento de conta Stone Pagamentos S.A.</t>
        </is>
      </c>
    </row>
    <row r="214">
      <c r="A214" s="15" t="inlineStr">
        <is>
          <t>Outros</t>
        </is>
      </c>
      <c r="B214" s="15" t="inlineStr">
        <is>
          <t>Pagamento Cartão Carrefour</t>
        </is>
      </c>
      <c r="C214" s="16" t="n">
        <v>-8856.559999999999</v>
      </c>
      <c r="D214" s="17" t="n">
        <v>46060</v>
      </c>
      <c r="E214" s="15" t="inlineStr"/>
      <c r="F214" s="15" t="inlineStr">
        <is>
          <t>Sem comprovante</t>
        </is>
      </c>
      <c r="G214" s="15" t="inlineStr">
        <is>
          <t>Pagamento com QR Pix CSF</t>
        </is>
      </c>
    </row>
    <row r="215">
      <c r="A215" s="15" t="inlineStr">
        <is>
          <t>Outros</t>
        </is>
      </c>
      <c r="B215" s="15" t="inlineStr">
        <is>
          <t>Compras Diversas</t>
        </is>
      </c>
      <c r="C215" s="16" t="n">
        <v>-30</v>
      </c>
      <c r="D215" s="17" t="n">
        <v>46063</v>
      </c>
      <c r="E215" s="15" t="inlineStr"/>
      <c r="F215" s="15" t="inlineStr">
        <is>
          <t>Sem comprovante</t>
        </is>
      </c>
      <c r="G215" s="15" t="inlineStr">
        <is>
          <t>Pagamento com QR Pix MULTIDISPLAY C E S T LTDA</t>
        </is>
      </c>
    </row>
    <row r="216">
      <c r="A216" s="15" t="inlineStr">
        <is>
          <t>Outros</t>
        </is>
      </c>
      <c r="B216" s="15" t="inlineStr">
        <is>
          <t>Consórcio</t>
        </is>
      </c>
      <c r="C216" s="16" t="n">
        <v>-358.18</v>
      </c>
      <c r="D216" s="17" t="n">
        <v>46064</v>
      </c>
      <c r="E216" s="15" t="inlineStr"/>
      <c r="F216" s="15" t="inlineStr">
        <is>
          <t>Sem comprovante</t>
        </is>
      </c>
      <c r="G216" s="15" t="inlineStr">
        <is>
          <t>Pagamento com QR Pix CONSORCIO AXS ENERGIA UNIDADE 06</t>
        </is>
      </c>
    </row>
    <row r="217">
      <c r="A217" s="15" t="inlineStr">
        <is>
          <t>Outros</t>
        </is>
      </c>
      <c r="B217" s="15" t="inlineStr">
        <is>
          <t>Transferência Pix Enviada</t>
        </is>
      </c>
      <c r="C217" s="16" t="n">
        <v>-50</v>
      </c>
      <c r="D217" s="17" t="n">
        <v>46064</v>
      </c>
      <c r="E217" s="15" t="inlineStr"/>
      <c r="F217" s="15" t="inlineStr">
        <is>
          <t>Sem comprovante</t>
        </is>
      </c>
      <c r="G217" s="15" t="inlineStr">
        <is>
          <t>Pix enviado Ernesto Andrey Linhares</t>
        </is>
      </c>
    </row>
    <row r="218">
      <c r="A218" s="15" t="inlineStr">
        <is>
          <t>Outros</t>
        </is>
      </c>
      <c r="B218" s="15" t="inlineStr">
        <is>
          <t>Pagamento Cartão Bradesco</t>
        </is>
      </c>
      <c r="C218" s="16" t="n">
        <v>-122.23</v>
      </c>
      <c r="D218" s="17" t="n">
        <v>46076</v>
      </c>
      <c r="E218" s="15" t="inlineStr"/>
      <c r="F218" s="15" t="inlineStr">
        <is>
          <t>Sem comprovante</t>
        </is>
      </c>
      <c r="G218" s="15" t="inlineStr">
        <is>
          <t>Pagamento de conta Banco Bradesco S.A.</t>
        </is>
      </c>
    </row>
    <row r="219">
      <c r="A219" s="15" t="inlineStr">
        <is>
          <t>Outros</t>
        </is>
      </c>
      <c r="B219" s="15" t="inlineStr">
        <is>
          <t>Serviços Online / Domínio</t>
        </is>
      </c>
      <c r="C219" s="16" t="n">
        <v>-40</v>
      </c>
      <c r="D219" s="17" t="n">
        <v>46077</v>
      </c>
      <c r="E219" s="15" t="inlineStr"/>
      <c r="F219" s="15" t="inlineStr">
        <is>
          <t>Sem comprovante</t>
        </is>
      </c>
      <c r="G219" s="15" t="inlineStr">
        <is>
          <t>Pagamento com QR Pix NUCLEO DE INFORMACAO E COORDENACAO DO PONTO BR - NIC .BR</t>
        </is>
      </c>
    </row>
    <row r="220">
      <c r="A220" s="15" t="inlineStr">
        <is>
          <t>Outros</t>
        </is>
      </c>
      <c r="B220" s="15" t="inlineStr">
        <is>
          <t>Pix recebido cliente Studio</t>
        </is>
      </c>
      <c r="C220" s="16" t="n">
        <v>59.71</v>
      </c>
      <c r="D220" s="17" t="n">
        <v>46078</v>
      </c>
      <c r="E220" s="15" t="inlineStr"/>
      <c r="F220" s="15" t="inlineStr">
        <is>
          <t>Recebido</t>
        </is>
      </c>
      <c r="G220" s="15" t="inlineStr">
        <is>
          <t>Pagamento com Código QR Pix SOULI TEREZINHA BASTOS DE BARROS</t>
        </is>
      </c>
    </row>
    <row r="221">
      <c r="A221" s="15" t="inlineStr">
        <is>
          <t>Outros</t>
        </is>
      </c>
      <c r="B221" s="15" t="inlineStr">
        <is>
          <t>Transferência Pix Enviada</t>
        </is>
      </c>
      <c r="C221" s="16" t="n">
        <v>-596</v>
      </c>
      <c r="D221" s="17" t="n">
        <v>46079</v>
      </c>
      <c r="E221" s="15" t="inlineStr"/>
      <c r="F221" s="15" t="inlineStr">
        <is>
          <t>Sem comprovante</t>
        </is>
      </c>
      <c r="G221" s="15" t="inlineStr">
        <is>
          <t>Pix enviado Leonardo Munhoz Lucio</t>
        </is>
      </c>
    </row>
    <row r="222">
      <c r="A222" s="15" t="inlineStr">
        <is>
          <t>Outros</t>
        </is>
      </c>
      <c r="B222" s="15" t="inlineStr">
        <is>
          <t>Transferência Pix Enviada</t>
        </is>
      </c>
      <c r="C222" s="16" t="n">
        <v>-300</v>
      </c>
      <c r="D222" s="17" t="n">
        <v>46080</v>
      </c>
      <c r="E222" s="15" t="inlineStr"/>
      <c r="F222" s="15" t="inlineStr">
        <is>
          <t>Sem comprovante</t>
        </is>
      </c>
      <c r="G222" s="15" t="inlineStr">
        <is>
          <t>Pix enviado Alana Mariana Miranda</t>
        </is>
      </c>
    </row>
    <row r="223">
      <c r="A223" s="18" t="inlineStr">
        <is>
          <t>Subtotal Outros</t>
        </is>
      </c>
      <c r="B223" s="19" t="n"/>
      <c r="C223" s="20">
        <f>SUM(C208:C222)</f>
        <v/>
      </c>
      <c r="D223" s="19" t="n"/>
      <c r="E223" s="19" t="n"/>
      <c r="F223" s="19" t="n"/>
      <c r="G223" s="19" t="n"/>
    </row>
    <row r="224">
      <c r="A224" s="12" t="inlineStr">
        <is>
          <t>Transferência - Bruno (própria)</t>
        </is>
      </c>
      <c r="B224" s="23" t="n"/>
      <c r="C224" s="23" t="n"/>
      <c r="D224" s="23" t="n"/>
      <c r="E224" s="23" t="n"/>
      <c r="F224" s="23" t="n"/>
      <c r="G224" s="23" t="n"/>
    </row>
    <row r="225">
      <c r="A225" s="15" t="inlineStr">
        <is>
          <t>Transferência - Bruno (própria)</t>
        </is>
      </c>
      <c r="B225" s="15" t="inlineStr">
        <is>
          <t>Pix Bruno→Bruno (entre contas próprias)</t>
        </is>
      </c>
      <c r="C225" s="16" t="n">
        <v>-150</v>
      </c>
      <c r="D225" s="17" t="n">
        <v>46059</v>
      </c>
      <c r="E225" s="15" t="inlineStr"/>
      <c r="F225" s="15" t="inlineStr">
        <is>
          <t>Sem comprovante</t>
        </is>
      </c>
      <c r="G225" s="15" t="inlineStr">
        <is>
          <t>Pix enviado Bruno Porto Seus</t>
        </is>
      </c>
    </row>
    <row r="226">
      <c r="A226" s="15" t="inlineStr">
        <is>
          <t>Transferência - Bruno (própria)</t>
        </is>
      </c>
      <c r="B226" s="15" t="inlineStr">
        <is>
          <t>Pix Bruno→Bruno (entre contas próprias)</t>
        </is>
      </c>
      <c r="C226" s="16" t="n">
        <v>-500</v>
      </c>
      <c r="D226" s="17" t="n">
        <v>46064</v>
      </c>
      <c r="E226" s="15" t="inlineStr"/>
      <c r="F226" s="15" t="inlineStr">
        <is>
          <t>Sem comprovante</t>
        </is>
      </c>
      <c r="G226" s="15" t="inlineStr">
        <is>
          <t>Pix enviado Bruno Porto Seus</t>
        </is>
      </c>
    </row>
    <row r="227">
      <c r="A227" s="15" t="inlineStr">
        <is>
          <t>Transferência - Bruno (própria)</t>
        </is>
      </c>
      <c r="B227" s="15" t="inlineStr">
        <is>
          <t>Pix Bruno→Bruno (entre contas próprias)</t>
        </is>
      </c>
      <c r="C227" s="16" t="n">
        <v>-50</v>
      </c>
      <c r="D227" s="17" t="n">
        <v>46064</v>
      </c>
      <c r="E227" s="15" t="inlineStr"/>
      <c r="F227" s="15" t="inlineStr">
        <is>
          <t>Sem comprovante</t>
        </is>
      </c>
      <c r="G227" s="15" t="inlineStr">
        <is>
          <t>Pix enviado Bruno Porto Seus</t>
        </is>
      </c>
    </row>
    <row r="228">
      <c r="A228" s="15" t="inlineStr">
        <is>
          <t>Transferência - Bruno (própria)</t>
        </is>
      </c>
      <c r="B228" s="15" t="inlineStr">
        <is>
          <t>Pix Bruno→Bruno (entre contas próprias)</t>
        </is>
      </c>
      <c r="C228" s="16" t="n">
        <v>-200</v>
      </c>
      <c r="D228" s="17" t="n">
        <v>46065</v>
      </c>
      <c r="E228" s="15" t="inlineStr"/>
      <c r="F228" s="15" t="inlineStr">
        <is>
          <t>Sem comprovante</t>
        </is>
      </c>
      <c r="G228" s="15" t="inlineStr">
        <is>
          <t>Pix enviado Bruno Porto Seus</t>
        </is>
      </c>
    </row>
    <row r="229">
      <c r="A229" s="15" t="inlineStr">
        <is>
          <t>Transferência - Bruno (própria)</t>
        </is>
      </c>
      <c r="B229" s="15" t="inlineStr">
        <is>
          <t>Pix Bruno→Bruno (entre contas próprias)</t>
        </is>
      </c>
      <c r="C229" s="16" t="n">
        <v>-500</v>
      </c>
      <c r="D229" s="17" t="n">
        <v>46066</v>
      </c>
      <c r="E229" s="15" t="inlineStr"/>
      <c r="F229" s="15" t="inlineStr">
        <is>
          <t>Sem comprovante</t>
        </is>
      </c>
      <c r="G229" s="15" t="inlineStr">
        <is>
          <t>Pix enviado Bruno Porto Seus</t>
        </is>
      </c>
    </row>
    <row r="230">
      <c r="A230" s="15" t="inlineStr">
        <is>
          <t>Transferência - Bruno (própria)</t>
        </is>
      </c>
      <c r="B230" s="15" t="inlineStr">
        <is>
          <t>Pix Bruno→Bruno (entre contas próprias)</t>
        </is>
      </c>
      <c r="C230" s="16" t="n">
        <v>-500</v>
      </c>
      <c r="D230" s="17" t="n">
        <v>46066</v>
      </c>
      <c r="E230" s="15" t="inlineStr"/>
      <c r="F230" s="15" t="inlineStr">
        <is>
          <t>Sem comprovante</t>
        </is>
      </c>
      <c r="G230" s="15" t="inlineStr">
        <is>
          <t>Pix enviado Bruno Porto Seus</t>
        </is>
      </c>
    </row>
    <row r="231">
      <c r="A231" s="15" t="inlineStr">
        <is>
          <t>Transferência - Bruno (própria)</t>
        </is>
      </c>
      <c r="B231" s="15" t="inlineStr">
        <is>
          <t>Pix Bruno→Bruno (entre contas próprias)</t>
        </is>
      </c>
      <c r="C231" s="16" t="n">
        <v>-200</v>
      </c>
      <c r="D231" s="17" t="n">
        <v>46073</v>
      </c>
      <c r="E231" s="15" t="inlineStr"/>
      <c r="F231" s="15" t="inlineStr">
        <is>
          <t>Sem comprovante</t>
        </is>
      </c>
      <c r="G231" s="15" t="inlineStr">
        <is>
          <t>Pix enviado Bruno Porto Seus</t>
        </is>
      </c>
    </row>
    <row r="232">
      <c r="A232" s="15" t="inlineStr">
        <is>
          <t>Transferência - Bruno (própria)</t>
        </is>
      </c>
      <c r="B232" s="15" t="inlineStr">
        <is>
          <t>Pix Bruno→Bruno (entre contas próprias)</t>
        </is>
      </c>
      <c r="C232" s="16" t="n">
        <v>-300</v>
      </c>
      <c r="D232" s="17" t="n">
        <v>46074</v>
      </c>
      <c r="E232" s="15" t="inlineStr"/>
      <c r="F232" s="15" t="inlineStr">
        <is>
          <t>Sem comprovante</t>
        </is>
      </c>
      <c r="G232" s="15" t="inlineStr">
        <is>
          <t>Pix enviado Bruno Porto Seus</t>
        </is>
      </c>
    </row>
    <row r="233">
      <c r="A233" s="15" t="inlineStr">
        <is>
          <t>Transferência - Bruno (própria)</t>
        </is>
      </c>
      <c r="B233" s="15" t="inlineStr">
        <is>
          <t>Pix Bruno→Bruno (entre contas próprias)</t>
        </is>
      </c>
      <c r="C233" s="16" t="n">
        <v>-2000</v>
      </c>
      <c r="D233" s="17" t="n">
        <v>46077</v>
      </c>
      <c r="E233" s="15" t="inlineStr"/>
      <c r="F233" s="15" t="inlineStr">
        <is>
          <t>Sem comprovante</t>
        </is>
      </c>
      <c r="G233" s="15" t="inlineStr">
        <is>
          <t>Pix enviado Bruno Porto Seus</t>
        </is>
      </c>
    </row>
    <row r="234">
      <c r="A234" s="15" t="inlineStr">
        <is>
          <t>Transferência - Bruno (própria)</t>
        </is>
      </c>
      <c r="B234" s="15" t="inlineStr">
        <is>
          <t>Pix Bruno→Bruno (entre contas próprias)</t>
        </is>
      </c>
      <c r="C234" s="16" t="n">
        <v>-500</v>
      </c>
      <c r="D234" s="17" t="n">
        <v>46080</v>
      </c>
      <c r="E234" s="15" t="inlineStr"/>
      <c r="F234" s="15" t="inlineStr">
        <is>
          <t>Sem comprovante</t>
        </is>
      </c>
      <c r="G234" s="15" t="inlineStr">
        <is>
          <t>Pix enviado Bruno Porto Seus</t>
        </is>
      </c>
    </row>
    <row r="235">
      <c r="A235" s="18" t="inlineStr">
        <is>
          <t>Subtotal Transferência - Bruno (própria)</t>
        </is>
      </c>
      <c r="B235" s="19" t="n"/>
      <c r="C235" s="20">
        <f>SUM(C225:C234)</f>
        <v/>
      </c>
      <c r="D235" s="19" t="n"/>
      <c r="E235" s="19" t="n"/>
      <c r="F235" s="19" t="n"/>
      <c r="G235" s="19" t="n"/>
    </row>
    <row r="236">
      <c r="A236" s="12" t="inlineStr">
        <is>
          <t>Transferência - Denise</t>
        </is>
      </c>
      <c r="B236" s="23" t="n"/>
      <c r="C236" s="23" t="n"/>
      <c r="D236" s="23" t="n"/>
      <c r="E236" s="23" t="n"/>
      <c r="F236" s="23" t="n"/>
      <c r="G236" s="23" t="n"/>
    </row>
    <row r="237">
      <c r="A237" s="15" t="inlineStr">
        <is>
          <t>Transferência - Denise</t>
        </is>
      </c>
      <c r="B237" s="15" t="inlineStr">
        <is>
          <t>Pix Bruno→Denise</t>
        </is>
      </c>
      <c r="C237" s="16" t="n">
        <v>-300</v>
      </c>
      <c r="D237" s="17" t="n">
        <v>46058</v>
      </c>
      <c r="E237" s="15" t="inlineStr"/>
      <c r="F237" s="15" t="inlineStr">
        <is>
          <t>Sem comprovante</t>
        </is>
      </c>
      <c r="G237" s="15" t="inlineStr">
        <is>
          <t>Pix enviado Denise De Paula</t>
        </is>
      </c>
    </row>
    <row r="238">
      <c r="A238" s="18" t="inlineStr">
        <is>
          <t>Subtotal Transferência - Denise</t>
        </is>
      </c>
      <c r="B238" s="19" t="n"/>
      <c r="C238" s="20">
        <f>SUM(C237:C237)</f>
        <v/>
      </c>
      <c r="D238" s="19" t="n"/>
      <c r="E238" s="19" t="n"/>
      <c r="F238" s="19" t="n"/>
      <c r="G238" s="19" t="n"/>
    </row>
    <row r="239">
      <c r="A239" s="6" t="inlineStr">
        <is>
          <t>TOTAL DESPESAS PAGAS</t>
        </is>
      </c>
      <c r="C239" s="24">
        <f>C188+C196+C206+C223</f>
        <v/>
      </c>
    </row>
    <row r="240">
      <c r="A240" s="25" t="inlineStr">
        <is>
          <t>TOTAL RECEITAS</t>
        </is>
      </c>
      <c r="C240" s="26">
        <f>C142+C145+C170+C178</f>
        <v/>
      </c>
    </row>
    <row r="241">
      <c r="A241" s="27" t="inlineStr">
        <is>
          <t xml:space="preserve">  ↳ Midialike (separado)</t>
        </is>
      </c>
      <c r="C241" s="28">
        <f>C142</f>
        <v/>
      </c>
    </row>
    <row r="242">
      <c r="A242" s="27" t="inlineStr">
        <is>
          <t xml:space="preserve">  ↳ Denise / Salão (separado)</t>
        </is>
      </c>
      <c r="C242" s="28">
        <f>C145</f>
        <v/>
      </c>
    </row>
    <row r="243">
      <c r="A243" s="2" t="inlineStr">
        <is>
          <t>SALDO LÍQUIDO DO MÊS</t>
        </is>
      </c>
      <c r="C243" s="5">
        <f>C142+C145+C170+C178+C188+C196+C206+C223</f>
        <v/>
      </c>
    </row>
    <row r="245">
      <c r="A245" s="11" t="inlineStr">
        <is>
          <t>Março/2026</t>
        </is>
      </c>
    </row>
    <row r="246">
      <c r="A246" s="12" t="inlineStr">
        <is>
          <t>Categoria</t>
        </is>
      </c>
      <c r="B246" s="12" t="inlineStr">
        <is>
          <t>Conta / Despesa</t>
        </is>
      </c>
      <c r="C246" s="12" t="inlineStr">
        <is>
          <t>Valor</t>
        </is>
      </c>
      <c r="D246" s="12" t="inlineStr">
        <is>
          <t>Data de Pagamento</t>
        </is>
      </c>
      <c r="E246" s="12" t="inlineStr">
        <is>
          <t>Recibo / Comprovante</t>
        </is>
      </c>
      <c r="F246" s="12" t="inlineStr">
        <is>
          <t>Status</t>
        </is>
      </c>
      <c r="G246" s="12" t="inlineStr">
        <is>
          <t>Observações</t>
        </is>
      </c>
    </row>
    <row r="247">
      <c r="A247" s="13" t="inlineStr">
        <is>
          <t>Receita - Midialike</t>
        </is>
      </c>
      <c r="B247" s="14" t="n"/>
      <c r="C247" s="14" t="n"/>
      <c r="D247" s="14" t="n"/>
      <c r="E247" s="14" t="n"/>
      <c r="F247" s="14" t="n"/>
      <c r="G247" s="14" t="n"/>
    </row>
    <row r="248">
      <c r="A248" s="15" t="inlineStr">
        <is>
          <t>Receita - Midialike</t>
        </is>
      </c>
      <c r="B248" s="15" t="inlineStr">
        <is>
          <t>Depósito Midialike</t>
        </is>
      </c>
      <c r="C248" s="16" t="n">
        <v>2000</v>
      </c>
      <c r="D248" s="17" t="n">
        <v>46088</v>
      </c>
      <c r="E248" s="15" t="inlineStr"/>
      <c r="F248" s="15" t="inlineStr">
        <is>
          <t>Recebido</t>
        </is>
      </c>
      <c r="G248" s="15" t="inlineStr">
        <is>
          <t>Pix recebido MIDIA LIKE LTDA</t>
        </is>
      </c>
    </row>
    <row r="249">
      <c r="A249" s="15" t="inlineStr">
        <is>
          <t>Receita - Midialike</t>
        </is>
      </c>
      <c r="B249" s="15" t="inlineStr">
        <is>
          <t>Depósito Midialike</t>
        </is>
      </c>
      <c r="C249" s="16" t="n">
        <v>500</v>
      </c>
      <c r="D249" s="17" t="n">
        <v>46088</v>
      </c>
      <c r="E249" s="15" t="inlineStr"/>
      <c r="F249" s="15" t="inlineStr">
        <is>
          <t>Recebido</t>
        </is>
      </c>
      <c r="G249" s="15" t="inlineStr">
        <is>
          <t>Transferência recebida pelo Pix - MIDIA LIKE LTDA - 17.930.007/0001-05 - BCO C6 S.A. (0336) Agência: 1 Conta: 31709544-7</t>
        </is>
      </c>
    </row>
    <row r="250">
      <c r="A250" s="15" t="inlineStr">
        <is>
          <t>Receita - Midialike</t>
        </is>
      </c>
      <c r="B250" s="15" t="inlineStr">
        <is>
          <t>Depósito Midialike</t>
        </is>
      </c>
      <c r="C250" s="16" t="n">
        <v>5800</v>
      </c>
      <c r="D250" s="17" t="n">
        <v>46091</v>
      </c>
      <c r="E250" s="15" t="inlineStr"/>
      <c r="F250" s="15" t="inlineStr">
        <is>
          <t>Recebido</t>
        </is>
      </c>
      <c r="G250" s="15" t="inlineStr">
        <is>
          <t>Pix recebido MIDIA LIKE LTDA</t>
        </is>
      </c>
    </row>
    <row r="251">
      <c r="A251" s="18" t="inlineStr">
        <is>
          <t>Subtotal Receita - Midialike</t>
        </is>
      </c>
      <c r="B251" s="19" t="n"/>
      <c r="C251" s="20">
        <f>SUM(C248:C250)</f>
        <v/>
      </c>
      <c r="D251" s="19" t="n"/>
      <c r="E251" s="19" t="n"/>
      <c r="F251" s="19" t="n"/>
      <c r="G251" s="19" t="n"/>
    </row>
    <row r="252">
      <c r="A252" s="21" t="inlineStr">
        <is>
          <t>Receita - Denise (Salão)</t>
        </is>
      </c>
      <c r="B252" s="22" t="n"/>
      <c r="C252" s="22" t="n"/>
      <c r="D252" s="22" t="n"/>
      <c r="E252" s="22" t="n"/>
      <c r="F252" s="22" t="n"/>
      <c r="G252" s="22" t="n"/>
    </row>
    <row r="253">
      <c r="A253" s="15" t="inlineStr">
        <is>
          <t>Receita - Denise (Salão)</t>
        </is>
      </c>
      <c r="B253" s="15" t="inlineStr">
        <is>
          <t>Depósito recebido de Denise / Salão</t>
        </is>
      </c>
      <c r="C253" s="16" t="n">
        <v>200</v>
      </c>
      <c r="D253" s="17" t="n">
        <v>46086</v>
      </c>
      <c r="E253" s="15" t="inlineStr"/>
      <c r="F253" s="15" t="inlineStr">
        <is>
          <t>Recebido</t>
        </is>
      </c>
      <c r="G253" s="15" t="inlineStr">
        <is>
          <t>Transferência recebida pelo Pix - DENISE DE PAULA CENTRO DE ESTETICA LTDA - 05.823.454/0001-86 - MERCADO PAGO IP LTDA. (0323) Agência: 1 Conta: 8804533771-0</t>
        </is>
      </c>
    </row>
    <row r="254">
      <c r="A254" s="15" t="inlineStr">
        <is>
          <t>Receita - Denise (Salão)</t>
        </is>
      </c>
      <c r="B254" s="15" t="inlineStr">
        <is>
          <t>Depósito recebido de Denise / Salão</t>
        </is>
      </c>
      <c r="C254" s="16" t="n">
        <v>300</v>
      </c>
      <c r="D254" s="17" t="n">
        <v>46090</v>
      </c>
      <c r="E254" s="15" t="inlineStr"/>
      <c r="F254" s="15" t="inlineStr">
        <is>
          <t>Recebido</t>
        </is>
      </c>
      <c r="G254" s="15" t="inlineStr">
        <is>
          <t>Transferência recebida pelo Pix - DENISE DE PAULA CENTRO DE ESTETICA LTDA - 05.823.454/0001-86 - MERCADO PAGO IP LTDA. (0323) Agência: 1 Conta: 8804533771-0</t>
        </is>
      </c>
    </row>
    <row r="255">
      <c r="A255" s="15" t="inlineStr">
        <is>
          <t>Receita - Denise (Salão)</t>
        </is>
      </c>
      <c r="B255" s="15" t="inlineStr">
        <is>
          <t>Depósito recebido de Denise / Salão</t>
        </is>
      </c>
      <c r="C255" s="16" t="n">
        <v>240</v>
      </c>
      <c r="D255" s="17" t="n">
        <v>46091</v>
      </c>
      <c r="E255" s="15" t="inlineStr"/>
      <c r="F255" s="15" t="inlineStr">
        <is>
          <t>Recebido</t>
        </is>
      </c>
      <c r="G255" s="15" t="inlineStr">
        <is>
          <t>Transferência recebida pelo Pix - DENISE DE PAULA CENTRO DE ESTETICA LTDA - 05.823.454/0001-86 - MERCADO PAGO IP LTDA. (0323) Agência: 1 Conta: 8804533771-0</t>
        </is>
      </c>
    </row>
    <row r="256">
      <c r="A256" s="15" t="inlineStr">
        <is>
          <t>Receita - Denise (Salão)</t>
        </is>
      </c>
      <c r="B256" s="15" t="inlineStr">
        <is>
          <t>Depósito recebido de Denise / Salão</t>
        </is>
      </c>
      <c r="C256" s="16" t="n">
        <v>350</v>
      </c>
      <c r="D256" s="17" t="n">
        <v>46091</v>
      </c>
      <c r="E256" s="15" t="inlineStr"/>
      <c r="F256" s="15" t="inlineStr">
        <is>
          <t>Recebido</t>
        </is>
      </c>
      <c r="G256" s="15" t="inlineStr">
        <is>
          <t>Transferência recebida pelo Pix - DENISE DE PAULA CENTRO DE ESTETICA LTDA - 05.823.454/0001-86 - MERCADO PAGO IP LTDA. (0323) Agência: 1 Conta: 8804533771-0</t>
        </is>
      </c>
    </row>
    <row r="257">
      <c r="A257" s="15" t="inlineStr">
        <is>
          <t>Receita - Denise (Salão)</t>
        </is>
      </c>
      <c r="B257" s="15" t="inlineStr">
        <is>
          <t>Depósito recebido de Denise / Salão</t>
        </is>
      </c>
      <c r="C257" s="16" t="n">
        <v>6500</v>
      </c>
      <c r="D257" s="17" t="n">
        <v>46092</v>
      </c>
      <c r="E257" s="15" t="inlineStr"/>
      <c r="F257" s="15" t="inlineStr">
        <is>
          <t>Recebido</t>
        </is>
      </c>
      <c r="G257" s="15" t="inlineStr">
        <is>
          <t>Transferência recebida pelo Pix - DENISE DE PAULA CENTRO DE ESTETICA LTDA - 05.823.454/0001-86 - MERCADO PAGO IP LTDA. (0323) Agência: 1 Conta: 8804533771-0</t>
        </is>
      </c>
    </row>
    <row r="258">
      <c r="A258" s="15" t="inlineStr">
        <is>
          <t>Receita - Denise (Salão)</t>
        </is>
      </c>
      <c r="B258" s="15" t="inlineStr">
        <is>
          <t>Depósito recebido de Denise / Salão</t>
        </is>
      </c>
      <c r="C258" s="16" t="n">
        <v>500</v>
      </c>
      <c r="D258" s="17" t="n">
        <v>46093</v>
      </c>
      <c r="E258" s="15" t="inlineStr"/>
      <c r="F258" s="15" t="inlineStr">
        <is>
          <t>Recebido</t>
        </is>
      </c>
      <c r="G258" s="15" t="inlineStr">
        <is>
          <t>Transferência recebida pelo Pix - DENISE DE PAULA CENTRO DE ESTETICA LTDA - 05.823.454/0001-86 - MERCADO PAGO IP LTDA. (0323) Agência: 1 Conta: 8804533771-0</t>
        </is>
      </c>
    </row>
    <row r="259">
      <c r="A259" s="15" t="inlineStr">
        <is>
          <t>Receita - Denise (Salão)</t>
        </is>
      </c>
      <c r="B259" s="15" t="inlineStr">
        <is>
          <t>Depósito recebido de Denise / Salão</t>
        </is>
      </c>
      <c r="C259" s="16" t="n">
        <v>200</v>
      </c>
      <c r="D259" s="17" t="n">
        <v>46094</v>
      </c>
      <c r="E259" s="15" t="inlineStr"/>
      <c r="F259" s="15" t="inlineStr">
        <is>
          <t>Recebido</t>
        </is>
      </c>
      <c r="G259" s="15" t="inlineStr">
        <is>
          <t>Transferência recebida pelo Pix - DENISE DE PAULA CENTRO DE ESTETICA LTDA - 05.823.454/0001-86 - MERCADO PAGO IP LTDA. (0323) Agência: 1 Conta: 8804533771-0</t>
        </is>
      </c>
    </row>
    <row r="260">
      <c r="A260" s="15" t="inlineStr">
        <is>
          <t>Receita - Denise (Salão)</t>
        </is>
      </c>
      <c r="B260" s="15" t="inlineStr">
        <is>
          <t>Depósito recebido de Denise / Salão</t>
        </is>
      </c>
      <c r="C260" s="16" t="n">
        <v>100</v>
      </c>
      <c r="D260" s="17" t="n">
        <v>46094</v>
      </c>
      <c r="E260" s="15" t="inlineStr"/>
      <c r="F260" s="15" t="inlineStr">
        <is>
          <t>Recebido</t>
        </is>
      </c>
      <c r="G260" s="15" t="inlineStr">
        <is>
          <t>Transferência recebida pelo Pix - DENISE DE PAULA CENTRO DE ESTETICA LTDA - 05.823.454/0001-86 - MERCADO PAGO IP LTDA. (0323) Agência: 1 Conta: 8804533771-0</t>
        </is>
      </c>
    </row>
    <row r="261">
      <c r="A261" s="15" t="inlineStr">
        <is>
          <t>Receita - Denise (Salão)</t>
        </is>
      </c>
      <c r="B261" s="15" t="inlineStr">
        <is>
          <t>Depósito recebido de Denise / Salão</t>
        </is>
      </c>
      <c r="C261" s="16" t="n">
        <v>350</v>
      </c>
      <c r="D261" s="17" t="n">
        <v>46097</v>
      </c>
      <c r="E261" s="15" t="inlineStr"/>
      <c r="F261" s="15" t="inlineStr">
        <is>
          <t>Recebido</t>
        </is>
      </c>
      <c r="G261" s="15" t="inlineStr">
        <is>
          <t>Transferência recebida pelo Pix - DENISE DE PAULA CENTRO DE ESTETICA LTDA - 05.823.454/0001-86 - MERCADO PAGO IP LTDA. (0323) Agência: 1 Conta: 8804533771-0</t>
        </is>
      </c>
    </row>
    <row r="262">
      <c r="A262" s="15" t="inlineStr">
        <is>
          <t>Receita - Denise (Salão)</t>
        </is>
      </c>
      <c r="B262" s="15" t="inlineStr">
        <is>
          <t>Depósito recebido de Denise / Salão</t>
        </is>
      </c>
      <c r="C262" s="16" t="n">
        <v>3305</v>
      </c>
      <c r="D262" s="17" t="n">
        <v>46100</v>
      </c>
      <c r="E262" s="15" t="inlineStr"/>
      <c r="F262" s="15" t="inlineStr">
        <is>
          <t>Recebido</t>
        </is>
      </c>
      <c r="G262" s="15" t="inlineStr">
        <is>
          <t>Pix recebido DENISE DE PAULA</t>
        </is>
      </c>
    </row>
    <row r="263">
      <c r="A263" s="15" t="inlineStr">
        <is>
          <t>Receita - Denise (Salão)</t>
        </is>
      </c>
      <c r="B263" s="15" t="inlineStr">
        <is>
          <t>Depósito recebido de Denise / Salão</t>
        </is>
      </c>
      <c r="C263" s="16" t="n">
        <v>500</v>
      </c>
      <c r="D263" s="17" t="n">
        <v>46100</v>
      </c>
      <c r="E263" s="15" t="inlineStr"/>
      <c r="F263" s="15" t="inlineStr">
        <is>
          <t>Recebido</t>
        </is>
      </c>
      <c r="G263" s="15" t="inlineStr">
        <is>
          <t>Transferência recebida pelo Pix - DENISE DE PAULA CENTRO DE ESTETICA LTDA - 05.823.454/0001-86 - MERCADO PAGO IP LTDA. (0323) Agência: 1 Conta: 8804533771-0</t>
        </is>
      </c>
    </row>
    <row r="264">
      <c r="A264" s="15" t="inlineStr">
        <is>
          <t>Receita - Denise (Salão)</t>
        </is>
      </c>
      <c r="B264" s="15" t="inlineStr">
        <is>
          <t>Depósito recebido de Denise / Salão</t>
        </is>
      </c>
      <c r="C264" s="16" t="n">
        <v>6000</v>
      </c>
      <c r="D264" s="17" t="n">
        <v>46100</v>
      </c>
      <c r="E264" s="15" t="inlineStr"/>
      <c r="F264" s="15" t="inlineStr">
        <is>
          <t>Recebido</t>
        </is>
      </c>
      <c r="G264" s="15" t="inlineStr">
        <is>
          <t>Transferência recebida pelo Pix - DENISE DE PAULA CENTRO DE ESTETICA LTDA - 05.823.454/0001-86 - MERCADO PAGO IP LTDA. (0323) Agência: 1 Conta: 8804533771-0</t>
        </is>
      </c>
    </row>
    <row r="265">
      <c r="A265" s="15" t="inlineStr">
        <is>
          <t>Receita - Denise (Salão)</t>
        </is>
      </c>
      <c r="B265" s="15" t="inlineStr">
        <is>
          <t>Depósito recebido de Denise / Salão</t>
        </is>
      </c>
      <c r="C265" s="16" t="n">
        <v>500</v>
      </c>
      <c r="D265" s="17" t="n">
        <v>46105</v>
      </c>
      <c r="E265" s="15" t="inlineStr"/>
      <c r="F265" s="15" t="inlineStr">
        <is>
          <t>Recebido</t>
        </is>
      </c>
      <c r="G265" s="15" t="inlineStr">
        <is>
          <t>Transferência recebida pelo Pix - DENISE DE PAULA CENTRO DE ESTETICA LTDA - 05.823.454/0001-86 - MERCADO PAGO IP LTDA. (0323) Agência: 1 Conta: 8804533771-0</t>
        </is>
      </c>
    </row>
    <row r="266">
      <c r="A266" s="15" t="inlineStr">
        <is>
          <t>Receita - Denise (Salão)</t>
        </is>
      </c>
      <c r="B266" s="15" t="inlineStr">
        <is>
          <t>Depósito recebido de Denise / Salão</t>
        </is>
      </c>
      <c r="C266" s="16" t="n">
        <v>500</v>
      </c>
      <c r="D266" s="17" t="n">
        <v>46106</v>
      </c>
      <c r="E266" s="15" t="inlineStr"/>
      <c r="F266" s="15" t="inlineStr">
        <is>
          <t>Recebido</t>
        </is>
      </c>
      <c r="G266" s="15" t="inlineStr">
        <is>
          <t>Transferência recebida pelo Pix - DENISE DE PAULA CENTRO DE ESTETICA LTDA - 05.823.454/0001-86 - MERCADO PAGO IP LTDA. (0323) Agência: 1 Conta: 8804533771-0</t>
        </is>
      </c>
    </row>
    <row r="267">
      <c r="A267" s="15" t="inlineStr">
        <is>
          <t>Receita - Denise (Salão)</t>
        </is>
      </c>
      <c r="B267" s="15" t="inlineStr">
        <is>
          <t>Depósito recebido de Denise / Salão</t>
        </is>
      </c>
      <c r="C267" s="16" t="n">
        <v>2000</v>
      </c>
      <c r="D267" s="17" t="n">
        <v>46107</v>
      </c>
      <c r="E267" s="15" t="inlineStr">
        <is>
          <t>Cartao nubank Denise/00000005-comprovante-152692587322.pdf</t>
        </is>
      </c>
      <c r="F267" s="15" t="inlineStr">
        <is>
          <t>Recebido</t>
        </is>
      </c>
      <c r="G267" s="15" t="inlineStr">
        <is>
          <t>Pix recebido Denise de Paula</t>
        </is>
      </c>
    </row>
    <row r="268">
      <c r="A268" s="15" t="inlineStr">
        <is>
          <t>Receita - Denise (Salão)</t>
        </is>
      </c>
      <c r="B268" s="15" t="inlineStr">
        <is>
          <t>Depósito recebido de Denise / Salão</t>
        </is>
      </c>
      <c r="C268" s="16" t="n">
        <v>300</v>
      </c>
      <c r="D268" s="17" t="n">
        <v>46107</v>
      </c>
      <c r="E268" s="15" t="inlineStr">
        <is>
          <t>Cartao nubank Denise/00000005-comprovante-152692587322.pdf</t>
        </is>
      </c>
      <c r="F268" s="15" t="inlineStr">
        <is>
          <t>Recebido</t>
        </is>
      </c>
      <c r="G268" s="15" t="inlineStr">
        <is>
          <t>Transferência recebida pelo Pix - DENISE DE PAULA CENTRO DE ESTETICA LTDA - 05.823.454/0001-86 - MERCADO PAGO IP LTDA. (0323) Agência: 1 Conta: 8804533771-0</t>
        </is>
      </c>
    </row>
    <row r="269">
      <c r="A269" s="15" t="inlineStr">
        <is>
          <t>Receita - Denise (Salão)</t>
        </is>
      </c>
      <c r="B269" s="15" t="inlineStr">
        <is>
          <t>Depósito recebido de Denise / Salão</t>
        </is>
      </c>
      <c r="C269" s="16" t="n">
        <v>200</v>
      </c>
      <c r="D269" s="17" t="n">
        <v>46108</v>
      </c>
      <c r="E269" s="15" t="inlineStr">
        <is>
          <t>Cartao nubank Denise/00000005-comprovante-152692587322.pdf</t>
        </is>
      </c>
      <c r="F269" s="15" t="inlineStr">
        <is>
          <t>Recebido</t>
        </is>
      </c>
      <c r="G269" s="15" t="inlineStr">
        <is>
          <t>Transferência recebida pelo Pix - DENISE DE PAULA CENTRO DE ESTETICA LTDA - 05.823.454/0001-86 - MERCADO PAGO IP LTDA. (0323) Agência: 1 Conta: 8804533771-0</t>
        </is>
      </c>
    </row>
    <row r="270">
      <c r="A270" s="15" t="inlineStr">
        <is>
          <t>Receita - Denise (Salão)</t>
        </is>
      </c>
      <c r="B270" s="15" t="inlineStr">
        <is>
          <t>Depósito recebido de Denise / Salão</t>
        </is>
      </c>
      <c r="C270" s="16" t="n">
        <v>500</v>
      </c>
      <c r="D270" s="17" t="n">
        <v>46109</v>
      </c>
      <c r="E270" s="15" t="inlineStr">
        <is>
          <t>Cartao nubank Denise/00000005-comprovante-152692587322.pdf</t>
        </is>
      </c>
      <c r="F270" s="15" t="inlineStr">
        <is>
          <t>Recebido</t>
        </is>
      </c>
      <c r="G270" s="15" t="inlineStr">
        <is>
          <t>Transferência recebida pelo Pix - DENISE DE PAULA CENTRO DE ESTETICA LTDA - 05.823.454/0001-86 - MERCADO PAGO IP LTDA. (0323) Agência: 1 Conta: 8804533771-0</t>
        </is>
      </c>
    </row>
    <row r="271">
      <c r="A271" s="18" t="inlineStr">
        <is>
          <t>Subtotal Receita - Denise (Salão)</t>
        </is>
      </c>
      <c r="B271" s="19" t="n"/>
      <c r="C271" s="20">
        <f>SUM(C253:C270)</f>
        <v/>
      </c>
      <c r="D271" s="19" t="n"/>
      <c r="E271" s="19" t="n"/>
      <c r="F271" s="19" t="n"/>
      <c r="G271" s="19" t="n"/>
    </row>
    <row r="272">
      <c r="A272" s="21" t="inlineStr">
        <is>
          <t>Receita - Clientes Studio</t>
        </is>
      </c>
      <c r="B272" s="22" t="n"/>
      <c r="C272" s="22" t="n"/>
      <c r="D272" s="22" t="n"/>
      <c r="E272" s="22" t="n"/>
      <c r="F272" s="22" t="n"/>
      <c r="G272" s="22" t="n"/>
    </row>
    <row r="273">
      <c r="A273" s="15" t="inlineStr">
        <is>
          <t>Receita - Clientes Studio</t>
        </is>
      </c>
      <c r="B273" s="15" t="inlineStr">
        <is>
          <t>Pix recebido (cliente)</t>
        </is>
      </c>
      <c r="C273" s="16" t="n">
        <v>489</v>
      </c>
      <c r="D273" s="17" t="n">
        <v>46098</v>
      </c>
      <c r="E273" s="15" t="inlineStr"/>
      <c r="F273" s="15" t="inlineStr">
        <is>
          <t>Recebido</t>
        </is>
      </c>
      <c r="G273" s="15" t="inlineStr">
        <is>
          <t>Pix recebido ALANDE ERONIDES TISSIANI</t>
        </is>
      </c>
    </row>
    <row r="274">
      <c r="A274" s="15" t="inlineStr">
        <is>
          <t>Receita - Clientes Studio</t>
        </is>
      </c>
      <c r="B274" s="15" t="inlineStr">
        <is>
          <t>Pix recebido (cliente)</t>
        </is>
      </c>
      <c r="C274" s="16" t="n">
        <v>489</v>
      </c>
      <c r="D274" s="17" t="n">
        <v>46098</v>
      </c>
      <c r="E274" s="15" t="inlineStr"/>
      <c r="F274" s="15" t="inlineStr">
        <is>
          <t>Recebido</t>
        </is>
      </c>
      <c r="G274" s="15" t="inlineStr">
        <is>
          <t>Pix recebido AMANDA LUCIA AZCUY CASTRO</t>
        </is>
      </c>
    </row>
    <row r="275">
      <c r="A275" s="15" t="inlineStr">
        <is>
          <t>Receita - Clientes Studio</t>
        </is>
      </c>
      <c r="B275" s="15" t="inlineStr">
        <is>
          <t>Pix recebido (cliente)</t>
        </is>
      </c>
      <c r="C275" s="16" t="n">
        <v>419</v>
      </c>
      <c r="D275" s="17" t="n">
        <v>46098</v>
      </c>
      <c r="E275" s="15" t="inlineStr"/>
      <c r="F275" s="15" t="inlineStr">
        <is>
          <t>Recebido</t>
        </is>
      </c>
      <c r="G275" s="15" t="inlineStr">
        <is>
          <t>Pix recebido CACILDA DE FATIMA CORREIA BAYER</t>
        </is>
      </c>
    </row>
    <row r="276">
      <c r="A276" s="15" t="inlineStr">
        <is>
          <t>Receita - Clientes Studio</t>
        </is>
      </c>
      <c r="B276" s="15" t="inlineStr">
        <is>
          <t>Pix recebido (cliente)</t>
        </is>
      </c>
      <c r="C276" s="16" t="n">
        <v>489</v>
      </c>
      <c r="D276" s="17" t="n">
        <v>46098</v>
      </c>
      <c r="E276" s="15" t="inlineStr"/>
      <c r="F276" s="15" t="inlineStr">
        <is>
          <t>Recebido</t>
        </is>
      </c>
      <c r="G276" s="15" t="inlineStr">
        <is>
          <t>Pix recebido GISLEINE JARENKO STEIL</t>
        </is>
      </c>
    </row>
    <row r="277">
      <c r="A277" s="15" t="inlineStr">
        <is>
          <t>Receita - Clientes Studio</t>
        </is>
      </c>
      <c r="B277" s="15" t="inlineStr">
        <is>
          <t>Pix recebido (cliente)</t>
        </is>
      </c>
      <c r="C277" s="16" t="n">
        <v>419</v>
      </c>
      <c r="D277" s="17" t="n">
        <v>46098</v>
      </c>
      <c r="E277" s="15" t="inlineStr"/>
      <c r="F277" s="15" t="inlineStr">
        <is>
          <t>Recebido</t>
        </is>
      </c>
      <c r="G277" s="15" t="inlineStr">
        <is>
          <t>Pix recebido Gracirene Pereira Saito Psicologia</t>
        </is>
      </c>
    </row>
    <row r="278">
      <c r="A278" s="15" t="inlineStr">
        <is>
          <t>Receita - Clientes Studio</t>
        </is>
      </c>
      <c r="B278" s="15" t="inlineStr">
        <is>
          <t>Pix recebido (cliente)</t>
        </is>
      </c>
      <c r="C278" s="16" t="n">
        <v>419</v>
      </c>
      <c r="D278" s="17" t="n">
        <v>46098</v>
      </c>
      <c r="E278" s="15" t="inlineStr"/>
      <c r="F278" s="15" t="inlineStr">
        <is>
          <t>Recebido</t>
        </is>
      </c>
      <c r="G278" s="15" t="inlineStr">
        <is>
          <t>Pix recebido JUAN FELIPE FRANCO</t>
        </is>
      </c>
    </row>
    <row r="279">
      <c r="A279" s="15" t="inlineStr">
        <is>
          <t>Receita - Clientes Studio</t>
        </is>
      </c>
      <c r="B279" s="15" t="inlineStr">
        <is>
          <t>Pix recebido (cliente)</t>
        </is>
      </c>
      <c r="C279" s="16" t="n">
        <v>209.5</v>
      </c>
      <c r="D279" s="17" t="n">
        <v>46098</v>
      </c>
      <c r="E279" s="15" t="inlineStr"/>
      <c r="F279" s="15" t="inlineStr">
        <is>
          <t>Recebido</t>
        </is>
      </c>
      <c r="G279" s="15" t="inlineStr">
        <is>
          <t>Pix recebido JUSSARA DE ALMEIDA JORGE</t>
        </is>
      </c>
    </row>
    <row r="280">
      <c r="A280" s="15" t="inlineStr">
        <is>
          <t>Receita - Clientes Studio</t>
        </is>
      </c>
      <c r="B280" s="15" t="inlineStr">
        <is>
          <t>Pix recebido (cliente)</t>
        </is>
      </c>
      <c r="C280" s="16" t="n">
        <v>489</v>
      </c>
      <c r="D280" s="17" t="n">
        <v>46101</v>
      </c>
      <c r="E280" s="15" t="inlineStr"/>
      <c r="F280" s="15" t="inlineStr">
        <is>
          <t>Recebido</t>
        </is>
      </c>
      <c r="G280" s="15" t="inlineStr">
        <is>
          <t>Pix recebido MARIA APARECIDA DE OLIVEIRA E</t>
        </is>
      </c>
    </row>
    <row r="281">
      <c r="A281" s="15" t="inlineStr">
        <is>
          <t>Receita - Clientes Studio</t>
        </is>
      </c>
      <c r="B281" s="15" t="inlineStr">
        <is>
          <t>Pix recebido (cliente)</t>
        </is>
      </c>
      <c r="C281" s="16" t="n">
        <v>100</v>
      </c>
      <c r="D281" s="17" t="n">
        <v>46105</v>
      </c>
      <c r="E281" s="15" t="inlineStr"/>
      <c r="F281" s="15" t="inlineStr">
        <is>
          <t>Recebido</t>
        </is>
      </c>
      <c r="G281" s="15" t="inlineStr">
        <is>
          <t>Pix recebido KRISTINA HENRIETTA LJUNGBERGER</t>
        </is>
      </c>
    </row>
    <row r="282">
      <c r="A282" s="15" t="inlineStr">
        <is>
          <t>Receita - Clientes Studio</t>
        </is>
      </c>
      <c r="B282" s="15" t="inlineStr">
        <is>
          <t>Pix recebido (cliente)</t>
        </is>
      </c>
      <c r="C282" s="16" t="n">
        <v>300</v>
      </c>
      <c r="D282" s="17" t="n">
        <v>46112</v>
      </c>
      <c r="E282" s="15" t="inlineStr"/>
      <c r="F282" s="15" t="inlineStr">
        <is>
          <t>Recebido</t>
        </is>
      </c>
      <c r="G282" s="15" t="inlineStr">
        <is>
          <t>Pix recebido FERENCZ  KELLER  CONSULTORIO ODONTOLOGICO SS LTDA.</t>
        </is>
      </c>
    </row>
    <row r="283">
      <c r="A283" s="18" t="inlineStr">
        <is>
          <t>Subtotal Receita - Clientes Studio</t>
        </is>
      </c>
      <c r="B283" s="19" t="n"/>
      <c r="C283" s="20">
        <f>SUM(C273:C282)</f>
        <v/>
      </c>
      <c r="D283" s="19" t="n"/>
      <c r="E283" s="19" t="n"/>
      <c r="F283" s="19" t="n"/>
      <c r="G283" s="19" t="n"/>
    </row>
    <row r="284">
      <c r="A284" s="21" t="inlineStr">
        <is>
          <t>Receita - Liberação de Crédito</t>
        </is>
      </c>
      <c r="B284" s="22" t="n"/>
      <c r="C284" s="22" t="n"/>
      <c r="D284" s="22" t="n"/>
      <c r="E284" s="22" t="n"/>
      <c r="F284" s="22" t="n"/>
      <c r="G284" s="22" t="n"/>
    </row>
    <row r="285">
      <c r="A285" s="15" t="inlineStr">
        <is>
          <t>Receita - Liberação de Crédito</t>
        </is>
      </c>
      <c r="B285" s="15" t="inlineStr">
        <is>
          <t>Liberação de Crédito (Studio)</t>
        </is>
      </c>
      <c r="C285" s="16" t="n">
        <v>492.61</v>
      </c>
      <c r="D285" s="17" t="n">
        <v>46084</v>
      </c>
      <c r="E285" s="15" t="inlineStr"/>
      <c r="F285" s="15" t="inlineStr">
        <is>
          <t>Recebido</t>
        </is>
      </c>
      <c r="G285" s="15" t="inlineStr">
        <is>
          <t>Liberação de dinheiro</t>
        </is>
      </c>
    </row>
    <row r="286">
      <c r="A286" s="15" t="inlineStr">
        <is>
          <t>Receita - Liberação de Crédito</t>
        </is>
      </c>
      <c r="B286" s="15" t="inlineStr">
        <is>
          <t>Liberação de Crédito (Studio)</t>
        </is>
      </c>
      <c r="C286" s="16" t="n">
        <v>493.6</v>
      </c>
      <c r="D286" s="17" t="n">
        <v>46085</v>
      </c>
      <c r="E286" s="15" t="inlineStr"/>
      <c r="F286" s="15" t="inlineStr">
        <is>
          <t>Recebido</t>
        </is>
      </c>
      <c r="G286" s="15" t="inlineStr">
        <is>
          <t>Liberação de dinheiro</t>
        </is>
      </c>
    </row>
    <row r="287">
      <c r="A287" s="15" t="inlineStr">
        <is>
          <t>Receita - Liberação de Crédito</t>
        </is>
      </c>
      <c r="B287" s="15" t="inlineStr">
        <is>
          <t>Liberação de Crédito (Studio)</t>
        </is>
      </c>
      <c r="C287" s="16" t="n">
        <v>148.08</v>
      </c>
      <c r="D287" s="17" t="n">
        <v>46085</v>
      </c>
      <c r="E287" s="15" t="inlineStr"/>
      <c r="F287" s="15" t="inlineStr">
        <is>
          <t>Recebido</t>
        </is>
      </c>
      <c r="G287" s="15" t="inlineStr">
        <is>
          <t>Liberação de dinheiro</t>
        </is>
      </c>
    </row>
    <row r="288">
      <c r="A288" s="15" t="inlineStr">
        <is>
          <t>Receita - Liberação de Crédito</t>
        </is>
      </c>
      <c r="B288" s="15" t="inlineStr">
        <is>
          <t>Liberação de Crédito (Studio)</t>
        </is>
      </c>
      <c r="C288" s="16" t="n">
        <v>59.23</v>
      </c>
      <c r="D288" s="17" t="n">
        <v>46085</v>
      </c>
      <c r="E288" s="15" t="inlineStr"/>
      <c r="F288" s="15" t="inlineStr">
        <is>
          <t>Recebido</t>
        </is>
      </c>
      <c r="G288" s="15" t="inlineStr">
        <is>
          <t>Liberação de dinheiro</t>
        </is>
      </c>
    </row>
    <row r="289">
      <c r="A289" s="15" t="inlineStr">
        <is>
          <t>Receita - Liberação de Crédito</t>
        </is>
      </c>
      <c r="B289" s="15" t="inlineStr">
        <is>
          <t>Liberação de Crédito (Studio)</t>
        </is>
      </c>
      <c r="C289" s="16" t="n">
        <v>650.21</v>
      </c>
      <c r="D289" s="17" t="n">
        <v>46086</v>
      </c>
      <c r="E289" s="15" t="inlineStr"/>
      <c r="F289" s="15" t="inlineStr">
        <is>
          <t>Recebido</t>
        </is>
      </c>
      <c r="G289" s="15" t="inlineStr">
        <is>
          <t>Liberação de dinheiro</t>
        </is>
      </c>
    </row>
    <row r="290">
      <c r="A290" s="15" t="inlineStr">
        <is>
          <t>Receita - Liberação de Crédito</t>
        </is>
      </c>
      <c r="B290" s="15" t="inlineStr">
        <is>
          <t>Liberação de Crédito (Studio)</t>
        </is>
      </c>
      <c r="C290" s="16" t="n">
        <v>557.1900000000001</v>
      </c>
      <c r="D290" s="17" t="n">
        <v>46087</v>
      </c>
      <c r="E290" s="15" t="inlineStr"/>
      <c r="F290" s="15" t="inlineStr">
        <is>
          <t>Recebido</t>
        </is>
      </c>
      <c r="G290" s="15" t="inlineStr">
        <is>
          <t>Liberação de dinheiro</t>
        </is>
      </c>
    </row>
    <row r="291">
      <c r="A291" s="15" t="inlineStr">
        <is>
          <t>Receita - Liberação de Crédito</t>
        </is>
      </c>
      <c r="B291" s="15" t="inlineStr">
        <is>
          <t>Liberação de Crédito (Studio)</t>
        </is>
      </c>
      <c r="C291" s="16" t="n">
        <v>562.7</v>
      </c>
      <c r="D291" s="17" t="n">
        <v>46090</v>
      </c>
      <c r="E291" s="15" t="inlineStr"/>
      <c r="F291" s="15" t="inlineStr">
        <is>
          <t>Recebido</t>
        </is>
      </c>
      <c r="G291" s="15" t="inlineStr">
        <is>
          <t>Liberação de dinheiro</t>
        </is>
      </c>
    </row>
    <row r="292">
      <c r="A292" s="15" t="inlineStr">
        <is>
          <t>Receita - Liberação de Crédito</t>
        </is>
      </c>
      <c r="B292" s="15" t="inlineStr">
        <is>
          <t>Liberação de Crédito (Studio)</t>
        </is>
      </c>
      <c r="C292" s="16" t="n">
        <v>502.31</v>
      </c>
      <c r="D292" s="17" t="n">
        <v>46091</v>
      </c>
      <c r="E292" s="15" t="inlineStr"/>
      <c r="F292" s="15" t="inlineStr">
        <is>
          <t>Recebido</t>
        </is>
      </c>
      <c r="G292" s="15" t="inlineStr">
        <is>
          <t>Liberação de dinheiro</t>
        </is>
      </c>
    </row>
    <row r="293">
      <c r="A293" s="15" t="inlineStr">
        <is>
          <t>Receita - Liberação de Crédito</t>
        </is>
      </c>
      <c r="B293" s="15" t="inlineStr">
        <is>
          <t>Liberação de Crédito (Studio)</t>
        </is>
      </c>
      <c r="C293" s="16" t="n">
        <v>650.21</v>
      </c>
      <c r="D293" s="17" t="n">
        <v>46091</v>
      </c>
      <c r="E293" s="15" t="inlineStr"/>
      <c r="F293" s="15" t="inlineStr">
        <is>
          <t>Recebido</t>
        </is>
      </c>
      <c r="G293" s="15" t="inlineStr">
        <is>
          <t>Liberação de dinheiro</t>
        </is>
      </c>
    </row>
    <row r="294">
      <c r="A294" s="15" t="inlineStr">
        <is>
          <t>Receita - Liberação de Crédito</t>
        </is>
      </c>
      <c r="B294" s="15" t="inlineStr">
        <is>
          <t>Liberação de Crédito (Studio)</t>
        </is>
      </c>
      <c r="C294" s="16" t="n">
        <v>290.16</v>
      </c>
      <c r="D294" s="17" t="n">
        <v>46091</v>
      </c>
      <c r="E294" s="15" t="inlineStr"/>
      <c r="F294" s="15" t="inlineStr">
        <is>
          <t>Recebido</t>
        </is>
      </c>
      <c r="G294" s="15" t="inlineStr">
        <is>
          <t>Liberação de dinheiro</t>
        </is>
      </c>
    </row>
    <row r="295">
      <c r="A295" s="15" t="inlineStr">
        <is>
          <t>Receita - Liberação de Crédito</t>
        </is>
      </c>
      <c r="B295" s="15" t="inlineStr">
        <is>
          <t>Liberação de Crédito (Studio)</t>
        </is>
      </c>
      <c r="C295" s="16" t="n">
        <v>58.04</v>
      </c>
      <c r="D295" s="17" t="n">
        <v>46092</v>
      </c>
      <c r="E295" s="15" t="inlineStr"/>
      <c r="F295" s="15" t="inlineStr">
        <is>
          <t>Recebido</t>
        </is>
      </c>
      <c r="G295" s="15" t="inlineStr">
        <is>
          <t>Liberação de dinheiro</t>
        </is>
      </c>
    </row>
    <row r="296">
      <c r="A296" s="15" t="inlineStr">
        <is>
          <t>Receita - Liberação de Crédito</t>
        </is>
      </c>
      <c r="B296" s="15" t="inlineStr">
        <is>
          <t>Liberação de Crédito (Studio)</t>
        </is>
      </c>
      <c r="C296" s="16" t="n">
        <v>492.61</v>
      </c>
      <c r="D296" s="17" t="n">
        <v>46092</v>
      </c>
      <c r="E296" s="15" t="inlineStr"/>
      <c r="F296" s="15" t="inlineStr">
        <is>
          <t>Recebido</t>
        </is>
      </c>
      <c r="G296" s="15" t="inlineStr">
        <is>
          <t>Liberação de dinheiro</t>
        </is>
      </c>
    </row>
    <row r="297">
      <c r="A297" s="15" t="inlineStr">
        <is>
          <t>Receita - Liberação de Crédito</t>
        </is>
      </c>
      <c r="B297" s="15" t="inlineStr">
        <is>
          <t>Liberação de Crédito (Studio)</t>
        </is>
      </c>
      <c r="C297" s="16" t="n">
        <v>750.27</v>
      </c>
      <c r="D297" s="17" t="n">
        <v>46092</v>
      </c>
      <c r="E297" s="15" t="inlineStr"/>
      <c r="F297" s="15" t="inlineStr">
        <is>
          <t>Recebido</t>
        </is>
      </c>
      <c r="G297" s="15" t="inlineStr">
        <is>
          <t>Liberação de dinheiro</t>
        </is>
      </c>
    </row>
    <row r="298">
      <c r="A298" s="15" t="inlineStr">
        <is>
          <t>Receita - Liberação de Crédito</t>
        </is>
      </c>
      <c r="B298" s="15" t="inlineStr">
        <is>
          <t>Liberação de Crédito (Studio)</t>
        </is>
      </c>
      <c r="C298" s="16" t="n">
        <v>483.6</v>
      </c>
      <c r="D298" s="17" t="n">
        <v>46093</v>
      </c>
      <c r="E298" s="15" t="inlineStr"/>
      <c r="F298" s="15" t="inlineStr">
        <is>
          <t>Recebido</t>
        </is>
      </c>
      <c r="G298" s="15" t="inlineStr">
        <is>
          <t>Liberação de dinheiro</t>
        </is>
      </c>
    </row>
    <row r="299">
      <c r="A299" s="15" t="inlineStr">
        <is>
          <t>Receita - Liberação de Crédito</t>
        </is>
      </c>
      <c r="B299" s="15" t="inlineStr">
        <is>
          <t>Liberação de Crédito (Studio)</t>
        </is>
      </c>
      <c r="C299" s="16" t="n">
        <v>246.8</v>
      </c>
      <c r="D299" s="17" t="n">
        <v>46094</v>
      </c>
      <c r="E299" s="15" t="inlineStr"/>
      <c r="F299" s="15" t="inlineStr">
        <is>
          <t>Recebido</t>
        </is>
      </c>
      <c r="G299" s="15" t="inlineStr">
        <is>
          <t>Liberação de dinheiro</t>
        </is>
      </c>
    </row>
    <row r="300">
      <c r="A300" s="15" t="inlineStr">
        <is>
          <t>Receita - Liberação de Crédito</t>
        </is>
      </c>
      <c r="B300" s="15" t="inlineStr">
        <is>
          <t>Liberação de Crédito (Studio)</t>
        </is>
      </c>
      <c r="C300" s="16" t="n">
        <v>329.73</v>
      </c>
      <c r="D300" s="17" t="n">
        <v>46094</v>
      </c>
      <c r="E300" s="15" t="inlineStr"/>
      <c r="F300" s="15" t="inlineStr">
        <is>
          <t>Recebido</t>
        </is>
      </c>
      <c r="G300" s="15" t="inlineStr">
        <is>
          <t>Liberação de dinheiro</t>
        </is>
      </c>
    </row>
    <row r="301">
      <c r="A301" s="15" t="inlineStr">
        <is>
          <t>Receita - Liberação de Crédito</t>
        </is>
      </c>
      <c r="B301" s="15" t="inlineStr">
        <is>
          <t>Liberação de Crédito (Studio)</t>
        </is>
      </c>
      <c r="C301" s="16" t="n">
        <v>644.83</v>
      </c>
      <c r="D301" s="17" t="n">
        <v>46095</v>
      </c>
      <c r="E301" s="15" t="inlineStr"/>
      <c r="F301" s="15" t="inlineStr">
        <is>
          <t>Recebido</t>
        </is>
      </c>
      <c r="G301" s="15" t="inlineStr">
        <is>
          <t>Liberação de dinheiro</t>
        </is>
      </c>
    </row>
    <row r="302">
      <c r="A302" s="15" t="inlineStr">
        <is>
          <t>Receita - Liberação de Crédito</t>
        </is>
      </c>
      <c r="B302" s="15" t="inlineStr">
        <is>
          <t>Liberação de Crédito (Studio)</t>
        </is>
      </c>
      <c r="C302" s="16" t="n">
        <v>518.15</v>
      </c>
      <c r="D302" s="17" t="n">
        <v>46097</v>
      </c>
      <c r="E302" s="15" t="inlineStr"/>
      <c r="F302" s="15" t="inlineStr">
        <is>
          <t>Recebido</t>
        </is>
      </c>
      <c r="G302" s="15" t="inlineStr">
        <is>
          <t>Liberação de dinheiro</t>
        </is>
      </c>
    </row>
    <row r="303">
      <c r="A303" s="15" t="inlineStr">
        <is>
          <t>Receita - Liberação de Crédito</t>
        </is>
      </c>
      <c r="B303" s="15" t="inlineStr">
        <is>
          <t>Liberação de Crédito (Studio)</t>
        </is>
      </c>
      <c r="C303" s="16" t="n">
        <v>650.21</v>
      </c>
      <c r="D303" s="17" t="n">
        <v>46097</v>
      </c>
      <c r="E303" s="15" t="inlineStr"/>
      <c r="F303" s="15" t="inlineStr">
        <is>
          <t>Recebido</t>
        </is>
      </c>
      <c r="G303" s="15" t="inlineStr">
        <is>
          <t>Liberação de dinheiro</t>
        </is>
      </c>
    </row>
    <row r="304">
      <c r="A304" s="15" t="inlineStr">
        <is>
          <t>Receita - Liberação de Crédito</t>
        </is>
      </c>
      <c r="B304" s="15" t="inlineStr">
        <is>
          <t>Liberação de Crédito (Studio)</t>
        </is>
      </c>
      <c r="C304" s="16" t="n">
        <v>473.89</v>
      </c>
      <c r="D304" s="17" t="n">
        <v>46098</v>
      </c>
      <c r="E304" s="15" t="inlineStr"/>
      <c r="F304" s="15" t="inlineStr">
        <is>
          <t>Recebido</t>
        </is>
      </c>
      <c r="G304" s="15" t="inlineStr">
        <is>
          <t>Liberação de dinheiro</t>
        </is>
      </c>
    </row>
    <row r="305">
      <c r="A305" s="15" t="inlineStr">
        <is>
          <t>Receita - Liberação de Crédito</t>
        </is>
      </c>
      <c r="B305" s="15" t="inlineStr">
        <is>
          <t>Liberação de Crédito (Studio)</t>
        </is>
      </c>
      <c r="C305" s="16" t="n">
        <v>406.05</v>
      </c>
      <c r="D305" s="17" t="n">
        <v>46098</v>
      </c>
      <c r="E305" s="15" t="inlineStr"/>
      <c r="F305" s="15" t="inlineStr">
        <is>
          <t>Recebido</t>
        </is>
      </c>
      <c r="G305" s="15" t="inlineStr">
        <is>
          <t>Liberação de dinheiro</t>
        </is>
      </c>
    </row>
    <row r="306">
      <c r="A306" s="15" t="inlineStr">
        <is>
          <t>Receita - Liberação de Crédito</t>
        </is>
      </c>
      <c r="B306" s="15" t="inlineStr">
        <is>
          <t>Liberação de Crédito (Studio)</t>
        </is>
      </c>
      <c r="C306" s="16" t="n">
        <v>404.8</v>
      </c>
      <c r="D306" s="17" t="n">
        <v>46098</v>
      </c>
      <c r="E306" s="15" t="inlineStr"/>
      <c r="F306" s="15" t="inlineStr">
        <is>
          <t>Recebido</t>
        </is>
      </c>
      <c r="G306" s="15" t="inlineStr">
        <is>
          <t>Liberação de dinheiro</t>
        </is>
      </c>
    </row>
    <row r="307">
      <c r="A307" s="15" t="inlineStr">
        <is>
          <t>Receita - Liberação de Crédito</t>
        </is>
      </c>
      <c r="B307" s="15" t="inlineStr">
        <is>
          <t>Liberação de Crédito (Studio)</t>
        </is>
      </c>
      <c r="C307" s="16" t="n">
        <v>472.13</v>
      </c>
      <c r="D307" s="17" t="n">
        <v>46098</v>
      </c>
      <c r="E307" s="15" t="inlineStr"/>
      <c r="F307" s="15" t="inlineStr">
        <is>
          <t>Recebido</t>
        </is>
      </c>
      <c r="G307" s="15" t="inlineStr">
        <is>
          <t>Liberação de dinheiro</t>
        </is>
      </c>
    </row>
    <row r="308">
      <c r="A308" s="15" t="inlineStr">
        <is>
          <t>Receita - Liberação de Crédito</t>
        </is>
      </c>
      <c r="B308" s="15" t="inlineStr">
        <is>
          <t>Liberação de Crédito (Studio)</t>
        </is>
      </c>
      <c r="C308" s="16" t="n">
        <v>404.8</v>
      </c>
      <c r="D308" s="17" t="n">
        <v>46098</v>
      </c>
      <c r="E308" s="15" t="inlineStr"/>
      <c r="F308" s="15" t="inlineStr">
        <is>
          <t>Recebido</t>
        </is>
      </c>
      <c r="G308" s="15" t="inlineStr">
        <is>
          <t>Liberação de dinheiro</t>
        </is>
      </c>
    </row>
    <row r="309">
      <c r="A309" s="15" t="inlineStr">
        <is>
          <t>Receita - Liberação de Crédito</t>
        </is>
      </c>
      <c r="B309" s="15" t="inlineStr">
        <is>
          <t>Liberação de Crédito (Studio)</t>
        </is>
      </c>
      <c r="C309" s="16" t="n">
        <v>473.89</v>
      </c>
      <c r="D309" s="17" t="n">
        <v>46098</v>
      </c>
      <c r="E309" s="15" t="inlineStr"/>
      <c r="F309" s="15" t="inlineStr">
        <is>
          <t>Recebido</t>
        </is>
      </c>
      <c r="G309" s="15" t="inlineStr">
        <is>
          <t>Liberação de dinheiro</t>
        </is>
      </c>
    </row>
    <row r="310">
      <c r="A310" s="15" t="inlineStr">
        <is>
          <t>Receita - Liberação de Crédito</t>
        </is>
      </c>
      <c r="B310" s="15" t="inlineStr">
        <is>
          <t>Liberação de Crédito (Studio)</t>
        </is>
      </c>
      <c r="C310" s="16" t="n">
        <v>406.05</v>
      </c>
      <c r="D310" s="17" t="n">
        <v>46098</v>
      </c>
      <c r="E310" s="15" t="inlineStr"/>
      <c r="F310" s="15" t="inlineStr">
        <is>
          <t>Recebido</t>
        </is>
      </c>
      <c r="G310" s="15" t="inlineStr">
        <is>
          <t>Liberação de dinheiro</t>
        </is>
      </c>
    </row>
    <row r="311">
      <c r="A311" s="15" t="inlineStr">
        <is>
          <t>Receita - Liberação de Crédito</t>
        </is>
      </c>
      <c r="B311" s="15" t="inlineStr">
        <is>
          <t>Liberação de Crédito (Studio)</t>
        </is>
      </c>
      <c r="C311" s="16" t="n">
        <v>404.54</v>
      </c>
      <c r="D311" s="17" t="n">
        <v>46098</v>
      </c>
      <c r="E311" s="15" t="inlineStr"/>
      <c r="F311" s="15" t="inlineStr">
        <is>
          <t>Recebido</t>
        </is>
      </c>
      <c r="G311" s="15" t="inlineStr">
        <is>
          <t>Liberação de dinheiro</t>
        </is>
      </c>
    </row>
    <row r="312">
      <c r="A312" s="15" t="inlineStr">
        <is>
          <t>Receita - Liberação de Crédito</t>
        </is>
      </c>
      <c r="B312" s="15" t="inlineStr">
        <is>
          <t>Liberação de Crédito (Studio)</t>
        </is>
      </c>
      <c r="C312" s="16" t="n">
        <v>579.35</v>
      </c>
      <c r="D312" s="17" t="n">
        <v>46098</v>
      </c>
      <c r="E312" s="15" t="inlineStr"/>
      <c r="F312" s="15" t="inlineStr">
        <is>
          <t>Recebido</t>
        </is>
      </c>
      <c r="G312" s="15" t="inlineStr">
        <is>
          <t>Liberação de dinheiro</t>
        </is>
      </c>
    </row>
    <row r="313">
      <c r="A313" s="15" t="inlineStr">
        <is>
          <t>Receita - Liberação de Crédito</t>
        </is>
      </c>
      <c r="B313" s="15" t="inlineStr">
        <is>
          <t>Liberação de Crédito (Studio)</t>
        </is>
      </c>
      <c r="C313" s="16" t="n">
        <v>1291.68</v>
      </c>
      <c r="D313" s="17" t="n">
        <v>46098</v>
      </c>
      <c r="E313" s="15" t="inlineStr"/>
      <c r="F313" s="15" t="inlineStr">
        <is>
          <t>Recebido</t>
        </is>
      </c>
      <c r="G313" s="15" t="inlineStr">
        <is>
          <t>Liberação de dinheiro</t>
        </is>
      </c>
    </row>
    <row r="314">
      <c r="A314" s="15" t="inlineStr">
        <is>
          <t>Receita - Liberação de Crédito</t>
        </is>
      </c>
      <c r="B314" s="15" t="inlineStr">
        <is>
          <t>Liberação de Crédito (Studio)</t>
        </is>
      </c>
      <c r="C314" s="16" t="n">
        <v>473.89</v>
      </c>
      <c r="D314" s="17" t="n">
        <v>46098</v>
      </c>
      <c r="E314" s="15" t="inlineStr"/>
      <c r="F314" s="15" t="inlineStr">
        <is>
          <t>Recebido</t>
        </is>
      </c>
      <c r="G314" s="15" t="inlineStr">
        <is>
          <t>Liberação de dinheiro</t>
        </is>
      </c>
    </row>
    <row r="315">
      <c r="A315" s="15" t="inlineStr">
        <is>
          <t>Receita - Liberação de Crédito</t>
        </is>
      </c>
      <c r="B315" s="15" t="inlineStr">
        <is>
          <t>Liberação de Crédito (Studio)</t>
        </is>
      </c>
      <c r="C315" s="16" t="n">
        <v>473.89</v>
      </c>
      <c r="D315" s="17" t="n">
        <v>46098</v>
      </c>
      <c r="E315" s="15" t="inlineStr"/>
      <c r="F315" s="15" t="inlineStr">
        <is>
          <t>Recebido</t>
        </is>
      </c>
      <c r="G315" s="15" t="inlineStr">
        <is>
          <t>Liberação de dinheiro</t>
        </is>
      </c>
    </row>
    <row r="316">
      <c r="A316" s="15" t="inlineStr">
        <is>
          <t>Receita - Liberação de Crédito</t>
        </is>
      </c>
      <c r="B316" s="15" t="inlineStr">
        <is>
          <t>Liberação de Crédito (Studio)</t>
        </is>
      </c>
      <c r="C316" s="16" t="n">
        <v>433.78</v>
      </c>
      <c r="D316" s="17" t="n">
        <v>46098</v>
      </c>
      <c r="E316" s="15" t="inlineStr"/>
      <c r="F316" s="15" t="inlineStr">
        <is>
          <t>Recebido</t>
        </is>
      </c>
      <c r="G316" s="15" t="inlineStr">
        <is>
          <t>Liberação de dinheiro</t>
        </is>
      </c>
    </row>
    <row r="317">
      <c r="A317" s="15" t="inlineStr">
        <is>
          <t>Receita - Liberação de Crédito</t>
        </is>
      </c>
      <c r="B317" s="15" t="inlineStr">
        <is>
          <t>Liberação de Crédito (Studio)</t>
        </is>
      </c>
      <c r="C317" s="16" t="n">
        <v>541.73</v>
      </c>
      <c r="D317" s="17" t="n">
        <v>46098</v>
      </c>
      <c r="E317" s="15" t="inlineStr"/>
      <c r="F317" s="15" t="inlineStr">
        <is>
          <t>Recebido</t>
        </is>
      </c>
      <c r="G317" s="15" t="inlineStr">
        <is>
          <t>Liberação de dinheiro</t>
        </is>
      </c>
    </row>
    <row r="318">
      <c r="A318" s="15" t="inlineStr">
        <is>
          <t>Receita - Liberação de Crédito</t>
        </is>
      </c>
      <c r="B318" s="15" t="inlineStr">
        <is>
          <t>Liberação de Crédito (Studio)</t>
        </is>
      </c>
      <c r="C318" s="16" t="n">
        <v>939.0599999999999</v>
      </c>
      <c r="D318" s="17" t="n">
        <v>46098</v>
      </c>
      <c r="E318" s="15" t="inlineStr"/>
      <c r="F318" s="15" t="inlineStr">
        <is>
          <t>Recebido</t>
        </is>
      </c>
      <c r="G318" s="15" t="inlineStr">
        <is>
          <t>Liberação de dinheiro</t>
        </is>
      </c>
    </row>
    <row r="319">
      <c r="A319" s="15" t="inlineStr">
        <is>
          <t>Receita - Liberação de Crédito</t>
        </is>
      </c>
      <c r="B319" s="15" t="inlineStr">
        <is>
          <t>Liberação de Crédito (Studio)</t>
        </is>
      </c>
      <c r="C319" s="16" t="n">
        <v>472.13</v>
      </c>
      <c r="D319" s="17" t="n">
        <v>46098</v>
      </c>
      <c r="E319" s="15" t="inlineStr"/>
      <c r="F319" s="15" t="inlineStr">
        <is>
          <t>Recebido</t>
        </is>
      </c>
      <c r="G319" s="15" t="inlineStr">
        <is>
          <t>Liberação de dinheiro</t>
        </is>
      </c>
    </row>
    <row r="320">
      <c r="A320" s="15" t="inlineStr">
        <is>
          <t>Receita - Liberação de Crédito</t>
        </is>
      </c>
      <c r="B320" s="15" t="inlineStr">
        <is>
          <t>Liberação de Crédito (Studio)</t>
        </is>
      </c>
      <c r="C320" s="16" t="n">
        <v>935.5700000000001</v>
      </c>
      <c r="D320" s="17" t="n">
        <v>46098</v>
      </c>
      <c r="E320" s="15" t="inlineStr"/>
      <c r="F320" s="15" t="inlineStr">
        <is>
          <t>Recebido</t>
        </is>
      </c>
      <c r="G320" s="15" t="inlineStr">
        <is>
          <t>Liberação de dinheiro</t>
        </is>
      </c>
    </row>
    <row r="321">
      <c r="A321" s="15" t="inlineStr">
        <is>
          <t>Receita - Liberação de Crédito</t>
        </is>
      </c>
      <c r="B321" s="15" t="inlineStr">
        <is>
          <t>Liberação de Crédito (Studio)</t>
        </is>
      </c>
      <c r="C321" s="16" t="n">
        <v>465.1</v>
      </c>
      <c r="D321" s="17" t="n">
        <v>46099</v>
      </c>
      <c r="E321" s="15" t="inlineStr"/>
      <c r="F321" s="15" t="inlineStr">
        <is>
          <t>Recebido</t>
        </is>
      </c>
      <c r="G321" s="15" t="inlineStr">
        <is>
          <t>Liberação de dinheiro</t>
        </is>
      </c>
    </row>
    <row r="322">
      <c r="A322" s="15" t="inlineStr">
        <is>
          <t>Receita - Liberação de Crédito</t>
        </is>
      </c>
      <c r="B322" s="15" t="inlineStr">
        <is>
          <t>Liberação de Crédito (Studio)</t>
        </is>
      </c>
      <c r="C322" s="16" t="n">
        <v>98.72</v>
      </c>
      <c r="D322" s="17" t="n">
        <v>46099</v>
      </c>
      <c r="E322" s="15" t="inlineStr"/>
      <c r="F322" s="15" t="inlineStr">
        <is>
          <t>Recebido</t>
        </is>
      </c>
      <c r="G322" s="15" t="inlineStr">
        <is>
          <t>Liberação de dinheiro</t>
        </is>
      </c>
    </row>
    <row r="323">
      <c r="A323" s="15" t="inlineStr">
        <is>
          <t>Receita - Liberação de Crédito</t>
        </is>
      </c>
      <c r="B323" s="15" t="inlineStr">
        <is>
          <t>Liberação de Crédito (Studio)</t>
        </is>
      </c>
      <c r="C323" s="16" t="n">
        <v>296.16</v>
      </c>
      <c r="D323" s="17" t="n">
        <v>46100</v>
      </c>
      <c r="E323" s="15" t="inlineStr"/>
      <c r="F323" s="15" t="inlineStr">
        <is>
          <t>Recebido</t>
        </is>
      </c>
      <c r="G323" s="15" t="inlineStr">
        <is>
          <t>Liberação de dinheiro</t>
        </is>
      </c>
    </row>
    <row r="324">
      <c r="A324" s="15" t="inlineStr">
        <is>
          <t>Receita - Liberação de Crédito</t>
        </is>
      </c>
      <c r="B324" s="15" t="inlineStr">
        <is>
          <t>Liberação de Crédito (Studio)</t>
        </is>
      </c>
      <c r="C324" s="16" t="n">
        <v>235.52</v>
      </c>
      <c r="D324" s="17" t="n">
        <v>46105</v>
      </c>
      <c r="E324" s="15" t="inlineStr"/>
      <c r="F324" s="15" t="inlineStr">
        <is>
          <t>Recebido</t>
        </is>
      </c>
      <c r="G324" s="15" t="inlineStr">
        <is>
          <t>Liberação de dinheiro</t>
        </is>
      </c>
    </row>
    <row r="325">
      <c r="A325" s="15" t="inlineStr">
        <is>
          <t>Receita - Liberação de Crédito</t>
        </is>
      </c>
      <c r="B325" s="15" t="inlineStr">
        <is>
          <t>Liberação de Crédito (Studio)</t>
        </is>
      </c>
      <c r="C325" s="16" t="n">
        <v>108.59</v>
      </c>
      <c r="D325" s="17" t="n">
        <v>46105</v>
      </c>
      <c r="E325" s="15" t="inlineStr"/>
      <c r="F325" s="15" t="inlineStr">
        <is>
          <t>Recebido</t>
        </is>
      </c>
      <c r="G325" s="15" t="inlineStr">
        <is>
          <t>Liberação de dinheiro</t>
        </is>
      </c>
    </row>
    <row r="326">
      <c r="A326" s="15" t="inlineStr">
        <is>
          <t>Receita - Liberação de Crédito</t>
        </is>
      </c>
      <c r="B326" s="15" t="inlineStr">
        <is>
          <t>Liberação de Crédito (Studio)</t>
        </is>
      </c>
      <c r="C326" s="16" t="n">
        <v>87.05</v>
      </c>
      <c r="D326" s="17" t="n">
        <v>46105</v>
      </c>
      <c r="E326" s="15" t="inlineStr"/>
      <c r="F326" s="15" t="inlineStr">
        <is>
          <t>Recebido</t>
        </is>
      </c>
      <c r="G326" s="15" t="inlineStr">
        <is>
          <t>Liberação de dinheiro</t>
        </is>
      </c>
    </row>
    <row r="327">
      <c r="A327" s="15" t="inlineStr">
        <is>
          <t>Receita - Liberação de Crédito</t>
        </is>
      </c>
      <c r="B327" s="15" t="inlineStr">
        <is>
          <t>Liberação de Crédito (Studio)</t>
        </is>
      </c>
      <c r="C327" s="16" t="n">
        <v>345.52</v>
      </c>
      <c r="D327" s="17" t="n">
        <v>46105</v>
      </c>
      <c r="E327" s="15" t="inlineStr"/>
      <c r="F327" s="15" t="inlineStr">
        <is>
          <t>Recebido</t>
        </is>
      </c>
      <c r="G327" s="15" t="inlineStr">
        <is>
          <t>Liberação de dinheiro</t>
        </is>
      </c>
    </row>
    <row r="328">
      <c r="A328" s="15" t="inlineStr">
        <is>
          <t>Receita - Liberação de Crédito</t>
        </is>
      </c>
      <c r="B328" s="15" t="inlineStr">
        <is>
          <t>Liberação de Crédito (Studio)</t>
        </is>
      </c>
      <c r="C328" s="16" t="n">
        <v>301.48</v>
      </c>
      <c r="D328" s="17" t="n">
        <v>46105</v>
      </c>
      <c r="E328" s="15" t="inlineStr"/>
      <c r="F328" s="15" t="inlineStr">
        <is>
          <t>Recebido</t>
        </is>
      </c>
      <c r="G328" s="15" t="inlineStr">
        <is>
          <t>Liberação de dinheiro</t>
        </is>
      </c>
    </row>
    <row r="329">
      <c r="A329" s="15" t="inlineStr">
        <is>
          <t>Receita - Liberação de Crédito</t>
        </is>
      </c>
      <c r="B329" s="15" t="inlineStr">
        <is>
          <t>Liberação de Crédito (Studio)</t>
        </is>
      </c>
      <c r="C329" s="16" t="n">
        <v>98.72</v>
      </c>
      <c r="D329" s="17" t="n">
        <v>46106</v>
      </c>
      <c r="E329" s="15" t="inlineStr"/>
      <c r="F329" s="15" t="inlineStr">
        <is>
          <t>Recebido</t>
        </is>
      </c>
      <c r="G329" s="15" t="inlineStr">
        <is>
          <t>Liberação de dinheiro</t>
        </is>
      </c>
    </row>
    <row r="330">
      <c r="A330" s="15" t="inlineStr">
        <is>
          <t>Receita - Liberação de Crédito</t>
        </is>
      </c>
      <c r="B330" s="15" t="inlineStr">
        <is>
          <t>Liberação de Crédito (Studio)</t>
        </is>
      </c>
      <c r="C330" s="16" t="n">
        <v>493.6</v>
      </c>
      <c r="D330" s="17" t="n">
        <v>46106</v>
      </c>
      <c r="E330" s="15" t="inlineStr"/>
      <c r="F330" s="15" t="inlineStr">
        <is>
          <t>Recebido</t>
        </is>
      </c>
      <c r="G330" s="15" t="inlineStr">
        <is>
          <t>Liberação de dinheiro</t>
        </is>
      </c>
    </row>
    <row r="331">
      <c r="A331" s="15" t="inlineStr">
        <is>
          <t>Receita - Liberação de Crédito</t>
        </is>
      </c>
      <c r="B331" s="15" t="inlineStr">
        <is>
          <t>Liberação de Crédito (Studio)</t>
        </is>
      </c>
      <c r="C331" s="16" t="n">
        <v>483.6</v>
      </c>
      <c r="D331" s="17" t="n">
        <v>46108</v>
      </c>
      <c r="E331" s="15" t="inlineStr"/>
      <c r="F331" s="15" t="inlineStr">
        <is>
          <t>Recebido</t>
        </is>
      </c>
      <c r="G331" s="15" t="inlineStr">
        <is>
          <t>Liberação de dinheiro</t>
        </is>
      </c>
    </row>
    <row r="332">
      <c r="A332" s="15" t="inlineStr">
        <is>
          <t>Receita - Liberação de Crédito</t>
        </is>
      </c>
      <c r="B332" s="15" t="inlineStr">
        <is>
          <t>Liberação de Crédito (Studio)</t>
        </is>
      </c>
      <c r="C332" s="16" t="n">
        <v>483.6</v>
      </c>
      <c r="D332" s="17" t="n">
        <v>46111</v>
      </c>
      <c r="E332" s="15" t="inlineStr"/>
      <c r="F332" s="15" t="inlineStr">
        <is>
          <t>Recebido</t>
        </is>
      </c>
      <c r="G332" s="15" t="inlineStr">
        <is>
          <t>Liberação de dinheiro</t>
        </is>
      </c>
    </row>
    <row r="333">
      <c r="A333" s="15" t="inlineStr">
        <is>
          <t>Receita - Liberação de Crédito</t>
        </is>
      </c>
      <c r="B333" s="15" t="inlineStr">
        <is>
          <t>Liberação de Crédito (Studio)</t>
        </is>
      </c>
      <c r="C333" s="16" t="n">
        <v>502.31</v>
      </c>
      <c r="D333" s="17" t="n">
        <v>46111</v>
      </c>
      <c r="E333" s="15" t="inlineStr"/>
      <c r="F333" s="15" t="inlineStr">
        <is>
          <t>Recebido</t>
        </is>
      </c>
      <c r="G333" s="15" t="inlineStr">
        <is>
          <t>Liberação de dinheiro</t>
        </is>
      </c>
    </row>
    <row r="334">
      <c r="A334" s="15" t="inlineStr">
        <is>
          <t>Receita - Liberação de Crédito</t>
        </is>
      </c>
      <c r="B334" s="15" t="inlineStr">
        <is>
          <t>Liberação de Crédito (Studio)</t>
        </is>
      </c>
      <c r="C334" s="16" t="n">
        <v>661.42</v>
      </c>
      <c r="D334" s="17" t="n">
        <v>46111</v>
      </c>
      <c r="E334" s="15" t="inlineStr"/>
      <c r="F334" s="15" t="inlineStr">
        <is>
          <t>Recebido</t>
        </is>
      </c>
      <c r="G334" s="15" t="inlineStr">
        <is>
          <t>Liberação de dinheiro</t>
        </is>
      </c>
    </row>
    <row r="335">
      <c r="A335" s="15" t="inlineStr">
        <is>
          <t>Receita - Liberação de Crédito</t>
        </is>
      </c>
      <c r="B335" s="15" t="inlineStr">
        <is>
          <t>Liberação de Crédito (Studio)</t>
        </is>
      </c>
      <c r="C335" s="16" t="n">
        <v>750.27</v>
      </c>
      <c r="D335" s="17" t="n">
        <v>46111</v>
      </c>
      <c r="E335" s="15" t="inlineStr"/>
      <c r="F335" s="15" t="inlineStr">
        <is>
          <t>Recebido</t>
        </is>
      </c>
      <c r="G335" s="15" t="inlineStr">
        <is>
          <t>Liberação de dinheiro</t>
        </is>
      </c>
    </row>
    <row r="336">
      <c r="A336" s="18" t="inlineStr">
        <is>
          <t>Subtotal Receita - Liberação de Crédito</t>
        </is>
      </c>
      <c r="B336" s="19" t="n"/>
      <c r="C336" s="20">
        <f>SUM(C285:C335)</f>
        <v/>
      </c>
      <c r="D336" s="19" t="n"/>
      <c r="E336" s="19" t="n"/>
      <c r="F336" s="19" t="n"/>
      <c r="G336" s="19" t="n"/>
    </row>
    <row r="337">
      <c r="A337" s="21" t="inlineStr">
        <is>
          <t>Receita - Outros</t>
        </is>
      </c>
      <c r="B337" s="22" t="n"/>
      <c r="C337" s="22" t="n"/>
      <c r="D337" s="22" t="n"/>
      <c r="E337" s="22" t="n"/>
      <c r="F337" s="22" t="n"/>
      <c r="G337" s="22" t="n"/>
    </row>
    <row r="338">
      <c r="A338" s="15" t="inlineStr">
        <is>
          <t>Receita - Outros</t>
        </is>
      </c>
      <c r="B338" s="15" t="inlineStr">
        <is>
          <t>Receita não categorizada</t>
        </is>
      </c>
      <c r="C338" s="16" t="n">
        <v>497.55</v>
      </c>
      <c r="D338" s="17" t="n">
        <v>46086</v>
      </c>
      <c r="E338" s="15" t="inlineStr"/>
      <c r="F338" s="15" t="inlineStr">
        <is>
          <t>Recebido</t>
        </is>
      </c>
      <c r="G338" s="15" t="inlineStr">
        <is>
          <t>Pagamento com Código QR Pix PATRICIA DE QUADROS F NETTO</t>
        </is>
      </c>
    </row>
    <row r="339">
      <c r="A339" s="15" t="inlineStr">
        <is>
          <t>Receita - Outros</t>
        </is>
      </c>
      <c r="B339" s="15" t="inlineStr">
        <is>
          <t>Receita não categorizada</t>
        </is>
      </c>
      <c r="C339" s="16" t="n">
        <v>25</v>
      </c>
      <c r="D339" s="17" t="n">
        <v>46087</v>
      </c>
      <c r="E339" s="15" t="inlineStr"/>
      <c r="F339" s="15" t="inlineStr">
        <is>
          <t>Recebido</t>
        </is>
      </c>
      <c r="G339" s="15" t="inlineStr">
        <is>
          <t>Transferência recebida pelo Pix - LEONARDO MUNHOZ LUCIO - •••.391.699-•• - ITAÚ UNIBANCO S.A. (0341) Agência: 7826 Conta: 6114-0</t>
        </is>
      </c>
    </row>
    <row r="340">
      <c r="A340" s="15" t="inlineStr">
        <is>
          <t>Receita - Outros</t>
        </is>
      </c>
      <c r="B340" s="15" t="inlineStr">
        <is>
          <t>Receita não categorizada</t>
        </is>
      </c>
      <c r="C340" s="16" t="n">
        <v>25</v>
      </c>
      <c r="D340" s="17" t="n">
        <v>46087</v>
      </c>
      <c r="E340" s="15" t="inlineStr"/>
      <c r="F340" s="15" t="inlineStr">
        <is>
          <t>Recebido</t>
        </is>
      </c>
      <c r="G340" s="15" t="inlineStr">
        <is>
          <t>Transferência recebida pelo Pix - LUIS F OLIVEIRA CARVALHO - •••.882.059-•• - BCO DO BRASIL S.A. (0001) Agência: 2456 Conta: 63982-6</t>
        </is>
      </c>
    </row>
    <row r="341">
      <c r="A341" s="15" t="inlineStr">
        <is>
          <t>Receita - Outros</t>
        </is>
      </c>
      <c r="B341" s="15" t="inlineStr">
        <is>
          <t>Receita não categorizada</t>
        </is>
      </c>
      <c r="C341" s="16" t="n">
        <v>80</v>
      </c>
      <c r="D341" s="17" t="n">
        <v>46088</v>
      </c>
      <c r="E341" s="15" t="inlineStr"/>
      <c r="F341" s="15" t="inlineStr">
        <is>
          <t>Recebido</t>
        </is>
      </c>
      <c r="G341" s="15" t="inlineStr">
        <is>
          <t>Transferência recebida pelo Pix - REGINALDO FRACARO ARAUJO - •••.575.609-•• - BCO BRADESCO S.A. (0237) Agência: 2936 Conta: 22392-1</t>
        </is>
      </c>
    </row>
    <row r="342">
      <c r="A342" s="15" t="inlineStr">
        <is>
          <t>Receita - Outros</t>
        </is>
      </c>
      <c r="B342" s="15" t="inlineStr">
        <is>
          <t>Receita não categorizada</t>
        </is>
      </c>
      <c r="C342" s="16" t="n">
        <v>666.72</v>
      </c>
      <c r="D342" s="17" t="n">
        <v>46090</v>
      </c>
      <c r="E342" s="15" t="inlineStr"/>
      <c r="F342" s="15" t="inlineStr">
        <is>
          <t>Recebido</t>
        </is>
      </c>
      <c r="G342" s="15" t="inlineStr">
        <is>
          <t>Pagamento com Código QR Pix Elaine Cristina Walesko Ouriques</t>
        </is>
      </c>
    </row>
    <row r="343">
      <c r="A343" s="15" t="inlineStr">
        <is>
          <t>Receita - Outros</t>
        </is>
      </c>
      <c r="B343" s="15" t="inlineStr">
        <is>
          <t>Receita não categorizada</t>
        </is>
      </c>
      <c r="C343" s="16" t="n">
        <v>646.8099999999999</v>
      </c>
      <c r="D343" s="17" t="n">
        <v>46092</v>
      </c>
      <c r="E343" s="15" t="inlineStr"/>
      <c r="F343" s="15" t="inlineStr">
        <is>
          <t>Recebido</t>
        </is>
      </c>
      <c r="G343" s="15" t="inlineStr">
        <is>
          <t>Pagamento com Código QR Pix Yara Lopes Raposo</t>
        </is>
      </c>
    </row>
    <row r="344">
      <c r="A344" s="15" t="inlineStr">
        <is>
          <t>Receita - Outros</t>
        </is>
      </c>
      <c r="B344" s="15" t="inlineStr">
        <is>
          <t>Receita não categorizada</t>
        </is>
      </c>
      <c r="C344" s="16" t="n">
        <v>150</v>
      </c>
      <c r="D344" s="17" t="n">
        <v>46092</v>
      </c>
      <c r="E344" s="15" t="inlineStr"/>
      <c r="F344" s="15" t="inlineStr">
        <is>
          <t>Recebido</t>
        </is>
      </c>
      <c r="G344" s="15" t="inlineStr">
        <is>
          <t>Transferência recebida pelo Pix - ZAIDA PORTO SEUS - •••.144.769-•• - BCO BRADESCO S.A. (0237) Agência: 5750 Conta: 655913-1</t>
        </is>
      </c>
    </row>
    <row r="345">
      <c r="A345" s="15" t="inlineStr">
        <is>
          <t>Receita - Outros</t>
        </is>
      </c>
      <c r="B345" s="15" t="inlineStr">
        <is>
          <t>Receita não categorizada</t>
        </is>
      </c>
      <c r="C345" s="16" t="n">
        <v>446.8</v>
      </c>
      <c r="D345" s="17" t="n">
        <v>46098</v>
      </c>
      <c r="E345" s="15" t="inlineStr"/>
      <c r="F345" s="15" t="inlineStr">
        <is>
          <t>Recebido</t>
        </is>
      </c>
      <c r="G345" s="15" t="inlineStr">
        <is>
          <t>Pagamento com Código QR Pix MARIA A S PASSOS</t>
        </is>
      </c>
    </row>
    <row r="346">
      <c r="A346" s="15" t="inlineStr">
        <is>
          <t>Receita - Outros</t>
        </is>
      </c>
      <c r="B346" s="15" t="inlineStr">
        <is>
          <t>Receita não categorizada</t>
        </is>
      </c>
      <c r="C346" s="16" t="n">
        <v>98.51000000000001</v>
      </c>
      <c r="D346" s="17" t="n">
        <v>46099</v>
      </c>
      <c r="E346" s="15" t="inlineStr"/>
      <c r="F346" s="15" t="inlineStr">
        <is>
          <t>Recebido</t>
        </is>
      </c>
      <c r="G346" s="15" t="inlineStr">
        <is>
          <t>Pagamento com Código QR Pix ELIANE APARECIDA BATISTA</t>
        </is>
      </c>
    </row>
    <row r="347">
      <c r="A347" s="15" t="inlineStr">
        <is>
          <t>Receita - Outros</t>
        </is>
      </c>
      <c r="B347" s="15" t="inlineStr">
        <is>
          <t>Receita não categorizada</t>
        </is>
      </c>
      <c r="C347" s="16" t="n">
        <v>45.8</v>
      </c>
      <c r="D347" s="17" t="n">
        <v>46099</v>
      </c>
      <c r="E347" s="15" t="inlineStr"/>
      <c r="F347" s="15" t="inlineStr">
        <is>
          <t>Recebido</t>
        </is>
      </c>
      <c r="G347" s="15" t="inlineStr">
        <is>
          <t>Transferência recebida pelo Pix - BRUNO DE PAULA SEUS - •••.848.059-•• - ITAÚ UNIBANCO S.A. (0341) Agência: 5590 Conta: 13297-2</t>
        </is>
      </c>
    </row>
    <row r="348">
      <c r="A348" s="15" t="inlineStr">
        <is>
          <t>Receita - Outros</t>
        </is>
      </c>
      <c r="B348" s="15" t="inlineStr">
        <is>
          <t>Receita não categorizada</t>
        </is>
      </c>
      <c r="C348" s="16" t="n">
        <v>706.52</v>
      </c>
      <c r="D348" s="17" t="n">
        <v>46106</v>
      </c>
      <c r="E348" s="15" t="inlineStr"/>
      <c r="F348" s="15" t="inlineStr">
        <is>
          <t>Recebido</t>
        </is>
      </c>
      <c r="G348" s="15" t="inlineStr">
        <is>
          <t>Pagamento com Código QR Pix EVA FRANCISCA TORMES DALL OSTO</t>
        </is>
      </c>
    </row>
    <row r="349">
      <c r="A349" s="15" t="inlineStr">
        <is>
          <t>Receita - Outros</t>
        </is>
      </c>
      <c r="B349" s="15" t="inlineStr">
        <is>
          <t>Receita não categorizada</t>
        </is>
      </c>
      <c r="C349" s="16" t="n">
        <v>497.55</v>
      </c>
      <c r="D349" s="17" t="n">
        <v>46106</v>
      </c>
      <c r="E349" s="15" t="inlineStr"/>
      <c r="F349" s="15" t="inlineStr">
        <is>
          <t>Recebido</t>
        </is>
      </c>
      <c r="G349" s="15" t="inlineStr">
        <is>
          <t>Pagamento com Código QR Pix MARCIA PEIXOTO R SILVA</t>
        </is>
      </c>
    </row>
    <row r="350">
      <c r="A350" s="18" t="inlineStr">
        <is>
          <t>Subtotal Receita - Outros</t>
        </is>
      </c>
      <c r="B350" s="19" t="n"/>
      <c r="C350" s="20">
        <f>SUM(C338:C349)</f>
        <v/>
      </c>
      <c r="D350" s="19" t="n"/>
      <c r="E350" s="19" t="n"/>
      <c r="F350" s="19" t="n"/>
      <c r="G350" s="19" t="n"/>
    </row>
    <row r="351">
      <c r="A351" s="12" t="inlineStr">
        <is>
          <t>Contas Fixas</t>
        </is>
      </c>
      <c r="B351" s="23" t="n"/>
      <c r="C351" s="23" t="n"/>
      <c r="D351" s="23" t="n"/>
      <c r="E351" s="23" t="n"/>
      <c r="F351" s="23" t="n"/>
      <c r="G351" s="23" t="n"/>
    </row>
    <row r="352">
      <c r="A352" s="15" t="inlineStr">
        <is>
          <t>Contas Fixas</t>
        </is>
      </c>
      <c r="B352" s="15" t="inlineStr">
        <is>
          <t>Assinatura Meli+</t>
        </is>
      </c>
      <c r="C352" s="16" t="n">
        <v>-9.9</v>
      </c>
      <c r="D352" s="17" t="n">
        <v>46083</v>
      </c>
      <c r="E352" s="15" t="inlineStr"/>
      <c r="F352" s="15" t="inlineStr">
        <is>
          <t>Sem comprovante</t>
        </is>
      </c>
      <c r="G352" s="15" t="inlineStr">
        <is>
          <t>Pagamento de assinatura Meli+</t>
        </is>
      </c>
    </row>
    <row r="353">
      <c r="A353" s="15" t="inlineStr">
        <is>
          <t>Contas Fixas</t>
        </is>
      </c>
      <c r="B353" s="15" t="inlineStr">
        <is>
          <t>Condomínio</t>
        </is>
      </c>
      <c r="C353" s="16" t="n">
        <v>-1002.32</v>
      </c>
      <c r="D353" s="17" t="n">
        <v>46083</v>
      </c>
      <c r="E353" s="15" t="inlineStr"/>
      <c r="F353" s="15" t="inlineStr">
        <is>
          <t>Sem comprovante</t>
        </is>
      </c>
      <c r="G353" s="15" t="inlineStr">
        <is>
          <t>Pix enviado Condominio Edificio Comercial Pinheiro Lima</t>
        </is>
      </c>
    </row>
    <row r="354">
      <c r="A354" s="15" t="inlineStr">
        <is>
          <t>Contas Fixas</t>
        </is>
      </c>
      <c r="B354" s="15" t="inlineStr">
        <is>
          <t>Assinatura Spotify</t>
        </is>
      </c>
      <c r="C354" s="16" t="n">
        <v>-40.9</v>
      </c>
      <c r="D354" s="17" t="n">
        <v>46085</v>
      </c>
      <c r="E354" s="15" t="inlineStr"/>
      <c r="F354" s="15" t="inlineStr">
        <is>
          <t>Sem comprovante</t>
        </is>
      </c>
      <c r="G354" s="15" t="inlineStr">
        <is>
          <t>Compra no débito via NuPay - EBW*Spotify</t>
        </is>
      </c>
    </row>
    <row r="355">
      <c r="A355" s="15" t="inlineStr">
        <is>
          <t>Contas Fixas</t>
        </is>
      </c>
      <c r="B355" s="15" t="inlineStr">
        <is>
          <t>Internet / Telecom</t>
        </is>
      </c>
      <c r="C355" s="16" t="n">
        <v>-96.90000000000001</v>
      </c>
      <c r="D355" s="17" t="n">
        <v>46085</v>
      </c>
      <c r="E355" s="15" t="inlineStr"/>
      <c r="F355" s="15" t="inlineStr">
        <is>
          <t>Sem comprovante</t>
        </is>
      </c>
      <c r="G355" s="15" t="inlineStr">
        <is>
          <t>Pagamento com QR Pix Claro</t>
        </is>
      </c>
    </row>
    <row r="356">
      <c r="A356" s="15" t="inlineStr">
        <is>
          <t>Contas Fixas</t>
        </is>
      </c>
      <c r="B356" s="15" t="inlineStr">
        <is>
          <t>Internet / Telecom</t>
        </is>
      </c>
      <c r="C356" s="16" t="n">
        <v>-172.03</v>
      </c>
      <c r="D356" s="17" t="n">
        <v>46085</v>
      </c>
      <c r="E356" s="15" t="inlineStr">
        <is>
          <t>Internet Casa/00000037-comprovante-148889898862.pdf</t>
        </is>
      </c>
      <c r="F356" s="15" t="inlineStr">
        <is>
          <t>Pago</t>
        </is>
      </c>
      <c r="G356" s="15" t="inlineStr">
        <is>
          <t>Pagamento com QR Pix LIGGA TELECOMUNICACOES S.A.</t>
        </is>
      </c>
    </row>
    <row r="357">
      <c r="A357" s="15" t="inlineStr">
        <is>
          <t>Contas Fixas</t>
        </is>
      </c>
      <c r="B357" s="15" t="inlineStr">
        <is>
          <t>Internet / Telecom</t>
        </is>
      </c>
      <c r="C357" s="16" t="n">
        <v>-279.96</v>
      </c>
      <c r="D357" s="17" t="n">
        <v>46088</v>
      </c>
      <c r="E357" s="15" t="inlineStr"/>
      <c r="F357" s="15" t="inlineStr">
        <is>
          <t>Sem comprovante</t>
        </is>
      </c>
      <c r="G357" s="15" t="inlineStr">
        <is>
          <t>Resgate de empréstimo</t>
        </is>
      </c>
    </row>
    <row r="358">
      <c r="A358" s="15" t="inlineStr">
        <is>
          <t>Contas Fixas</t>
        </is>
      </c>
      <c r="B358" s="15" t="inlineStr">
        <is>
          <t>Internet / Telecom</t>
        </is>
      </c>
      <c r="C358" s="16" t="n">
        <v>4000</v>
      </c>
      <c r="D358" s="17" t="n">
        <v>46093</v>
      </c>
      <c r="E358" s="15" t="inlineStr"/>
      <c r="F358" s="15" t="inlineStr">
        <is>
          <t>Recebido</t>
        </is>
      </c>
      <c r="G358" s="15" t="inlineStr">
        <is>
          <t>Aprovação do Crédito em Parcelas Fixas Empréstimos</t>
        </is>
      </c>
    </row>
    <row r="359">
      <c r="A359" s="15" t="inlineStr">
        <is>
          <t>Contas Fixas</t>
        </is>
      </c>
      <c r="B359" s="15" t="inlineStr">
        <is>
          <t>Luz (Copel)</t>
        </is>
      </c>
      <c r="C359" s="16" t="n">
        <v>-211.73</v>
      </c>
      <c r="D359" s="17" t="n">
        <v>46093</v>
      </c>
      <c r="E359" s="15" t="inlineStr">
        <is>
          <t>Copel Casa/00000031-comprovante-150016529296.pdf</t>
        </is>
      </c>
      <c r="F359" s="15" t="inlineStr">
        <is>
          <t>Pago</t>
        </is>
      </c>
      <c r="G359" s="15" t="inlineStr">
        <is>
          <t>Pagamento com QR Pix COPEL DISTRIBUICAO S.A.</t>
        </is>
      </c>
    </row>
    <row r="360">
      <c r="A360" s="15" t="inlineStr">
        <is>
          <t>Contas Fixas</t>
        </is>
      </c>
      <c r="B360" s="15" t="inlineStr">
        <is>
          <t>Luz (Copel)</t>
        </is>
      </c>
      <c r="C360" s="16" t="n">
        <v>-174.05</v>
      </c>
      <c r="D360" s="17" t="n">
        <v>46093</v>
      </c>
      <c r="E360" s="15" t="inlineStr">
        <is>
          <t>Copel Casa/00000031-comprovante-150016529296.pdf</t>
        </is>
      </c>
      <c r="F360" s="15" t="inlineStr">
        <is>
          <t>Pago</t>
        </is>
      </c>
      <c r="G360" s="15" t="inlineStr">
        <is>
          <t>Pagamento com QR Pix COPEL DISTRIBUICAO S.A.</t>
        </is>
      </c>
    </row>
    <row r="361">
      <c r="A361" s="15" t="inlineStr">
        <is>
          <t>Contas Fixas</t>
        </is>
      </c>
      <c r="B361" s="15" t="inlineStr">
        <is>
          <t>Internet / Telecom</t>
        </is>
      </c>
      <c r="C361" s="16" t="n">
        <v>-3945.34</v>
      </c>
      <c r="D361" s="17" t="n">
        <v>46093</v>
      </c>
      <c r="E361" s="15" t="inlineStr"/>
      <c r="F361" s="15" t="inlineStr">
        <is>
          <t>Sem comprovante</t>
        </is>
      </c>
      <c r="G361" s="15" t="inlineStr">
        <is>
          <t>Pagamento de conta Sorocred - Crédito, Financiamento e Investimento S/A           ...</t>
        </is>
      </c>
    </row>
    <row r="362">
      <c r="A362" s="15" t="inlineStr">
        <is>
          <t>Contas Fixas</t>
        </is>
      </c>
      <c r="B362" s="15" t="inlineStr">
        <is>
          <t>Água (Sanepar)</t>
        </is>
      </c>
      <c r="C362" s="16" t="n">
        <v>-225.53</v>
      </c>
      <c r="D362" s="17" t="n">
        <v>46097</v>
      </c>
      <c r="E362" s="15" t="inlineStr">
        <is>
          <t>Sanepar Curitiba/00000028-comprovante-150594897970.pdf</t>
        </is>
      </c>
      <c r="F362" s="15" t="inlineStr">
        <is>
          <t>Pago</t>
        </is>
      </c>
      <c r="G362" s="15" t="inlineStr">
        <is>
          <t>Pagamento com QR Pix COMPANHIA DE SANEAMENTO DO PARANA SANEPAR</t>
        </is>
      </c>
    </row>
    <row r="363">
      <c r="A363" s="15" t="inlineStr">
        <is>
          <t>Contas Fixas</t>
        </is>
      </c>
      <c r="B363" s="15" t="inlineStr">
        <is>
          <t>Água (Sanepar)</t>
        </is>
      </c>
      <c r="C363" s="16" t="n">
        <v>-154.58</v>
      </c>
      <c r="D363" s="17" t="n">
        <v>46097</v>
      </c>
      <c r="E363" s="15" t="inlineStr">
        <is>
          <t>Sanepar Curitiba/00000028-comprovante-150594897970.pdf</t>
        </is>
      </c>
      <c r="F363" s="15" t="inlineStr">
        <is>
          <t>Pago</t>
        </is>
      </c>
      <c r="G363" s="15" t="inlineStr">
        <is>
          <t>Pagamento com QR Pix COMPANHIA DE SANEAMENTO DO PARANA SANEPAR</t>
        </is>
      </c>
    </row>
    <row r="364">
      <c r="A364" s="15" t="inlineStr">
        <is>
          <t>Contas Fixas</t>
        </is>
      </c>
      <c r="B364" s="15" t="inlineStr">
        <is>
          <t>Água (Sanepar)</t>
        </is>
      </c>
      <c r="C364" s="16" t="n">
        <v>-154.58</v>
      </c>
      <c r="D364" s="17" t="n">
        <v>46097</v>
      </c>
      <c r="E364" s="15" t="inlineStr">
        <is>
          <t>Sanepar Curitiba/00000028-comprovante-150594897970.pdf</t>
        </is>
      </c>
      <c r="F364" s="15" t="inlineStr">
        <is>
          <t>Pago</t>
        </is>
      </c>
      <c r="G364" s="15" t="inlineStr">
        <is>
          <t>Pagamento com QR Pix COMPANHIA DE SANEAMENTO DO PARANA SANEPAR</t>
        </is>
      </c>
    </row>
    <row r="365">
      <c r="A365" s="15" t="inlineStr">
        <is>
          <t>Contas Fixas</t>
        </is>
      </c>
      <c r="B365" s="15" t="inlineStr">
        <is>
          <t>Água (Sanepar)</t>
        </is>
      </c>
      <c r="C365" s="16" t="n">
        <v>-200.44</v>
      </c>
      <c r="D365" s="17" t="n">
        <v>46097</v>
      </c>
      <c r="E365" s="15" t="inlineStr">
        <is>
          <t>Sanepar Curitiba/00000028-comprovante-150594897970.pdf</t>
        </is>
      </c>
      <c r="F365" s="15" t="inlineStr">
        <is>
          <t>Pago</t>
        </is>
      </c>
      <c r="G365" s="15" t="inlineStr">
        <is>
          <t>Pagamento com QR Pix COMPANHIA DE SANEAMENTO DO PARANA SANEPAR</t>
        </is>
      </c>
    </row>
    <row r="366">
      <c r="A366" s="15" t="inlineStr">
        <is>
          <t>Contas Fixas</t>
        </is>
      </c>
      <c r="B366" s="15" t="inlineStr">
        <is>
          <t>Água (Sanepar)</t>
        </is>
      </c>
      <c r="C366" s="16" t="n">
        <v>-260.54</v>
      </c>
      <c r="D366" s="17" t="n">
        <v>46097</v>
      </c>
      <c r="E366" s="15" t="inlineStr">
        <is>
          <t>Sanepar Curitiba/00000028-comprovante-150594897970.pdf</t>
        </is>
      </c>
      <c r="F366" s="15" t="inlineStr">
        <is>
          <t>Pago</t>
        </is>
      </c>
      <c r="G366" s="15" t="inlineStr">
        <is>
          <t>Pagamento com QR Pix COMPANHIA DE SANEAMENTO DO PARANA SANEPAR</t>
        </is>
      </c>
    </row>
    <row r="367">
      <c r="A367" s="15" t="inlineStr">
        <is>
          <t>Contas Fixas</t>
        </is>
      </c>
      <c r="B367" s="15" t="inlineStr">
        <is>
          <t>Estacionamento Studio</t>
        </is>
      </c>
      <c r="C367" s="16" t="n">
        <v>-170</v>
      </c>
      <c r="D367" s="17" t="n">
        <v>46099</v>
      </c>
      <c r="E367" s="15" t="inlineStr">
        <is>
          <t>Estacionameto Studio/00000002-PHOTO-2026-03-18-17-32-40.jpg</t>
        </is>
      </c>
      <c r="F367" s="15" t="inlineStr">
        <is>
          <t>Pago</t>
        </is>
      </c>
      <c r="G367" s="15" t="inlineStr">
        <is>
          <t>Pix enviado Independencia Park Estacionamentos Ltda</t>
        </is>
      </c>
    </row>
    <row r="368">
      <c r="A368" s="15" t="inlineStr">
        <is>
          <t>Contas Fixas</t>
        </is>
      </c>
      <c r="B368" s="15" t="inlineStr">
        <is>
          <t>Internet / Telecom</t>
        </is>
      </c>
      <c r="C368" s="16" t="n">
        <v>-220</v>
      </c>
      <c r="D368" s="17" t="n">
        <v>46101</v>
      </c>
      <c r="E368" s="15" t="inlineStr"/>
      <c r="F368" s="15" t="inlineStr">
        <is>
          <t>Sem comprovante</t>
        </is>
      </c>
      <c r="G368" s="15" t="inlineStr">
        <is>
          <t>Pix enviado Inet Solucoes Em Internet Ltda</t>
        </is>
      </c>
    </row>
    <row r="369">
      <c r="A369" s="18" t="inlineStr">
        <is>
          <t>Subtotal Contas Fixas</t>
        </is>
      </c>
      <c r="B369" s="19" t="n"/>
      <c r="C369" s="20">
        <f>SUM(C352:C368)</f>
        <v/>
      </c>
      <c r="D369" s="19" t="n"/>
      <c r="E369" s="19" t="n"/>
      <c r="F369" s="19" t="n"/>
      <c r="G369" s="19" t="n"/>
    </row>
    <row r="370">
      <c r="A370" s="12" t="inlineStr">
        <is>
          <t>Contas Variáveis</t>
        </is>
      </c>
      <c r="B370" s="23" t="n"/>
      <c r="C370" s="23" t="n"/>
      <c r="D370" s="23" t="n"/>
      <c r="E370" s="23" t="n"/>
      <c r="F370" s="23" t="n"/>
      <c r="G370" s="23" t="n"/>
    </row>
    <row r="371">
      <c r="A371" s="15" t="inlineStr">
        <is>
          <t>Contas Variáveis</t>
        </is>
      </c>
      <c r="B371" s="15" t="inlineStr">
        <is>
          <t>Compra no débito</t>
        </is>
      </c>
      <c r="C371" s="16" t="n">
        <v>-7</v>
      </c>
      <c r="D371" s="17" t="n">
        <v>46082</v>
      </c>
      <c r="E371" s="15" t="inlineStr"/>
      <c r="F371" s="15" t="inlineStr">
        <is>
          <t>Sem comprovante</t>
        </is>
      </c>
      <c r="G371" s="15" t="inlineStr">
        <is>
          <t>Compra no débito - ARMAZEM GARAGEM BAR</t>
        </is>
      </c>
    </row>
    <row r="372">
      <c r="A372" s="15" t="inlineStr">
        <is>
          <t>Contas Variáveis</t>
        </is>
      </c>
      <c r="B372" s="15" t="inlineStr">
        <is>
          <t>iFood</t>
        </is>
      </c>
      <c r="C372" s="16" t="n">
        <v>-77.98999999999999</v>
      </c>
      <c r="D372" s="17" t="n">
        <v>46082</v>
      </c>
      <c r="E372" s="15" t="inlineStr"/>
      <c r="F372" s="15" t="inlineStr">
        <is>
          <t>Sem comprovante</t>
        </is>
      </c>
      <c r="G372" s="15" t="inlineStr">
        <is>
          <t>Pagamento com QR Pix IFOOD.COM AGENCIA DE RESTAURANTES ONLINE S.A.</t>
        </is>
      </c>
    </row>
    <row r="373">
      <c r="A373" s="15" t="inlineStr">
        <is>
          <t>Contas Variáveis</t>
        </is>
      </c>
      <c r="B373" s="15" t="inlineStr">
        <is>
          <t>Google Ads / Google</t>
        </is>
      </c>
      <c r="C373" s="16" t="n">
        <v>-96.98999999999999</v>
      </c>
      <c r="D373" s="17" t="n">
        <v>46086</v>
      </c>
      <c r="E373" s="15" t="inlineStr"/>
      <c r="F373" s="15" t="inlineStr">
        <is>
          <t>Sem comprovante</t>
        </is>
      </c>
      <c r="G373" s="15" t="inlineStr">
        <is>
          <t>Pagamento GOOGLE BRASIL PAGAMENTOS LTDA.</t>
        </is>
      </c>
    </row>
    <row r="374">
      <c r="A374" s="15" t="inlineStr">
        <is>
          <t>Contas Variáveis</t>
        </is>
      </c>
      <c r="B374" s="15" t="inlineStr">
        <is>
          <t>iFood</t>
        </is>
      </c>
      <c r="C374" s="16" t="n">
        <v>-88.11</v>
      </c>
      <c r="D374" s="17" t="n">
        <v>46086</v>
      </c>
      <c r="E374" s="15" t="inlineStr"/>
      <c r="F374" s="15" t="inlineStr">
        <is>
          <t>Sem comprovante</t>
        </is>
      </c>
      <c r="G374" s="15" t="inlineStr">
        <is>
          <t>Pagamento com QR Pix IFOOD COM AGENCIA DE RESTAURANTES ONLINE S A</t>
        </is>
      </c>
    </row>
    <row r="375">
      <c r="A375" s="15" t="inlineStr">
        <is>
          <t>Contas Variáveis</t>
        </is>
      </c>
      <c r="B375" s="15" t="inlineStr">
        <is>
          <t>Compra no débito</t>
        </is>
      </c>
      <c r="C375" s="16" t="n">
        <v>-188.48</v>
      </c>
      <c r="D375" s="17" t="n">
        <v>46088</v>
      </c>
      <c r="E375" s="15" t="inlineStr"/>
      <c r="F375" s="15" t="inlineStr">
        <is>
          <t>Sem comprovante</t>
        </is>
      </c>
      <c r="G375" s="15" t="inlineStr">
        <is>
          <t>Compra no débito - BUFFALO RANCH</t>
        </is>
      </c>
    </row>
    <row r="376">
      <c r="A376" s="15" t="inlineStr">
        <is>
          <t>Contas Variáveis</t>
        </is>
      </c>
      <c r="B376" s="15" t="inlineStr">
        <is>
          <t>Compras Diversas</t>
        </is>
      </c>
      <c r="C376" s="16" t="n">
        <v>-34.38</v>
      </c>
      <c r="D376" s="17" t="n">
        <v>46088</v>
      </c>
      <c r="E376" s="15" t="inlineStr"/>
      <c r="F376" s="15" t="inlineStr">
        <is>
          <t>Sem comprovante</t>
        </is>
      </c>
      <c r="G376" s="15" t="inlineStr">
        <is>
          <t>Compra no débito - CANAL TERRA</t>
        </is>
      </c>
    </row>
    <row r="377">
      <c r="A377" s="15" t="inlineStr">
        <is>
          <t>Contas Variáveis</t>
        </is>
      </c>
      <c r="B377" s="15" t="inlineStr">
        <is>
          <t>Compras Diversas</t>
        </is>
      </c>
      <c r="C377" s="16" t="n">
        <v>-80</v>
      </c>
      <c r="D377" s="17" t="n">
        <v>46088</v>
      </c>
      <c r="E377" s="15" t="inlineStr"/>
      <c r="F377" s="15" t="inlineStr">
        <is>
          <t>Sem comprovante</t>
        </is>
      </c>
      <c r="G377" s="15" t="inlineStr">
        <is>
          <t>Compra no débito - CANAL TERRA</t>
        </is>
      </c>
    </row>
    <row r="378">
      <c r="A378" s="15" t="inlineStr">
        <is>
          <t>Contas Variáveis</t>
        </is>
      </c>
      <c r="B378" s="15" t="inlineStr">
        <is>
          <t>Compra no débito</t>
        </is>
      </c>
      <c r="C378" s="16" t="n">
        <v>-16</v>
      </c>
      <c r="D378" s="17" t="n">
        <v>46088</v>
      </c>
      <c r="E378" s="15" t="inlineStr"/>
      <c r="F378" s="15" t="inlineStr">
        <is>
          <t>Sem comprovante</t>
        </is>
      </c>
      <c r="G378" s="15" t="inlineStr">
        <is>
          <t>Compra no débito - LETTS BURGER AND BAR</t>
        </is>
      </c>
    </row>
    <row r="379">
      <c r="A379" s="15" t="inlineStr">
        <is>
          <t>Contas Variáveis</t>
        </is>
      </c>
      <c r="B379" s="15" t="inlineStr">
        <is>
          <t>Compra no débito</t>
        </is>
      </c>
      <c r="C379" s="16" t="n">
        <v>-5</v>
      </c>
      <c r="D379" s="17" t="n">
        <v>46088</v>
      </c>
      <c r="E379" s="15" t="inlineStr"/>
      <c r="F379" s="15" t="inlineStr">
        <is>
          <t>Sem comprovante</t>
        </is>
      </c>
      <c r="G379" s="15" t="inlineStr">
        <is>
          <t>Compra no débito - LETTS BURGER AND BAR</t>
        </is>
      </c>
    </row>
    <row r="380">
      <c r="A380" s="15" t="inlineStr">
        <is>
          <t>Contas Variáveis</t>
        </is>
      </c>
      <c r="B380" s="15" t="inlineStr">
        <is>
          <t>Compra no débito</t>
        </is>
      </c>
      <c r="C380" s="16" t="n">
        <v>-21</v>
      </c>
      <c r="D380" s="17" t="n">
        <v>46088</v>
      </c>
      <c r="E380" s="15" t="inlineStr"/>
      <c r="F380" s="15" t="inlineStr">
        <is>
          <t>Sem comprovante</t>
        </is>
      </c>
      <c r="G380" s="15" t="inlineStr">
        <is>
          <t>Compra no débito - LETTS ROAD</t>
        </is>
      </c>
    </row>
    <row r="381">
      <c r="A381" s="15" t="inlineStr">
        <is>
          <t>Contas Variáveis</t>
        </is>
      </c>
      <c r="B381" s="15" t="inlineStr">
        <is>
          <t>Compra no débito</t>
        </is>
      </c>
      <c r="C381" s="16" t="n">
        <v>-94.43000000000001</v>
      </c>
      <c r="D381" s="17" t="n">
        <v>46088</v>
      </c>
      <c r="E381" s="15" t="inlineStr"/>
      <c r="F381" s="15" t="inlineStr">
        <is>
          <t>Sem comprovante</t>
        </is>
      </c>
      <c r="G381" s="15" t="inlineStr">
        <is>
          <t>Compra no débito - PELANDA TIBAGI</t>
        </is>
      </c>
    </row>
    <row r="382">
      <c r="A382" s="15" t="inlineStr">
        <is>
          <t>Contas Variáveis</t>
        </is>
      </c>
      <c r="B382" s="15" t="inlineStr">
        <is>
          <t>Farmácia</t>
        </is>
      </c>
      <c r="C382" s="16" t="n">
        <v>-35.98</v>
      </c>
      <c r="D382" s="17" t="n">
        <v>46088</v>
      </c>
      <c r="E382" s="15" t="inlineStr"/>
      <c r="F382" s="15" t="inlineStr">
        <is>
          <t>Sem comprovante</t>
        </is>
      </c>
      <c r="G382" s="15" t="inlineStr">
        <is>
          <t>Pagamento com QR Pix FARMACIA IRMAOS PAVESI LTDA</t>
        </is>
      </c>
    </row>
    <row r="383">
      <c r="A383" s="15" t="inlineStr">
        <is>
          <t>Contas Variáveis</t>
        </is>
      </c>
      <c r="B383" s="15" t="inlineStr">
        <is>
          <t>iFood</t>
        </is>
      </c>
      <c r="C383" s="16" t="n">
        <v>-88.11</v>
      </c>
      <c r="D383" s="17" t="n">
        <v>46089</v>
      </c>
      <c r="E383" s="15" t="inlineStr"/>
      <c r="F383" s="15" t="inlineStr">
        <is>
          <t>Sem comprovante</t>
        </is>
      </c>
      <c r="G383" s="15" t="inlineStr">
        <is>
          <t>Pagamento com QR Pix IFOOD.COM AGENCIA DE RESTAURANTES ONLINE S.A.</t>
        </is>
      </c>
    </row>
    <row r="384">
      <c r="A384" s="15" t="inlineStr">
        <is>
          <t>Contas Variáveis</t>
        </is>
      </c>
      <c r="B384" s="15" t="inlineStr">
        <is>
          <t>Compra no débito</t>
        </is>
      </c>
      <c r="C384" s="16" t="n">
        <v>-66.98999999999999</v>
      </c>
      <c r="D384" s="17" t="n">
        <v>46091</v>
      </c>
      <c r="E384" s="15" t="inlineStr"/>
      <c r="F384" s="15" t="inlineStr">
        <is>
          <t>Sem comprovante</t>
        </is>
      </c>
      <c r="G384" s="15" t="inlineStr">
        <is>
          <t>Compra no débito - RAIA DROGASIL SA</t>
        </is>
      </c>
    </row>
    <row r="385">
      <c r="A385" s="15" t="inlineStr">
        <is>
          <t>Contas Variáveis</t>
        </is>
      </c>
      <c r="B385" s="15" t="inlineStr">
        <is>
          <t>Combustível</t>
        </is>
      </c>
      <c r="C385" s="16" t="n">
        <v>-41.87</v>
      </c>
      <c r="D385" s="17" t="n">
        <v>46092</v>
      </c>
      <c r="E385" s="15" t="inlineStr"/>
      <c r="F385" s="15" t="inlineStr">
        <is>
          <t>Sem comprovante</t>
        </is>
      </c>
      <c r="G385" s="15" t="inlineStr">
        <is>
          <t>Compra no débito - AUTO POSTO TS LTDA</t>
        </is>
      </c>
    </row>
    <row r="386">
      <c r="A386" s="15" t="inlineStr">
        <is>
          <t>Contas Variáveis</t>
        </is>
      </c>
      <c r="B386" s="15" t="inlineStr">
        <is>
          <t>Restaurante / Alimentação</t>
        </is>
      </c>
      <c r="C386" s="16" t="n">
        <v>-30</v>
      </c>
      <c r="D386" s="17" t="n">
        <v>46092</v>
      </c>
      <c r="E386" s="15" t="inlineStr"/>
      <c r="F386" s="15" t="inlineStr">
        <is>
          <t>Sem comprovante</t>
        </is>
      </c>
      <c r="G386" s="15" t="inlineStr">
        <is>
          <t>Compra no débito - RESTAURANTE DO SANDRIN</t>
        </is>
      </c>
    </row>
    <row r="387">
      <c r="A387" s="15" t="inlineStr">
        <is>
          <t>Contas Variáveis</t>
        </is>
      </c>
      <c r="B387" s="15" t="inlineStr">
        <is>
          <t>Compra no débito</t>
        </is>
      </c>
      <c r="C387" s="16" t="n">
        <v>-2.05</v>
      </c>
      <c r="D387" s="17" t="n">
        <v>46093</v>
      </c>
      <c r="E387" s="15" t="inlineStr"/>
      <c r="F387" s="15" t="inlineStr">
        <is>
          <t>Sem comprovante</t>
        </is>
      </c>
      <c r="G387" s="15" t="inlineStr">
        <is>
          <t>Compra no débito - RECEFER FERRAGENS</t>
        </is>
      </c>
    </row>
    <row r="388">
      <c r="A388" s="15" t="inlineStr">
        <is>
          <t>Contas Variáveis</t>
        </is>
      </c>
      <c r="B388" s="15" t="inlineStr">
        <is>
          <t>iFood</t>
        </is>
      </c>
      <c r="C388" s="16" t="n">
        <v>-40.89</v>
      </c>
      <c r="D388" s="17" t="n">
        <v>46094</v>
      </c>
      <c r="E388" s="15" t="inlineStr"/>
      <c r="F388" s="15" t="inlineStr">
        <is>
          <t>Sem comprovante</t>
        </is>
      </c>
      <c r="G388" s="15" t="inlineStr">
        <is>
          <t>Pagamento com QR Pix IFOOD.COM AGENCIA DE RESTAURANTES ONLINE S.A.</t>
        </is>
      </c>
    </row>
    <row r="389">
      <c r="A389" s="15" t="inlineStr">
        <is>
          <t>Contas Variáveis</t>
        </is>
      </c>
      <c r="B389" s="15" t="inlineStr">
        <is>
          <t>Compra no débito</t>
        </is>
      </c>
      <c r="C389" s="16" t="n">
        <v>-13.49</v>
      </c>
      <c r="D389" s="17" t="n">
        <v>46096</v>
      </c>
      <c r="E389" s="15" t="inlineStr"/>
      <c r="F389" s="15" t="inlineStr">
        <is>
          <t>Sem comprovante</t>
        </is>
      </c>
      <c r="G389" s="15" t="inlineStr">
        <is>
          <t>Compra no débito - CAFE VICTORIA LTDA</t>
        </is>
      </c>
    </row>
    <row r="390">
      <c r="A390" s="15" t="inlineStr">
        <is>
          <t>Contas Variáveis</t>
        </is>
      </c>
      <c r="B390" s="15" t="inlineStr">
        <is>
          <t>Compra no débito</t>
        </is>
      </c>
      <c r="C390" s="16" t="n">
        <v>-50.29</v>
      </c>
      <c r="D390" s="17" t="n">
        <v>46100</v>
      </c>
      <c r="E390" s="15" t="inlineStr"/>
      <c r="F390" s="15" t="inlineStr">
        <is>
          <t>Sem comprovante</t>
        </is>
      </c>
      <c r="G390" s="15" t="inlineStr">
        <is>
          <t>Compra no débito - CAFE VICTORIA LTDA</t>
        </is>
      </c>
    </row>
    <row r="391">
      <c r="A391" s="15" t="inlineStr">
        <is>
          <t>Contas Variáveis</t>
        </is>
      </c>
      <c r="B391" s="15" t="inlineStr">
        <is>
          <t>iFood</t>
        </is>
      </c>
      <c r="C391" s="16" t="n">
        <v>-88.11</v>
      </c>
      <c r="D391" s="17" t="n">
        <v>46100</v>
      </c>
      <c r="E391" s="15" t="inlineStr"/>
      <c r="F391" s="15" t="inlineStr">
        <is>
          <t>Sem comprovante</t>
        </is>
      </c>
      <c r="G391" s="15" t="inlineStr">
        <is>
          <t>Pagamento com QR Pix IFOOD.COM AGENCIA DE RESTAURANTES ONLINE S.A.</t>
        </is>
      </c>
    </row>
    <row r="392">
      <c r="A392" s="15" t="inlineStr">
        <is>
          <t>Contas Variáveis</t>
        </is>
      </c>
      <c r="B392" s="15" t="inlineStr">
        <is>
          <t>Combustível</t>
        </is>
      </c>
      <c r="C392" s="16" t="n">
        <v>-38.89</v>
      </c>
      <c r="D392" s="17" t="n">
        <v>46103</v>
      </c>
      <c r="E392" s="15" t="inlineStr"/>
      <c r="F392" s="15" t="inlineStr">
        <is>
          <t>Sem comprovante</t>
        </is>
      </c>
      <c r="G392" s="15" t="inlineStr">
        <is>
          <t>Compra no débito - AutoPostoJardim</t>
        </is>
      </c>
    </row>
    <row r="393">
      <c r="A393" s="15" t="inlineStr">
        <is>
          <t>Contas Variáveis</t>
        </is>
      </c>
      <c r="B393" s="15" t="inlineStr">
        <is>
          <t>Compra no débito</t>
        </is>
      </c>
      <c r="C393" s="16" t="n">
        <v>-26</v>
      </c>
      <c r="D393" s="17" t="n">
        <v>46103</v>
      </c>
      <c r="E393" s="15" t="inlineStr"/>
      <c r="F393" s="15" t="inlineStr">
        <is>
          <t>Sem comprovante</t>
        </is>
      </c>
      <c r="G393" s="15" t="inlineStr">
        <is>
          <t>Compra no débito - LETTS BURGER AND BAR</t>
        </is>
      </c>
    </row>
    <row r="394">
      <c r="A394" s="15" t="inlineStr">
        <is>
          <t>Contas Variáveis</t>
        </is>
      </c>
      <c r="B394" s="15" t="inlineStr">
        <is>
          <t>Compra no débito</t>
        </is>
      </c>
      <c r="C394" s="16" t="n">
        <v>-29</v>
      </c>
      <c r="D394" s="17" t="n">
        <v>46105</v>
      </c>
      <c r="E394" s="15" t="inlineStr"/>
      <c r="F394" s="15" t="inlineStr">
        <is>
          <t>Sem comprovante</t>
        </is>
      </c>
      <c r="G394" s="15" t="inlineStr">
        <is>
          <t>Compra no débito - BrownCafeGourmet</t>
        </is>
      </c>
    </row>
    <row r="395">
      <c r="A395" s="15" t="inlineStr">
        <is>
          <t>Contas Variáveis</t>
        </is>
      </c>
      <c r="B395" s="15" t="inlineStr">
        <is>
          <t>Restaurante / Alimentação</t>
        </is>
      </c>
      <c r="C395" s="16" t="n">
        <v>-47.5</v>
      </c>
      <c r="D395" s="17" t="n">
        <v>46105</v>
      </c>
      <c r="E395" s="15" t="inlineStr"/>
      <c r="F395" s="15" t="inlineStr">
        <is>
          <t>Sem comprovante</t>
        </is>
      </c>
      <c r="G395" s="15" t="inlineStr">
        <is>
          <t>Pagamento com QR Pix MINEIRINHO RESTAURANTE E HAPPY HOUR LTDA</t>
        </is>
      </c>
    </row>
    <row r="396">
      <c r="A396" s="15" t="inlineStr">
        <is>
          <t>Contas Variáveis</t>
        </is>
      </c>
      <c r="B396" s="15" t="inlineStr">
        <is>
          <t>Restaurante / Alimentação</t>
        </is>
      </c>
      <c r="C396" s="16" t="n">
        <v>-5</v>
      </c>
      <c r="D396" s="17" t="n">
        <v>46108</v>
      </c>
      <c r="E396" s="15" t="inlineStr"/>
      <c r="F396" s="15" t="inlineStr">
        <is>
          <t>Sem comprovante</t>
        </is>
      </c>
      <c r="G396" s="15" t="inlineStr">
        <is>
          <t>Compra no débito - LIRIO DA PAZ</t>
        </is>
      </c>
    </row>
    <row r="397">
      <c r="A397" s="15" t="inlineStr">
        <is>
          <t>Contas Variáveis</t>
        </is>
      </c>
      <c r="B397" s="15" t="inlineStr">
        <is>
          <t>iFood</t>
        </is>
      </c>
      <c r="C397" s="16" t="n">
        <v>-64.73999999999999</v>
      </c>
      <c r="D397" s="17" t="n">
        <v>46108</v>
      </c>
      <c r="E397" s="15" t="inlineStr"/>
      <c r="F397" s="15" t="inlineStr">
        <is>
          <t>Sem comprovante</t>
        </is>
      </c>
      <c r="G397" s="15" t="inlineStr">
        <is>
          <t>Pagamento com QR Pix IFOOD.COM AGENCIA DE RESTAURANTES ONLINE S.A.</t>
        </is>
      </c>
    </row>
    <row r="398">
      <c r="A398" s="15" t="inlineStr">
        <is>
          <t>Contas Variáveis</t>
        </is>
      </c>
      <c r="B398" s="15" t="inlineStr">
        <is>
          <t>Compra no débito</t>
        </is>
      </c>
      <c r="C398" s="16" t="n">
        <v>-58</v>
      </c>
      <c r="D398" s="17" t="n">
        <v>46109</v>
      </c>
      <c r="E398" s="15" t="inlineStr"/>
      <c r="F398" s="15" t="inlineStr">
        <is>
          <t>Sem comprovante</t>
        </is>
      </c>
      <c r="G398" s="15" t="inlineStr">
        <is>
          <t>Compra no débito - BACKSTUBE KLIEWER</t>
        </is>
      </c>
    </row>
    <row r="399">
      <c r="A399" s="15" t="inlineStr">
        <is>
          <t>Contas Variáveis</t>
        </is>
      </c>
      <c r="B399" s="15" t="inlineStr">
        <is>
          <t>Bar / Cerveja</t>
        </is>
      </c>
      <c r="C399" s="16" t="n">
        <v>-42</v>
      </c>
      <c r="D399" s="17" t="n">
        <v>46109</v>
      </c>
      <c r="E399" s="15" t="inlineStr"/>
      <c r="F399" s="15" t="inlineStr">
        <is>
          <t>Sem comprovante</t>
        </is>
      </c>
      <c r="G399" s="15" t="inlineStr">
        <is>
          <t>Compra no débito - BASTARDS</t>
        </is>
      </c>
    </row>
    <row r="400">
      <c r="A400" s="15" t="inlineStr">
        <is>
          <t>Contas Variáveis</t>
        </is>
      </c>
      <c r="B400" s="15" t="inlineStr">
        <is>
          <t>Compra no débito</t>
        </is>
      </c>
      <c r="C400" s="16" t="n">
        <v>-17</v>
      </c>
      <c r="D400" s="17" t="n">
        <v>46109</v>
      </c>
      <c r="E400" s="15" t="inlineStr"/>
      <c r="F400" s="15" t="inlineStr">
        <is>
          <t>Sem comprovante</t>
        </is>
      </c>
      <c r="G400" s="15" t="inlineStr">
        <is>
          <t>Compra no débito - LETTS BURGER AND BAR</t>
        </is>
      </c>
    </row>
    <row r="401">
      <c r="A401" s="15" t="inlineStr">
        <is>
          <t>Contas Variáveis</t>
        </is>
      </c>
      <c r="B401" s="15" t="inlineStr">
        <is>
          <t>Compra no débito</t>
        </is>
      </c>
      <c r="C401" s="16" t="n">
        <v>-37</v>
      </c>
      <c r="D401" s="17" t="n">
        <v>46109</v>
      </c>
      <c r="E401" s="15" t="inlineStr"/>
      <c r="F401" s="15" t="inlineStr">
        <is>
          <t>Sem comprovante</t>
        </is>
      </c>
      <c r="G401" s="15" t="inlineStr">
        <is>
          <t>Compra no débito - LETTS ROAD</t>
        </is>
      </c>
    </row>
    <row r="402">
      <c r="A402" s="15" t="inlineStr">
        <is>
          <t>Contas Variáveis</t>
        </is>
      </c>
      <c r="B402" s="15" t="inlineStr">
        <is>
          <t>Bar / Cerveja</t>
        </is>
      </c>
      <c r="C402" s="16" t="n">
        <v>-56</v>
      </c>
      <c r="D402" s="17" t="n">
        <v>46109</v>
      </c>
      <c r="E402" s="15" t="inlineStr"/>
      <c r="F402" s="15" t="inlineStr">
        <is>
          <t>Sem comprovante</t>
        </is>
      </c>
      <c r="G402" s="15" t="inlineStr">
        <is>
          <t>Pagamento com QR Pix BASTARDS TAPROOM LTDA</t>
        </is>
      </c>
    </row>
    <row r="403">
      <c r="A403" s="15" t="inlineStr">
        <is>
          <t>Contas Variáveis</t>
        </is>
      </c>
      <c r="B403" s="15" t="inlineStr">
        <is>
          <t>iFood</t>
        </is>
      </c>
      <c r="C403" s="16" t="n">
        <v>-34.88</v>
      </c>
      <c r="D403" s="17" t="n">
        <v>46109</v>
      </c>
      <c r="E403" s="15" t="inlineStr"/>
      <c r="F403" s="15" t="inlineStr">
        <is>
          <t>Sem comprovante</t>
        </is>
      </c>
      <c r="G403" s="15" t="inlineStr">
        <is>
          <t>Pagamento com QR Pix IFOOD.COM AGENCIA DE RESTAURANTES ONLINE S.A.</t>
        </is>
      </c>
    </row>
    <row r="404">
      <c r="A404" s="15" t="inlineStr">
        <is>
          <t>Contas Variáveis</t>
        </is>
      </c>
      <c r="B404" s="15" t="inlineStr">
        <is>
          <t>Compra no débito</t>
        </is>
      </c>
      <c r="C404" s="16" t="n">
        <v>-4.35</v>
      </c>
      <c r="D404" s="17" t="n">
        <v>46110</v>
      </c>
      <c r="E404" s="15" t="inlineStr"/>
      <c r="F404" s="15" t="inlineStr">
        <is>
          <t>Sem comprovante</t>
        </is>
      </c>
      <c r="G404" s="15" t="inlineStr">
        <is>
          <t>Compra no débito - AUTOPISTA PLANALTO SUL</t>
        </is>
      </c>
    </row>
    <row r="405">
      <c r="A405" s="15" t="inlineStr">
        <is>
          <t>Contas Variáveis</t>
        </is>
      </c>
      <c r="B405" s="15" t="inlineStr">
        <is>
          <t>Compra no débito</t>
        </is>
      </c>
      <c r="C405" s="16" t="n">
        <v>-8</v>
      </c>
      <c r="D405" s="17" t="n">
        <v>46110</v>
      </c>
      <c r="E405" s="15" t="inlineStr"/>
      <c r="F405" s="15" t="inlineStr">
        <is>
          <t>Sem comprovante</t>
        </is>
      </c>
      <c r="G405" s="15" t="inlineStr">
        <is>
          <t>Compra no débito - LANCHONETE PELANDA 16</t>
        </is>
      </c>
    </row>
    <row r="406">
      <c r="A406" s="15" t="inlineStr">
        <is>
          <t>Contas Variáveis</t>
        </is>
      </c>
      <c r="B406" s="15" t="inlineStr">
        <is>
          <t>Compra no débito</t>
        </is>
      </c>
      <c r="C406" s="16" t="n">
        <v>-42.05</v>
      </c>
      <c r="D406" s="17" t="n">
        <v>46110</v>
      </c>
      <c r="E406" s="15" t="inlineStr"/>
      <c r="F406" s="15" t="inlineStr">
        <is>
          <t>Sem comprovante</t>
        </is>
      </c>
      <c r="G406" s="15" t="inlineStr">
        <is>
          <t>Compra no débito - PANETELLI</t>
        </is>
      </c>
    </row>
    <row r="407">
      <c r="A407" s="15" t="inlineStr">
        <is>
          <t>Contas Variáveis</t>
        </is>
      </c>
      <c r="B407" s="15" t="inlineStr">
        <is>
          <t>Compra no débito</t>
        </is>
      </c>
      <c r="C407" s="16" t="n">
        <v>-2.85</v>
      </c>
      <c r="D407" s="17" t="n">
        <v>46110</v>
      </c>
      <c r="E407" s="15" t="inlineStr"/>
      <c r="F407" s="15" t="inlineStr">
        <is>
          <t>Sem comprovante</t>
        </is>
      </c>
      <c r="G407" s="15" t="inlineStr">
        <is>
          <t>Compra no débito - PISTA 1</t>
        </is>
      </c>
    </row>
    <row r="408">
      <c r="A408" s="15" t="inlineStr">
        <is>
          <t>Contas Variáveis</t>
        </is>
      </c>
      <c r="B408" s="15" t="inlineStr">
        <is>
          <t>Compra no débito</t>
        </is>
      </c>
      <c r="C408" s="16" t="n">
        <v>-5.7</v>
      </c>
      <c r="D408" s="17" t="n">
        <v>46110</v>
      </c>
      <c r="E408" s="15" t="inlineStr"/>
      <c r="F408" s="15" t="inlineStr">
        <is>
          <t>Sem comprovante</t>
        </is>
      </c>
      <c r="G408" s="15" t="inlineStr">
        <is>
          <t>Compra no débito - PISTA 2</t>
        </is>
      </c>
    </row>
    <row r="409">
      <c r="A409" s="15" t="inlineStr">
        <is>
          <t>Contas Variáveis</t>
        </is>
      </c>
      <c r="B409" s="15" t="inlineStr">
        <is>
          <t>Combustível</t>
        </is>
      </c>
      <c r="C409" s="16" t="n">
        <v>-60.89</v>
      </c>
      <c r="D409" s="17" t="n">
        <v>46110</v>
      </c>
      <c r="E409" s="15" t="inlineStr"/>
      <c r="F409" s="15" t="inlineStr">
        <is>
          <t>Sem comprovante</t>
        </is>
      </c>
      <c r="G409" s="15" t="inlineStr">
        <is>
          <t>Compra no débito - POSTO Z11 LTDA</t>
        </is>
      </c>
    </row>
    <row r="410">
      <c r="A410" s="15" t="inlineStr">
        <is>
          <t>Contas Variáveis</t>
        </is>
      </c>
      <c r="B410" s="15" t="inlineStr">
        <is>
          <t>Compra no débito</t>
        </is>
      </c>
      <c r="C410" s="16" t="n">
        <v>-8</v>
      </c>
      <c r="D410" s="17" t="n">
        <v>46110</v>
      </c>
      <c r="E410" s="15" t="inlineStr"/>
      <c r="F410" s="15" t="inlineStr">
        <is>
          <t>Sem comprovante</t>
        </is>
      </c>
      <c r="G410" s="15" t="inlineStr">
        <is>
          <t>Compra no débito - Veronica</t>
        </is>
      </c>
    </row>
    <row r="411">
      <c r="A411" s="18" t="inlineStr">
        <is>
          <t>Subtotal Contas Variáveis</t>
        </is>
      </c>
      <c r="B411" s="19" t="n"/>
      <c r="C411" s="20">
        <f>SUM(C371:C410)</f>
        <v/>
      </c>
      <c r="D411" s="19" t="n"/>
      <c r="E411" s="19" t="n"/>
      <c r="F411" s="19" t="n"/>
      <c r="G411" s="19" t="n"/>
    </row>
    <row r="412">
      <c r="A412" s="12" t="inlineStr">
        <is>
          <t>Pessoal</t>
        </is>
      </c>
      <c r="B412" s="23" t="n"/>
      <c r="C412" s="23" t="n"/>
      <c r="D412" s="23" t="n"/>
      <c r="E412" s="23" t="n"/>
      <c r="F412" s="23" t="n"/>
      <c r="G412" s="23" t="n"/>
    </row>
    <row r="413">
      <c r="A413" s="15" t="inlineStr">
        <is>
          <t>Pessoal</t>
        </is>
      </c>
      <c r="B413" s="15" t="inlineStr">
        <is>
          <t>Bruno Luiz (familiar)</t>
        </is>
      </c>
      <c r="C413" s="16" t="n">
        <v>-200</v>
      </c>
      <c r="D413" s="17" t="n">
        <v>46086</v>
      </c>
      <c r="E413" s="15" t="inlineStr"/>
      <c r="F413" s="15" t="inlineStr">
        <is>
          <t>Sem comprovante</t>
        </is>
      </c>
      <c r="G413" s="15" t="inlineStr">
        <is>
          <t>Transferência enviada pelo Pix - BRUNO LUIZ SASTRE SEUS JUNIOR - •••.516.739-•• - BCO BRADESCO S.A. (0237) Agência: 3925 Conta: 165900-6</t>
        </is>
      </c>
    </row>
    <row r="414">
      <c r="A414" s="15" t="inlineStr">
        <is>
          <t>Pessoal</t>
        </is>
      </c>
      <c r="B414" s="15" t="inlineStr">
        <is>
          <t>Eliane</t>
        </is>
      </c>
      <c r="C414" s="16" t="n">
        <v>-1340</v>
      </c>
      <c r="D414" s="17" t="n">
        <v>46087</v>
      </c>
      <c r="E414" s="15" t="inlineStr"/>
      <c r="F414" s="15" t="inlineStr">
        <is>
          <t>Sem comprovante</t>
        </is>
      </c>
      <c r="G414" s="15" t="inlineStr">
        <is>
          <t>Pix enviado Eliane do Rocio de Lima</t>
        </is>
      </c>
    </row>
    <row r="415">
      <c r="A415" s="15" t="inlineStr">
        <is>
          <t>Pessoal</t>
        </is>
      </c>
      <c r="B415" s="15" t="inlineStr">
        <is>
          <t>Marco</t>
        </is>
      </c>
      <c r="C415" s="16" t="n">
        <v>-310</v>
      </c>
      <c r="D415" s="17" t="n">
        <v>46088</v>
      </c>
      <c r="E415" s="15" t="inlineStr"/>
      <c r="F415" s="15" t="inlineStr">
        <is>
          <t>Sem comprovante</t>
        </is>
      </c>
      <c r="G415" s="15" t="inlineStr">
        <is>
          <t>Pix enviado Marco Aurelio de Moura Leite</t>
        </is>
      </c>
    </row>
    <row r="416">
      <c r="A416" s="15" t="inlineStr">
        <is>
          <t>Pessoal</t>
        </is>
      </c>
      <c r="B416" s="15" t="inlineStr">
        <is>
          <t>Joseli</t>
        </is>
      </c>
      <c r="C416" s="16" t="n">
        <v>-50</v>
      </c>
      <c r="D416" s="17" t="n">
        <v>46091</v>
      </c>
      <c r="E416" s="15" t="inlineStr"/>
      <c r="F416" s="15" t="inlineStr">
        <is>
          <t>Sem comprovante</t>
        </is>
      </c>
      <c r="G416" s="15" t="inlineStr">
        <is>
          <t>Pix enviado Joseli de Fuccio Santos</t>
        </is>
      </c>
    </row>
    <row r="417">
      <c r="A417" s="15" t="inlineStr">
        <is>
          <t>Pessoal</t>
        </is>
      </c>
      <c r="B417" s="15" t="inlineStr">
        <is>
          <t>Bruno Luiz (familiar)</t>
        </is>
      </c>
      <c r="C417" s="16" t="n">
        <v>-240</v>
      </c>
      <c r="D417" s="17" t="n">
        <v>46091</v>
      </c>
      <c r="E417" s="15" t="inlineStr"/>
      <c r="F417" s="15" t="inlineStr">
        <is>
          <t>Sem comprovante</t>
        </is>
      </c>
      <c r="G417" s="15" t="inlineStr">
        <is>
          <t>Transferência enviada pelo Pix - BRUNO LUIZ SASTRE SEUS JUNIOR - •••.516.739-•• - BCO BRADESCO S.A. (0237) Agência: 3925 Conta: 165900-6</t>
        </is>
      </c>
    </row>
    <row r="418">
      <c r="A418" s="15" t="inlineStr">
        <is>
          <t>Pessoal</t>
        </is>
      </c>
      <c r="B418" s="15" t="inlineStr">
        <is>
          <t>Bruno Luiz (familiar)</t>
        </is>
      </c>
      <c r="C418" s="16" t="n">
        <v>-200</v>
      </c>
      <c r="D418" s="17" t="n">
        <v>46094</v>
      </c>
      <c r="E418" s="15" t="inlineStr"/>
      <c r="F418" s="15" t="inlineStr">
        <is>
          <t>Sem comprovante</t>
        </is>
      </c>
      <c r="G418" s="15" t="inlineStr">
        <is>
          <t>Transferência enviada pelo Pix - BRUNO LUIZ SASTRE SEUS JUNIOR - •••.516.739-•• - BCO BRADESCO S.A. (0237) Agência: 3925 Conta: 165900-6</t>
        </is>
      </c>
    </row>
    <row r="419">
      <c r="A419" s="15" t="inlineStr">
        <is>
          <t>Pessoal</t>
        </is>
      </c>
      <c r="B419" s="15" t="inlineStr">
        <is>
          <t>Marco</t>
        </is>
      </c>
      <c r="C419" s="16" t="n">
        <v>-637.17</v>
      </c>
      <c r="D419" s="17" t="n">
        <v>46095</v>
      </c>
      <c r="E419" s="15" t="inlineStr"/>
      <c r="F419" s="15" t="inlineStr">
        <is>
          <t>Sem comprovante</t>
        </is>
      </c>
      <c r="G419" s="15" t="inlineStr">
        <is>
          <t>Pix enviado Marco Aurelio de Moura Leite</t>
        </is>
      </c>
    </row>
    <row r="420">
      <c r="A420" s="15" t="inlineStr">
        <is>
          <t>Pessoal</t>
        </is>
      </c>
      <c r="B420" s="15" t="inlineStr">
        <is>
          <t>Eliane</t>
        </is>
      </c>
      <c r="C420" s="16" t="n">
        <v>-136</v>
      </c>
      <c r="D420" s="17" t="n">
        <v>46099</v>
      </c>
      <c r="E420" s="15" t="inlineStr"/>
      <c r="F420" s="15" t="inlineStr">
        <is>
          <t>Sem comprovante</t>
        </is>
      </c>
      <c r="G420" s="15" t="inlineStr">
        <is>
          <t>Pix enviado Eliane do Rocio de Lima</t>
        </is>
      </c>
    </row>
    <row r="421">
      <c r="A421" s="15" t="inlineStr">
        <is>
          <t>Pessoal</t>
        </is>
      </c>
      <c r="B421" s="15" t="inlineStr">
        <is>
          <t>Marco</t>
        </is>
      </c>
      <c r="C421" s="16" t="n">
        <v>-484.38</v>
      </c>
      <c r="D421" s="17" t="n">
        <v>46100</v>
      </c>
      <c r="E421" s="15" t="inlineStr"/>
      <c r="F421" s="15" t="inlineStr">
        <is>
          <t>Sem comprovante</t>
        </is>
      </c>
      <c r="G421" s="15" t="inlineStr">
        <is>
          <t>Pix enviado Marco Aurelio de Moura Leite</t>
        </is>
      </c>
    </row>
    <row r="422">
      <c r="A422" s="15" t="inlineStr">
        <is>
          <t>Pessoal</t>
        </is>
      </c>
      <c r="B422" s="15" t="inlineStr">
        <is>
          <t>Bruno Luiz (familiar)</t>
        </is>
      </c>
      <c r="C422" s="16" t="n">
        <v>-200</v>
      </c>
      <c r="D422" s="17" t="n">
        <v>46100</v>
      </c>
      <c r="E422" s="15" t="inlineStr"/>
      <c r="F422" s="15" t="inlineStr">
        <is>
          <t>Sem comprovante</t>
        </is>
      </c>
      <c r="G422" s="15" t="inlineStr">
        <is>
          <t>Transferência enviada pelo Pix - BRUNO LUIZ SASTRE SEUS JUNIOR - •••.516.739-•• - BCO BRADESCO S.A. (0237) Agência: 3925 Conta: 165900-6</t>
        </is>
      </c>
    </row>
    <row r="423">
      <c r="A423" s="15" t="inlineStr">
        <is>
          <t>Pessoal</t>
        </is>
      </c>
      <c r="B423" s="15" t="inlineStr">
        <is>
          <t>Marco</t>
        </is>
      </c>
      <c r="C423" s="16" t="n">
        <v>-100</v>
      </c>
      <c r="D423" s="17" t="n">
        <v>46107</v>
      </c>
      <c r="E423" s="15" t="inlineStr">
        <is>
          <t>Marco/00000095-PHOTO-2026-03-27-18-48-54.jpg</t>
        </is>
      </c>
      <c r="F423" s="15" t="inlineStr">
        <is>
          <t>Pago</t>
        </is>
      </c>
      <c r="G423" s="15" t="inlineStr">
        <is>
          <t>Pix enviado Marco Aurelio de Moura Leite</t>
        </is>
      </c>
    </row>
    <row r="424">
      <c r="A424" s="15" t="inlineStr">
        <is>
          <t>Pessoal</t>
        </is>
      </c>
      <c r="B424" s="15" t="inlineStr">
        <is>
          <t>Simone (Casa)</t>
        </is>
      </c>
      <c r="C424" s="16" t="n">
        <v>-200</v>
      </c>
      <c r="D424" s="17" t="n">
        <v>46107</v>
      </c>
      <c r="E424" s="15" t="inlineStr"/>
      <c r="F424" s="15" t="inlineStr">
        <is>
          <t>Sem comprovante</t>
        </is>
      </c>
      <c r="G424" s="15" t="inlineStr">
        <is>
          <t>Pix enviado Simone Muniz Martins de Moura</t>
        </is>
      </c>
    </row>
    <row r="425">
      <c r="A425" s="15" t="inlineStr">
        <is>
          <t>Pessoal</t>
        </is>
      </c>
      <c r="B425" s="15" t="inlineStr">
        <is>
          <t>Bruno Luiz (familiar)</t>
        </is>
      </c>
      <c r="C425" s="16" t="n">
        <v>-200</v>
      </c>
      <c r="D425" s="17" t="n">
        <v>46107</v>
      </c>
      <c r="E425" s="15" t="inlineStr"/>
      <c r="F425" s="15" t="inlineStr">
        <is>
          <t>Sem comprovante</t>
        </is>
      </c>
      <c r="G425" s="15" t="inlineStr">
        <is>
          <t>Transferência enviada pelo Pix - BRUNO LUIZ SASTRE SEUS JUNIOR - •••.516.739-•• - BCO BRADESCO S.A. (0237) Agência: 3925 Conta: 165900-6</t>
        </is>
      </c>
    </row>
    <row r="426">
      <c r="A426" s="15" t="inlineStr">
        <is>
          <t>Pessoal</t>
        </is>
      </c>
      <c r="B426" s="15" t="inlineStr">
        <is>
          <t>Marco</t>
        </is>
      </c>
      <c r="C426" s="16" t="n">
        <v>-830</v>
      </c>
      <c r="D426" s="17" t="n">
        <v>46108</v>
      </c>
      <c r="E426" s="15" t="inlineStr">
        <is>
          <t>Marco/00000095-PHOTO-2026-03-27-18-48-54.jpg</t>
        </is>
      </c>
      <c r="F426" s="15" t="inlineStr">
        <is>
          <t>Pago</t>
        </is>
      </c>
      <c r="G426" s="15" t="inlineStr">
        <is>
          <t>Pix enviado Marco Aurelio de Moura Leite</t>
        </is>
      </c>
    </row>
    <row r="427">
      <c r="A427" s="15" t="inlineStr">
        <is>
          <t>Pessoal</t>
        </is>
      </c>
      <c r="B427" s="15" t="inlineStr">
        <is>
          <t>Neemias</t>
        </is>
      </c>
      <c r="C427" s="16" t="n">
        <v>-350</v>
      </c>
      <c r="D427" s="17" t="n">
        <v>46111</v>
      </c>
      <c r="E427" s="15" t="inlineStr"/>
      <c r="F427" s="15" t="inlineStr">
        <is>
          <t>Sem comprovante</t>
        </is>
      </c>
      <c r="G427" s="15" t="inlineStr">
        <is>
          <t>Pix enviado Neemias Marques de Oliveira</t>
        </is>
      </c>
    </row>
    <row r="428">
      <c r="A428" s="15" t="inlineStr">
        <is>
          <t>Pessoal</t>
        </is>
      </c>
      <c r="B428" s="15" t="inlineStr">
        <is>
          <t>Simone (Casa)</t>
        </is>
      </c>
      <c r="C428" s="16" t="n">
        <v>-50</v>
      </c>
      <c r="D428" s="17" t="n">
        <v>46111</v>
      </c>
      <c r="E428" s="15" t="inlineStr"/>
      <c r="F428" s="15" t="inlineStr">
        <is>
          <t>Sem comprovante</t>
        </is>
      </c>
      <c r="G428" s="15" t="inlineStr">
        <is>
          <t>Pix enviado Simone Muniz Martins de Moura</t>
        </is>
      </c>
    </row>
    <row r="429">
      <c r="A429" s="18" t="inlineStr">
        <is>
          <t>Subtotal Pessoal</t>
        </is>
      </c>
      <c r="B429" s="19" t="n"/>
      <c r="C429" s="20">
        <f>SUM(C413:C428)</f>
        <v/>
      </c>
      <c r="D429" s="19" t="n"/>
      <c r="E429" s="19" t="n"/>
      <c r="F429" s="19" t="n"/>
      <c r="G429" s="19" t="n"/>
    </row>
    <row r="430">
      <c r="A430" s="12" t="inlineStr">
        <is>
          <t>Impostos</t>
        </is>
      </c>
      <c r="B430" s="23" t="n"/>
      <c r="C430" s="23" t="n"/>
      <c r="D430" s="23" t="n"/>
      <c r="E430" s="23" t="n"/>
      <c r="F430" s="23" t="n"/>
      <c r="G430" s="23" t="n"/>
    </row>
    <row r="431">
      <c r="A431" s="15" t="inlineStr">
        <is>
          <t>Impostos</t>
        </is>
      </c>
      <c r="B431" s="15" t="inlineStr">
        <is>
          <t>Tributo / Guia</t>
        </is>
      </c>
      <c r="C431" s="16" t="n">
        <v>-550</v>
      </c>
      <c r="D431" s="17" t="n">
        <v>46084</v>
      </c>
      <c r="E431" s="15" t="inlineStr"/>
      <c r="F431" s="15" t="inlineStr">
        <is>
          <t>Sem comprovante</t>
        </is>
      </c>
      <c r="G431" s="15" t="inlineStr">
        <is>
          <t>Pagamento de conta Confederação Nacional das Cooperativas Centrais de Crédito e Ec...</t>
        </is>
      </c>
    </row>
    <row r="432">
      <c r="A432" s="15" t="inlineStr">
        <is>
          <t>Impostos</t>
        </is>
      </c>
      <c r="B432" s="15" t="inlineStr">
        <is>
          <t>Tributo Municipal</t>
        </is>
      </c>
      <c r="C432" s="16" t="n">
        <v>-6004.85</v>
      </c>
      <c r="D432" s="17" t="n">
        <v>46100</v>
      </c>
      <c r="E432" s="15" t="inlineStr"/>
      <c r="F432" s="15" t="inlineStr">
        <is>
          <t>Sem comprovante</t>
        </is>
      </c>
      <c r="G432" s="15" t="inlineStr">
        <is>
          <t>Transferência enviada pelo Pix - MUNICIPIO DE CURITIBA - 76.417.005/0001-86 - BCO DO BRASIL S.A. (0001) Agência: 3793 Conta: 73555-8</t>
        </is>
      </c>
    </row>
    <row r="433">
      <c r="A433" s="15" t="inlineStr">
        <is>
          <t>Impostos</t>
        </is>
      </c>
      <c r="B433" s="15" t="inlineStr">
        <is>
          <t>Tributo Municipal</t>
        </is>
      </c>
      <c r="C433" s="16" t="n">
        <v>-3514.37</v>
      </c>
      <c r="D433" s="17" t="n">
        <v>46107</v>
      </c>
      <c r="E433" s="15" t="inlineStr"/>
      <c r="F433" s="15" t="inlineStr">
        <is>
          <t>Sem comprovante</t>
        </is>
      </c>
      <c r="G433" s="15" t="inlineStr">
        <is>
          <t>Pagamento com QR Pix MUNICIPIO DE PONTAL DO PARANA</t>
        </is>
      </c>
    </row>
    <row r="434">
      <c r="A434" s="15" t="inlineStr">
        <is>
          <t>Impostos</t>
        </is>
      </c>
      <c r="B434" s="15" t="inlineStr">
        <is>
          <t>Tributo Municipal</t>
        </is>
      </c>
      <c r="C434" s="16" t="n">
        <v>-98.98999999999999</v>
      </c>
      <c r="D434" s="17" t="n">
        <v>46107</v>
      </c>
      <c r="E434" s="15" t="inlineStr"/>
      <c r="F434" s="15" t="inlineStr">
        <is>
          <t>Sem comprovante</t>
        </is>
      </c>
      <c r="G434" s="15" t="inlineStr">
        <is>
          <t>Pagamento com QR Pix MUNICIPIO DE PONTAL DO PARANA</t>
        </is>
      </c>
    </row>
    <row r="435">
      <c r="A435" s="15" t="inlineStr">
        <is>
          <t>Impostos</t>
        </is>
      </c>
      <c r="B435" s="15" t="inlineStr">
        <is>
          <t>Tributo / Guia</t>
        </is>
      </c>
      <c r="C435" s="16" t="n">
        <v>-576.03</v>
      </c>
      <c r="D435" s="17" t="n">
        <v>46107</v>
      </c>
      <c r="E435" s="15" t="inlineStr"/>
      <c r="F435" s="15" t="inlineStr">
        <is>
          <t>Sem comprovante</t>
        </is>
      </c>
      <c r="G435" s="15" t="inlineStr">
        <is>
          <t>Pagamento de conta Confederação Nacional das Cooperativas Centrais de Crédito e Ec...</t>
        </is>
      </c>
    </row>
    <row r="436">
      <c r="A436" s="18" t="inlineStr">
        <is>
          <t>Subtotal Impostos</t>
        </is>
      </c>
      <c r="B436" s="19" t="n"/>
      <c r="C436" s="20">
        <f>SUM(C431:C435)</f>
        <v/>
      </c>
      <c r="D436" s="19" t="n"/>
      <c r="E436" s="19" t="n"/>
      <c r="F436" s="19" t="n"/>
      <c r="G436" s="19" t="n"/>
    </row>
    <row r="437">
      <c r="A437" s="12" t="inlineStr">
        <is>
          <t>Outros</t>
        </is>
      </c>
      <c r="B437" s="23" t="n"/>
      <c r="C437" s="23" t="n"/>
      <c r="D437" s="23" t="n"/>
      <c r="E437" s="23" t="n"/>
      <c r="F437" s="23" t="n"/>
      <c r="G437" s="23" t="n"/>
    </row>
    <row r="438">
      <c r="A438" s="15" t="inlineStr">
        <is>
          <t>Outros</t>
        </is>
      </c>
      <c r="B438" s="15" t="inlineStr">
        <is>
          <t>Pagamento Cartão Nubank</t>
        </is>
      </c>
      <c r="C438" s="16" t="n">
        <v>-2211.82</v>
      </c>
      <c r="D438" s="17" t="n">
        <v>46083</v>
      </c>
      <c r="E438" s="15" t="inlineStr"/>
      <c r="F438" s="15" t="inlineStr">
        <is>
          <t>Sem comprovante</t>
        </is>
      </c>
      <c r="G438" s="15" t="inlineStr">
        <is>
          <t>Pagamento com QR Pix NU PAGAMENTOS SA</t>
        </is>
      </c>
    </row>
    <row r="439">
      <c r="A439" s="15" t="inlineStr">
        <is>
          <t>Outros</t>
        </is>
      </c>
      <c r="B439" s="15" t="inlineStr">
        <is>
          <t>Pagamento Caixa</t>
        </is>
      </c>
      <c r="C439" s="16" t="n">
        <v>-2088.85</v>
      </c>
      <c r="D439" s="17" t="n">
        <v>46083</v>
      </c>
      <c r="E439" s="15" t="inlineStr"/>
      <c r="F439" s="15" t="inlineStr">
        <is>
          <t>Sem comprovante</t>
        </is>
      </c>
      <c r="G439" s="15" t="inlineStr">
        <is>
          <t>Pagamento de conta Caixa Econômica Federal</t>
        </is>
      </c>
    </row>
    <row r="440">
      <c r="A440" s="15" t="inlineStr">
        <is>
          <t>Outros</t>
        </is>
      </c>
      <c r="B440" s="15" t="inlineStr">
        <is>
          <t>Serviço Médico</t>
        </is>
      </c>
      <c r="C440" s="16" t="n">
        <v>661.74</v>
      </c>
      <c r="D440" s="17" t="n">
        <v>46084</v>
      </c>
      <c r="E440" s="15" t="inlineStr"/>
      <c r="F440" s="15" t="inlineStr">
        <is>
          <t>Recebido</t>
        </is>
      </c>
      <c r="G440" s="15" t="inlineStr">
        <is>
          <t>Pagamento com Código QR Pix VET SAUDE BUCAL CLINICA VETERINARIA ODONTOLOGICA</t>
        </is>
      </c>
    </row>
    <row r="441">
      <c r="A441" s="15" t="inlineStr">
        <is>
          <t>Outros</t>
        </is>
      </c>
      <c r="B441" s="15" t="inlineStr">
        <is>
          <t>Serviço Médico</t>
        </is>
      </c>
      <c r="C441" s="16" t="n">
        <v>-249.9</v>
      </c>
      <c r="D441" s="17" t="n">
        <v>46085</v>
      </c>
      <c r="E441" s="15" t="inlineStr"/>
      <c r="F441" s="15" t="inlineStr">
        <is>
          <t>Sem comprovante</t>
        </is>
      </c>
      <c r="G441" s="15" t="inlineStr">
        <is>
          <t>Pagamento com QR Pix SALVA SERVICOS MEDICOS DE EMERGENCIA LTDA</t>
        </is>
      </c>
    </row>
    <row r="442">
      <c r="A442" s="15" t="inlineStr">
        <is>
          <t>Outros</t>
        </is>
      </c>
      <c r="B442" s="15" t="inlineStr">
        <is>
          <t>Pagar.me (boleto)</t>
        </is>
      </c>
      <c r="C442" s="16" t="n">
        <v>-109.9</v>
      </c>
      <c r="D442" s="17" t="n">
        <v>46086</v>
      </c>
      <c r="E442" s="15" t="inlineStr"/>
      <c r="F442" s="15" t="inlineStr">
        <is>
          <t>Sem comprovante</t>
        </is>
      </c>
      <c r="G442" s="15" t="inlineStr">
        <is>
          <t>Pagamento com QR Pix Pagar Me Instituicao De Pagamento Sa</t>
        </is>
      </c>
    </row>
    <row r="443">
      <c r="A443" s="15" t="inlineStr">
        <is>
          <t>Outros</t>
        </is>
      </c>
      <c r="B443" s="15" t="inlineStr">
        <is>
          <t>Pagamento Cartão Bradesco</t>
        </is>
      </c>
      <c r="C443" s="16" t="n">
        <v>-166.97</v>
      </c>
      <c r="D443" s="17" t="n">
        <v>46086</v>
      </c>
      <c r="E443" s="15" t="inlineStr"/>
      <c r="F443" s="15" t="inlineStr">
        <is>
          <t>Sem comprovante</t>
        </is>
      </c>
      <c r="G443" s="15" t="inlineStr">
        <is>
          <t>Pagamento de conta Banco Bradesco S.A.</t>
        </is>
      </c>
    </row>
    <row r="444">
      <c r="A444" s="15" t="inlineStr">
        <is>
          <t>Outros</t>
        </is>
      </c>
      <c r="B444" s="15" t="inlineStr">
        <is>
          <t>Transferência Pix Enviada</t>
        </is>
      </c>
      <c r="C444" s="16" t="n">
        <v>-300</v>
      </c>
      <c r="D444" s="17" t="n">
        <v>46087</v>
      </c>
      <c r="E444" s="15" t="inlineStr"/>
      <c r="F444" s="15" t="inlineStr">
        <is>
          <t>Sem comprovante</t>
        </is>
      </c>
      <c r="G444" s="15" t="inlineStr">
        <is>
          <t>Pix enviado Andressa Dorothea Souza de Paula</t>
        </is>
      </c>
    </row>
    <row r="445">
      <c r="A445" s="15" t="inlineStr">
        <is>
          <t>Outros</t>
        </is>
      </c>
      <c r="B445" s="15" t="inlineStr">
        <is>
          <t>Compras Diversas</t>
        </is>
      </c>
      <c r="C445" s="16" t="n">
        <v>-95.8</v>
      </c>
      <c r="D445" s="17" t="n">
        <v>46089</v>
      </c>
      <c r="E445" s="15" t="inlineStr"/>
      <c r="F445" s="15" t="inlineStr">
        <is>
          <t>Sem comprovante</t>
        </is>
      </c>
      <c r="G445" s="15" t="inlineStr">
        <is>
          <t>Pagamento com QR Pix PALACIO COMERCIO DE EMBALAGENS LTDA</t>
        </is>
      </c>
    </row>
    <row r="446">
      <c r="A446" s="15" t="inlineStr">
        <is>
          <t>Outros</t>
        </is>
      </c>
      <c r="B446" s="15" t="inlineStr">
        <is>
          <t>Transferência Pix Enviada</t>
        </is>
      </c>
      <c r="C446" s="16" t="n">
        <v>-140</v>
      </c>
      <c r="D446" s="17" t="n">
        <v>46090</v>
      </c>
      <c r="E446" s="15" t="inlineStr"/>
      <c r="F446" s="15" t="inlineStr">
        <is>
          <t>Sem comprovante</t>
        </is>
      </c>
      <c r="G446" s="15" t="inlineStr">
        <is>
          <t>Pix enviado 47.964.038 Francielle Bilinoski Rocha</t>
        </is>
      </c>
    </row>
    <row r="447">
      <c r="A447" s="15" t="inlineStr">
        <is>
          <t>Outros</t>
        </is>
      </c>
      <c r="B447" s="15" t="inlineStr">
        <is>
          <t>Transferência Pix Enviada</t>
        </is>
      </c>
      <c r="C447" s="16" t="n">
        <v>-70</v>
      </c>
      <c r="D447" s="17" t="n">
        <v>46090</v>
      </c>
      <c r="E447" s="15" t="inlineStr"/>
      <c r="F447" s="15" t="inlineStr">
        <is>
          <t>Sem comprovante</t>
        </is>
      </c>
      <c r="G447" s="15" t="inlineStr">
        <is>
          <t>Transferência enviada pelo Pix - CACHACARIA CANA E CANELA - 43.817.343/0001-56 - BANCO INTER (0077) Agência: 1 Conta: 16766053-5</t>
        </is>
      </c>
    </row>
    <row r="448">
      <c r="A448" s="15" t="inlineStr">
        <is>
          <t>Outros</t>
        </is>
      </c>
      <c r="B448" s="15" t="inlineStr">
        <is>
          <t>Pagamento de fatura cartão</t>
        </is>
      </c>
      <c r="C448" s="16" t="n">
        <v>-100</v>
      </c>
      <c r="D448" s="17" t="n">
        <v>46091</v>
      </c>
      <c r="E448" s="15" t="inlineStr"/>
      <c r="F448" s="15" t="inlineStr">
        <is>
          <t>Sem comprovante</t>
        </is>
      </c>
      <c r="G448" s="15" t="inlineStr">
        <is>
          <t>Pagamento de fatura</t>
        </is>
      </c>
    </row>
    <row r="449">
      <c r="A449" s="15" t="inlineStr">
        <is>
          <t>Outros</t>
        </is>
      </c>
      <c r="B449" s="15" t="inlineStr">
        <is>
          <t>Transferência Pix Enviada</t>
        </is>
      </c>
      <c r="C449" s="16" t="n">
        <v>-180</v>
      </c>
      <c r="D449" s="17" t="n">
        <v>46091</v>
      </c>
      <c r="E449" s="15" t="inlineStr"/>
      <c r="F449" s="15" t="inlineStr">
        <is>
          <t>Sem comprovante</t>
        </is>
      </c>
      <c r="G449" s="15" t="inlineStr">
        <is>
          <t>Pix enviado Rubens Alves dos Santos</t>
        </is>
      </c>
    </row>
    <row r="450">
      <c r="A450" s="15" t="inlineStr">
        <is>
          <t>Outros</t>
        </is>
      </c>
      <c r="B450" s="15" t="inlineStr">
        <is>
          <t>Transferência Pix Enviada</t>
        </is>
      </c>
      <c r="C450" s="16" t="n">
        <v>-350</v>
      </c>
      <c r="D450" s="17" t="n">
        <v>46091</v>
      </c>
      <c r="E450" s="15" t="inlineStr"/>
      <c r="F450" s="15" t="inlineStr">
        <is>
          <t>Sem comprovante</t>
        </is>
      </c>
      <c r="G450" s="15" t="inlineStr">
        <is>
          <t>Transferência enviada pelo Pix - CUIDAR CPAP - 30.285.102/0001-61 - STONE IP S.A. (0197) Agência: 1 Conta: 61809530-1</t>
        </is>
      </c>
    </row>
    <row r="451">
      <c r="A451" s="15" t="inlineStr">
        <is>
          <t>Outros</t>
        </is>
      </c>
      <c r="B451" s="15" t="inlineStr">
        <is>
          <t>Maçonaria / Loja Simbólica</t>
        </is>
      </c>
      <c r="C451" s="16" t="n">
        <v>-95</v>
      </c>
      <c r="D451" s="17" t="n">
        <v>46092</v>
      </c>
      <c r="E451" s="15" t="inlineStr"/>
      <c r="F451" s="15" t="inlineStr">
        <is>
          <t>Sem comprovante</t>
        </is>
      </c>
      <c r="G451" s="15" t="inlineStr">
        <is>
          <t>Pagamento de boleto efetuado - SUPREMO CONSELHO DO GRAU 33 DO REAA DA M</t>
        </is>
      </c>
    </row>
    <row r="452">
      <c r="A452" s="15" t="inlineStr">
        <is>
          <t>Outros</t>
        </is>
      </c>
      <c r="B452" s="15" t="inlineStr">
        <is>
          <t>Pagamento Cartão Carrefour</t>
        </is>
      </c>
      <c r="C452" s="16" t="n">
        <v>-6458.95</v>
      </c>
      <c r="D452" s="17" t="n">
        <v>46092</v>
      </c>
      <c r="E452" s="15" t="inlineStr"/>
      <c r="F452" s="15" t="inlineStr">
        <is>
          <t>Sem comprovante</t>
        </is>
      </c>
      <c r="G452" s="15" t="inlineStr">
        <is>
          <t>Transferência enviada pelo Pix - BANCO CSF - 08.357.240/0001-50 - Banco CSF S.A. (0368) Agência: 1 Conta: 835724-0</t>
        </is>
      </c>
    </row>
    <row r="453">
      <c r="A453" s="15" t="inlineStr">
        <is>
          <t>Outros</t>
        </is>
      </c>
      <c r="B453" s="15" t="inlineStr">
        <is>
          <t>Consórcio</t>
        </is>
      </c>
      <c r="C453" s="16" t="n">
        <v>-348.05</v>
      </c>
      <c r="D453" s="17" t="n">
        <v>46093</v>
      </c>
      <c r="E453" s="15" t="inlineStr"/>
      <c r="F453" s="15" t="inlineStr">
        <is>
          <t>Sem comprovante</t>
        </is>
      </c>
      <c r="G453" s="15" t="inlineStr">
        <is>
          <t>Pagamento com QR Pix CONSORCIO AXS ENERGIA UNIDADE 06</t>
        </is>
      </c>
    </row>
    <row r="454">
      <c r="A454" s="15" t="inlineStr">
        <is>
          <t>Outros</t>
        </is>
      </c>
      <c r="B454" s="15" t="inlineStr">
        <is>
          <t>Pagamento de fatura cartão</t>
        </is>
      </c>
      <c r="C454" s="16" t="n">
        <v>-500</v>
      </c>
      <c r="D454" s="17" t="n">
        <v>46093</v>
      </c>
      <c r="E454" s="15" t="inlineStr"/>
      <c r="F454" s="15" t="inlineStr">
        <is>
          <t>Sem comprovante</t>
        </is>
      </c>
      <c r="G454" s="15" t="inlineStr">
        <is>
          <t>Pagamento de fatura</t>
        </is>
      </c>
    </row>
    <row r="455">
      <c r="A455" s="15" t="inlineStr">
        <is>
          <t>Outros</t>
        </is>
      </c>
      <c r="B455" s="15" t="inlineStr">
        <is>
          <t>Não identificado</t>
        </is>
      </c>
      <c r="C455" s="16" t="n">
        <v>-53.59</v>
      </c>
      <c r="D455" s="17" t="n">
        <v>46094</v>
      </c>
      <c r="E455" s="15" t="inlineStr"/>
      <c r="F455" s="15" t="inlineStr">
        <is>
          <t>Sem comprovante</t>
        </is>
      </c>
      <c r="G455" s="15" t="inlineStr">
        <is>
          <t>Pagamento com QR Pix PADARIA E CONFEITARIA SANTTINI LTDA</t>
        </is>
      </c>
    </row>
    <row r="456">
      <c r="A456" s="15" t="inlineStr">
        <is>
          <t>Outros</t>
        </is>
      </c>
      <c r="B456" s="15" t="inlineStr">
        <is>
          <t>Pagamento Caixa</t>
        </is>
      </c>
      <c r="C456" s="16" t="n">
        <v>-958.1799999999999</v>
      </c>
      <c r="D456" s="17" t="n">
        <v>46094</v>
      </c>
      <c r="E456" s="15" t="inlineStr"/>
      <c r="F456" s="15" t="inlineStr">
        <is>
          <t>Sem comprovante</t>
        </is>
      </c>
      <c r="G456" s="15" t="inlineStr">
        <is>
          <t>Pagamento de conta Caixa Econômica Federal</t>
        </is>
      </c>
    </row>
    <row r="457">
      <c r="A457" s="15" t="inlineStr">
        <is>
          <t>Outros</t>
        </is>
      </c>
      <c r="B457" s="15" t="inlineStr">
        <is>
          <t>Transferência Pix Enviada</t>
        </is>
      </c>
      <c r="C457" s="16" t="n">
        <v>-151.61</v>
      </c>
      <c r="D457" s="17" t="n">
        <v>46094</v>
      </c>
      <c r="E457" s="15" t="inlineStr"/>
      <c r="F457" s="15" t="inlineStr">
        <is>
          <t>Sem comprovante</t>
        </is>
      </c>
      <c r="G457" s="15" t="inlineStr">
        <is>
          <t>Transferência enviada pelo Pix - GOVERNO DO PARANA SECRETARIA DE ESTADO DA FAZENDA - 76.416.890/0001-89 - BCO DO BRASIL S.A. (0001) Agência: 3793 Conta: 300000-1</t>
        </is>
      </c>
    </row>
    <row r="458">
      <c r="A458" s="15" t="inlineStr">
        <is>
          <t>Outros</t>
        </is>
      </c>
      <c r="B458" s="15" t="inlineStr">
        <is>
          <t>Não identificado</t>
        </is>
      </c>
      <c r="C458" s="16" t="n">
        <v>-97.31</v>
      </c>
      <c r="D458" s="17" t="n">
        <v>46095</v>
      </c>
      <c r="E458" s="15" t="inlineStr"/>
      <c r="F458" s="15" t="inlineStr">
        <is>
          <t>Sem comprovante</t>
        </is>
      </c>
      <c r="G458" s="15" t="inlineStr">
        <is>
          <t>Pagamento com QR Pix DIMED SA DISTRIBUIDORA DE MEDICAMENTOS</t>
        </is>
      </c>
    </row>
    <row r="459">
      <c r="A459" s="15" t="inlineStr">
        <is>
          <t>Outros</t>
        </is>
      </c>
      <c r="B459" s="15" t="inlineStr">
        <is>
          <t>Não identificado</t>
        </is>
      </c>
      <c r="C459" s="16" t="n">
        <v>-302.89</v>
      </c>
      <c r="D459" s="17" t="n">
        <v>46097</v>
      </c>
      <c r="E459" s="15" t="inlineStr"/>
      <c r="F459" s="15" t="inlineStr">
        <is>
          <t>Sem comprovante</t>
        </is>
      </c>
      <c r="G459" s="15" t="inlineStr">
        <is>
          <t>Pagamento de conta Itaú Unibanco  S.A.</t>
        </is>
      </c>
    </row>
    <row r="460">
      <c r="A460" s="15" t="inlineStr">
        <is>
          <t>Outros</t>
        </is>
      </c>
      <c r="B460" s="15" t="inlineStr">
        <is>
          <t>Transferência Pix Enviada</t>
        </is>
      </c>
      <c r="C460" s="16" t="n">
        <v>-250</v>
      </c>
      <c r="D460" s="17" t="n">
        <v>46097</v>
      </c>
      <c r="E460" s="15" t="inlineStr"/>
      <c r="F460" s="15" t="inlineStr">
        <is>
          <t>Sem comprovante</t>
        </is>
      </c>
      <c r="G460" s="15" t="inlineStr">
        <is>
          <t>Pix enviado Mvd Marketing Estrategico Ltda</t>
        </is>
      </c>
    </row>
    <row r="461">
      <c r="A461" s="15" t="inlineStr">
        <is>
          <t>Outros</t>
        </is>
      </c>
      <c r="B461" s="15" t="inlineStr">
        <is>
          <t>Transferência Pix Enviada</t>
        </is>
      </c>
      <c r="C461" s="16" t="n">
        <v>-150</v>
      </c>
      <c r="D461" s="17" t="n">
        <v>46098</v>
      </c>
      <c r="E461" s="15" t="inlineStr"/>
      <c r="F461" s="15" t="inlineStr">
        <is>
          <t>Sem comprovante</t>
        </is>
      </c>
      <c r="G461" s="15" t="inlineStr">
        <is>
          <t>Transferência enviada pelo Pix - SERGIO SEITI SUGUIMATSU - •••.793.389-•• - BCO DO BRASIL S.A. (0001) Agência: 3390 Conta: 14247-6</t>
        </is>
      </c>
    </row>
    <row r="462">
      <c r="A462" s="15" t="inlineStr">
        <is>
          <t>Outros</t>
        </is>
      </c>
      <c r="B462" s="15" t="inlineStr">
        <is>
          <t>Pix recebido cliente Studio</t>
        </is>
      </c>
      <c r="C462" s="16" t="n">
        <v>59.71</v>
      </c>
      <c r="D462" s="17" t="n">
        <v>46099</v>
      </c>
      <c r="E462" s="15" t="inlineStr"/>
      <c r="F462" s="15" t="inlineStr">
        <is>
          <t>Recebido</t>
        </is>
      </c>
      <c r="G462" s="15" t="inlineStr">
        <is>
          <t>Pagamento com Código QR Pix JULIANA CAROLINA BORTOLAZ</t>
        </is>
      </c>
    </row>
    <row r="463">
      <c r="A463" s="15" t="inlineStr">
        <is>
          <t>Outros</t>
        </is>
      </c>
      <c r="B463" s="15" t="inlineStr">
        <is>
          <t>Serviço Médico</t>
        </is>
      </c>
      <c r="C463" s="16" t="n">
        <v>-326.68</v>
      </c>
      <c r="D463" s="17" t="n">
        <v>46099</v>
      </c>
      <c r="E463" s="15" t="inlineStr"/>
      <c r="F463" s="15" t="inlineStr">
        <is>
          <t>Sem comprovante</t>
        </is>
      </c>
      <c r="G463" s="15" t="inlineStr">
        <is>
          <t>Pagamento com QR Pix SALVA SERVICOS MEDICOS DE EMERGENCIA LTDA</t>
        </is>
      </c>
    </row>
    <row r="464">
      <c r="A464" s="15" t="inlineStr">
        <is>
          <t>Outros</t>
        </is>
      </c>
      <c r="B464" s="15" t="inlineStr">
        <is>
          <t>Transferência Pix Enviada</t>
        </is>
      </c>
      <c r="C464" s="16" t="n">
        <v>-1250</v>
      </c>
      <c r="D464" s="17" t="n">
        <v>46099</v>
      </c>
      <c r="E464" s="15" t="inlineStr"/>
      <c r="F464" s="15" t="inlineStr">
        <is>
          <t>Sem comprovante</t>
        </is>
      </c>
      <c r="G464" s="15" t="inlineStr">
        <is>
          <t>Pix enviado Assessoria Percus Ltda</t>
        </is>
      </c>
    </row>
    <row r="465">
      <c r="A465" s="15" t="inlineStr">
        <is>
          <t>Outros</t>
        </is>
      </c>
      <c r="B465" s="15" t="inlineStr">
        <is>
          <t>Transferência Pix Enviada</t>
        </is>
      </c>
      <c r="C465" s="16" t="n">
        <v>-1100</v>
      </c>
      <c r="D465" s="17" t="n">
        <v>46099</v>
      </c>
      <c r="E465" s="15" t="inlineStr"/>
      <c r="F465" s="15" t="inlineStr">
        <is>
          <t>Sem comprovante</t>
        </is>
      </c>
      <c r="G465" s="15" t="inlineStr">
        <is>
          <t>Pix enviado Mvd Marketing Estrategico Ltda</t>
        </is>
      </c>
    </row>
    <row r="466">
      <c r="A466" s="15" t="inlineStr">
        <is>
          <t>Outros</t>
        </is>
      </c>
      <c r="B466" s="15" t="inlineStr">
        <is>
          <t>Transferência Pix Enviada</t>
        </is>
      </c>
      <c r="C466" s="16" t="n">
        <v>-45.8</v>
      </c>
      <c r="D466" s="17" t="n">
        <v>46099</v>
      </c>
      <c r="E466" s="15" t="inlineStr"/>
      <c r="F466" s="15" t="inlineStr">
        <is>
          <t>Sem comprovante</t>
        </is>
      </c>
      <c r="G466" s="15" t="inlineStr">
        <is>
          <t>Transferência enviada pelo Pix - AGENCIA DE CORREIOS FRANQUEADA SAO BRAZ LTDA - 85.500.437/0001-47 - ITAÚ UNIBANCO S.A. (0341) Agência: 3708 Conta: 99293-2</t>
        </is>
      </c>
    </row>
    <row r="467">
      <c r="A467" s="15" t="inlineStr">
        <is>
          <t>Outros</t>
        </is>
      </c>
      <c r="B467" s="15" t="inlineStr">
        <is>
          <t>Transferência Pix Enviada</t>
        </is>
      </c>
      <c r="C467" s="16" t="n">
        <v>-27.45</v>
      </c>
      <c r="D467" s="17" t="n">
        <v>46099</v>
      </c>
      <c r="E467" s="15" t="inlineStr"/>
      <c r="F467" s="15" t="inlineStr">
        <is>
          <t>Sem comprovante</t>
        </is>
      </c>
      <c r="G467" s="15" t="inlineStr">
        <is>
          <t>Transferência enviada pelo Pix - ANDRE WIPPEL DOS SANTOS - •••.085.119-•• - BCO DO BRASIL S.A. (0001) Agência: 695 Conta: 15670-1</t>
        </is>
      </c>
    </row>
    <row r="468">
      <c r="A468" s="15" t="inlineStr">
        <is>
          <t>Outros</t>
        </is>
      </c>
      <c r="B468" s="15" t="inlineStr">
        <is>
          <t>Transferência Pix Enviada</t>
        </is>
      </c>
      <c r="C468" s="16" t="n">
        <v>-260</v>
      </c>
      <c r="D468" s="17" t="n">
        <v>46101</v>
      </c>
      <c r="E468" s="15" t="inlineStr"/>
      <c r="F468" s="15" t="inlineStr">
        <is>
          <t>Sem comprovante</t>
        </is>
      </c>
      <c r="G468" s="15" t="inlineStr">
        <is>
          <t>Transferência enviada pelo Pix - ROBSON RODRIGUES DOS SANTOS - •••.638.839-•• - BCO BRADESCO S.A. (0237) Agência: 3860 Conta: 153448-3</t>
        </is>
      </c>
    </row>
    <row r="469">
      <c r="A469" s="15" t="inlineStr">
        <is>
          <t>Outros</t>
        </is>
      </c>
      <c r="B469" s="15" t="inlineStr">
        <is>
          <t>Não identificado</t>
        </is>
      </c>
      <c r="C469" s="16" t="n">
        <v>-526.88</v>
      </c>
      <c r="D469" s="17" t="n">
        <v>46102</v>
      </c>
      <c r="E469" s="15" t="inlineStr"/>
      <c r="F469" s="15" t="inlineStr">
        <is>
          <t>Sem comprovante</t>
        </is>
      </c>
      <c r="G469" s="15" t="inlineStr">
        <is>
          <t>Pagamento com QR Pix DEPARTAMENTO DE TRANSITO DETRAN</t>
        </is>
      </c>
    </row>
    <row r="470">
      <c r="A470" s="15" t="inlineStr">
        <is>
          <t>Outros</t>
        </is>
      </c>
      <c r="B470" s="15" t="inlineStr">
        <is>
          <t>Não identificado</t>
        </is>
      </c>
      <c r="C470" s="16" t="n">
        <v>-149.84</v>
      </c>
      <c r="D470" s="17" t="n">
        <v>46102</v>
      </c>
      <c r="E470" s="15" t="inlineStr"/>
      <c r="F470" s="15" t="inlineStr">
        <is>
          <t>Sem comprovante</t>
        </is>
      </c>
      <c r="G470" s="15" t="inlineStr">
        <is>
          <t>Pagamento com QR Pix GOVERNO DO PARANA SECRETARIA DE ESTADO DA FAZENDA</t>
        </is>
      </c>
    </row>
    <row r="471">
      <c r="A471" s="15" t="inlineStr">
        <is>
          <t>Outros</t>
        </is>
      </c>
      <c r="B471" s="15" t="inlineStr">
        <is>
          <t>Serviços Online / Domínio</t>
        </is>
      </c>
      <c r="C471" s="16" t="n">
        <v>-44</v>
      </c>
      <c r="D471" s="17" t="n">
        <v>46103</v>
      </c>
      <c r="E471" s="15" t="inlineStr"/>
      <c r="F471" s="15" t="inlineStr">
        <is>
          <t>Sem comprovante</t>
        </is>
      </c>
      <c r="G471" s="15" t="inlineStr">
        <is>
          <t>Transferência enviada pelo Pix - BYTEDANCE BRASIL TECNOLOGIA LTDA. - 27.415.911/0001-36 - EBANX IP LTDA. (0383) Agência: 1 Conta: 1004462179-2</t>
        </is>
      </c>
    </row>
    <row r="472">
      <c r="A472" s="15" t="inlineStr">
        <is>
          <t>Outros</t>
        </is>
      </c>
      <c r="B472" s="15" t="inlineStr">
        <is>
          <t>Não identificado</t>
        </is>
      </c>
      <c r="C472" s="16" t="n">
        <v>-200.68</v>
      </c>
      <c r="D472" s="17" t="n">
        <v>46104</v>
      </c>
      <c r="E472" s="15" t="inlineStr"/>
      <c r="F472" s="15" t="inlineStr">
        <is>
          <t>Sem comprovante</t>
        </is>
      </c>
      <c r="G472" s="15" t="inlineStr">
        <is>
          <t>Pagamento com QR Pix AIBR INSTITUICAO DE PAGAMENTO LTDA.</t>
        </is>
      </c>
    </row>
    <row r="473">
      <c r="A473" s="15" t="inlineStr">
        <is>
          <t>Outros</t>
        </is>
      </c>
      <c r="B473" s="15" t="inlineStr">
        <is>
          <t>Não identificado</t>
        </is>
      </c>
      <c r="C473" s="16" t="n">
        <v>-122.62</v>
      </c>
      <c r="D473" s="17" t="n">
        <v>46105</v>
      </c>
      <c r="E473" s="15" t="inlineStr"/>
      <c r="F473" s="15" t="inlineStr">
        <is>
          <t>Sem comprovante</t>
        </is>
      </c>
      <c r="G473" s="15" t="inlineStr">
        <is>
          <t>Pagamento com QR Pix PAGALEVE INSTITUICAO DE PAGAMENTO LTDA</t>
        </is>
      </c>
    </row>
    <row r="474">
      <c r="A474" s="15" t="inlineStr">
        <is>
          <t>Outros</t>
        </is>
      </c>
      <c r="B474" s="15" t="inlineStr">
        <is>
          <t>Pagamento de fatura cartão</t>
        </is>
      </c>
      <c r="C474" s="16" t="n">
        <v>-500</v>
      </c>
      <c r="D474" s="17" t="n">
        <v>46105</v>
      </c>
      <c r="E474" s="15" t="inlineStr"/>
      <c r="F474" s="15" t="inlineStr">
        <is>
          <t>Sem comprovante</t>
        </is>
      </c>
      <c r="G474" s="15" t="inlineStr">
        <is>
          <t>Pagamento de fatura</t>
        </is>
      </c>
    </row>
    <row r="475">
      <c r="A475" s="15" t="inlineStr">
        <is>
          <t>Outros</t>
        </is>
      </c>
      <c r="B475" s="15" t="inlineStr">
        <is>
          <t>Pagamento de fatura cartão</t>
        </is>
      </c>
      <c r="C475" s="16" t="n">
        <v>-500</v>
      </c>
      <c r="D475" s="17" t="n">
        <v>46106</v>
      </c>
      <c r="E475" s="15" t="inlineStr"/>
      <c r="F475" s="15" t="inlineStr">
        <is>
          <t>Sem comprovante</t>
        </is>
      </c>
      <c r="G475" s="15" t="inlineStr">
        <is>
          <t>Pagamento de fatura</t>
        </is>
      </c>
    </row>
    <row r="476">
      <c r="A476" s="15" t="inlineStr">
        <is>
          <t>Outros</t>
        </is>
      </c>
      <c r="B476" s="15" t="inlineStr">
        <is>
          <t>Compra / Pix Pessoal</t>
        </is>
      </c>
      <c r="C476" s="16" t="n">
        <v>-300</v>
      </c>
      <c r="D476" s="17" t="n">
        <v>46106</v>
      </c>
      <c r="E476" s="15" t="inlineStr"/>
      <c r="F476" s="15" t="inlineStr">
        <is>
          <t>Sem comprovante</t>
        </is>
      </c>
      <c r="G476" s="15" t="inlineStr">
        <is>
          <t>Pix enviado Ferencz Keller - Consultorio Odontologico Ss Ltda.</t>
        </is>
      </c>
    </row>
    <row r="477">
      <c r="A477" s="15" t="inlineStr">
        <is>
          <t>Outros</t>
        </is>
      </c>
      <c r="B477" s="15" t="inlineStr">
        <is>
          <t>Compras Diversas</t>
        </is>
      </c>
      <c r="C477" s="16" t="n">
        <v>-25</v>
      </c>
      <c r="D477" s="17" t="n">
        <v>46107</v>
      </c>
      <c r="E477" s="15" t="inlineStr"/>
      <c r="F477" s="15" t="inlineStr">
        <is>
          <t>Sem comprovante</t>
        </is>
      </c>
      <c r="G477" s="15" t="inlineStr">
        <is>
          <t>Pagamento com QR Pix MULTIDISPLAY COMERCIO E SERVICOS TECNOLOGICOS LTDA.</t>
        </is>
      </c>
    </row>
    <row r="478">
      <c r="A478" s="15" t="inlineStr">
        <is>
          <t>Outros</t>
        </is>
      </c>
      <c r="B478" s="15" t="inlineStr">
        <is>
          <t>Maçonaria / Loja Simbólica</t>
        </is>
      </c>
      <c r="C478" s="16" t="n">
        <v>-200</v>
      </c>
      <c r="D478" s="17" t="n">
        <v>46108</v>
      </c>
      <c r="E478" s="15" t="inlineStr"/>
      <c r="F478" s="15" t="inlineStr">
        <is>
          <t>Sem comprovante</t>
        </is>
      </c>
      <c r="G478" s="15" t="inlineStr">
        <is>
          <t>Transferência enviada pelo Pix - AUGUSTA E RESPEITAVEL LOJA SIMBOLICA OBR - 01.361.920/0001-06 - BCO BRADESCO S.A. (0237) Agência: 929 Conta: 45825-2</t>
        </is>
      </c>
    </row>
    <row r="479">
      <c r="A479" s="15" t="inlineStr">
        <is>
          <t>Outros</t>
        </is>
      </c>
      <c r="B479" s="15" t="inlineStr">
        <is>
          <t>Compra / Pix Pessoal</t>
        </is>
      </c>
      <c r="C479" s="16" t="n">
        <v>-300</v>
      </c>
      <c r="D479" s="17" t="n">
        <v>46111</v>
      </c>
      <c r="E479" s="15" t="inlineStr"/>
      <c r="F479" s="15" t="inlineStr">
        <is>
          <t>Sem comprovante</t>
        </is>
      </c>
      <c r="G479" s="15" t="inlineStr">
        <is>
          <t>Pix enviado Ferencz Keller - Consultorio Odontologico Ss Ltda.</t>
        </is>
      </c>
    </row>
    <row r="480">
      <c r="A480" s="15" t="inlineStr">
        <is>
          <t>Outros</t>
        </is>
      </c>
      <c r="B480" s="15" t="inlineStr">
        <is>
          <t>Pagamento Cartão Nubank</t>
        </is>
      </c>
      <c r="C480" s="16" t="n">
        <v>-2841.24</v>
      </c>
      <c r="D480" s="17" t="n">
        <v>46112</v>
      </c>
      <c r="E480" s="15" t="inlineStr"/>
      <c r="F480" s="15" t="inlineStr">
        <is>
          <t>Sem comprovante</t>
        </is>
      </c>
      <c r="G480" s="15" t="inlineStr">
        <is>
          <t>Pagamento com QR Pix NU PAGAMENTOS SA</t>
        </is>
      </c>
    </row>
    <row r="481">
      <c r="A481" s="15" t="inlineStr">
        <is>
          <t>Outros</t>
        </is>
      </c>
      <c r="B481" s="15" t="inlineStr">
        <is>
          <t>Pagamento Cartão Bradesco</t>
        </is>
      </c>
      <c r="C481" s="16" t="n">
        <v>-166.78</v>
      </c>
      <c r="D481" s="17" t="n">
        <v>46112</v>
      </c>
      <c r="E481" s="15" t="inlineStr"/>
      <c r="F481" s="15" t="inlineStr">
        <is>
          <t>Sem comprovante</t>
        </is>
      </c>
      <c r="G481" s="15" t="inlineStr">
        <is>
          <t>Pagamento de conta Banco Bradesco S.A.</t>
        </is>
      </c>
    </row>
    <row r="482">
      <c r="A482" s="15" t="inlineStr">
        <is>
          <t>Outros</t>
        </is>
      </c>
      <c r="B482" s="15" t="inlineStr">
        <is>
          <t>Maçonaria / Loja Simbólica</t>
        </is>
      </c>
      <c r="C482" s="16" t="n">
        <v>-10</v>
      </c>
      <c r="D482" s="17" t="n">
        <v>46112</v>
      </c>
      <c r="E482" s="15" t="inlineStr"/>
      <c r="F482" s="15" t="inlineStr">
        <is>
          <t>Sem comprovante</t>
        </is>
      </c>
      <c r="G482" s="15" t="inlineStr">
        <is>
          <t>Transferência enviada pelo Pix - AUGUSTA E RESPEITAVEL LOJA SIMBOLICA OBR - 01.361.920/0001-06 - BCO BRADESCO S.A. (0237) Agência: 929 Conta: 45825-2</t>
        </is>
      </c>
    </row>
    <row r="483">
      <c r="A483" s="15" t="inlineStr">
        <is>
          <t>Outros</t>
        </is>
      </c>
      <c r="B483" s="15" t="inlineStr">
        <is>
          <t>Transferência Pix Enviada</t>
        </is>
      </c>
      <c r="C483" s="16" t="n">
        <v>-18</v>
      </c>
      <c r="D483" s="17" t="n">
        <v>46112</v>
      </c>
      <c r="E483" s="15" t="inlineStr"/>
      <c r="F483" s="15" t="inlineStr">
        <is>
          <t>Sem comprovante</t>
        </is>
      </c>
      <c r="G483" s="15" t="inlineStr">
        <is>
          <t>Transferência enviada pelo Pix - CAIXA INSTANTANEA S.A. - 24.038.490/0001-83 - CAIXA ECONOMICA FEDERAL (0104) Agência: 647 Conta: 9999000309224038490-1</t>
        </is>
      </c>
    </row>
    <row r="484">
      <c r="A484" s="18" t="inlineStr">
        <is>
          <t>Subtotal Outros</t>
        </is>
      </c>
      <c r="B484" s="19" t="n"/>
      <c r="C484" s="20">
        <f>SUM(C438:C483)</f>
        <v/>
      </c>
      <c r="D484" s="19" t="n"/>
      <c r="E484" s="19" t="n"/>
      <c r="F484" s="19" t="n"/>
      <c r="G484" s="19" t="n"/>
    </row>
    <row r="485">
      <c r="A485" s="12" t="inlineStr">
        <is>
          <t>Transferência - Bruno (própria)</t>
        </is>
      </c>
      <c r="B485" s="23" t="n"/>
      <c r="C485" s="23" t="n"/>
      <c r="D485" s="23" t="n"/>
      <c r="E485" s="23" t="n"/>
      <c r="F485" s="23" t="n"/>
      <c r="G485" s="23" t="n"/>
    </row>
    <row r="486">
      <c r="A486" s="15" t="inlineStr">
        <is>
          <t>Transferência - Bruno (própria)</t>
        </is>
      </c>
      <c r="B486" s="15" t="inlineStr">
        <is>
          <t>Pix Bruno→Bruno (entre contas próprias)</t>
        </is>
      </c>
      <c r="C486" s="16" t="n">
        <v>-200</v>
      </c>
      <c r="D486" s="17" t="n">
        <v>46086</v>
      </c>
      <c r="E486" s="15" t="inlineStr"/>
      <c r="F486" s="15" t="inlineStr">
        <is>
          <t>Sem comprovante</t>
        </is>
      </c>
      <c r="G486" s="15" t="inlineStr">
        <is>
          <t>Pix enviado Bruno Porto Seus</t>
        </is>
      </c>
    </row>
    <row r="487">
      <c r="A487" s="15" t="inlineStr">
        <is>
          <t>Transferência - Bruno (própria)</t>
        </is>
      </c>
      <c r="B487" s="15" t="inlineStr">
        <is>
          <t>Pix Bruno→Bruno (entre contas próprias)</t>
        </is>
      </c>
      <c r="C487" s="16" t="n">
        <v>-300</v>
      </c>
      <c r="D487" s="17" t="n">
        <v>46090</v>
      </c>
      <c r="E487" s="15" t="inlineStr"/>
      <c r="F487" s="15" t="inlineStr">
        <is>
          <t>Sem comprovante</t>
        </is>
      </c>
      <c r="G487" s="15" t="inlineStr">
        <is>
          <t>Pix enviado Bruno Porto Seus</t>
        </is>
      </c>
    </row>
    <row r="488">
      <c r="A488" s="15" t="inlineStr">
        <is>
          <t>Transferência - Bruno (própria)</t>
        </is>
      </c>
      <c r="B488" s="15" t="inlineStr">
        <is>
          <t>Pix Bruno→Bruno (entre contas próprias)</t>
        </is>
      </c>
      <c r="C488" s="16" t="n">
        <v>-240</v>
      </c>
      <c r="D488" s="17" t="n">
        <v>46091</v>
      </c>
      <c r="E488" s="15" t="inlineStr"/>
      <c r="F488" s="15" t="inlineStr">
        <is>
          <t>Sem comprovante</t>
        </is>
      </c>
      <c r="G488" s="15" t="inlineStr">
        <is>
          <t>Pix enviado Bruno Porto Seus</t>
        </is>
      </c>
    </row>
    <row r="489">
      <c r="A489" s="15" t="inlineStr">
        <is>
          <t>Transferência - Bruno (própria)</t>
        </is>
      </c>
      <c r="B489" s="15" t="inlineStr">
        <is>
          <t>Pix Bruno→Bruno (entre contas próprias)</t>
        </is>
      </c>
      <c r="C489" s="16" t="n">
        <v>-350</v>
      </c>
      <c r="D489" s="17" t="n">
        <v>46091</v>
      </c>
      <c r="E489" s="15" t="inlineStr"/>
      <c r="F489" s="15" t="inlineStr">
        <is>
          <t>Sem comprovante</t>
        </is>
      </c>
      <c r="G489" s="15" t="inlineStr">
        <is>
          <t>Pix enviado Bruno Porto Seus</t>
        </is>
      </c>
    </row>
    <row r="490">
      <c r="A490" s="15" t="inlineStr">
        <is>
          <t>Transferência - Bruno (própria)</t>
        </is>
      </c>
      <c r="B490" s="15" t="inlineStr">
        <is>
          <t>Pix Bruno→Bruno (entre contas próprias)</t>
        </is>
      </c>
      <c r="C490" s="16" t="n">
        <v>-6500</v>
      </c>
      <c r="D490" s="17" t="n">
        <v>46092</v>
      </c>
      <c r="E490" s="15" t="inlineStr"/>
      <c r="F490" s="15" t="inlineStr">
        <is>
          <t>Sem comprovante</t>
        </is>
      </c>
      <c r="G490" s="15" t="inlineStr">
        <is>
          <t>Pix enviado Bruno Porto Seus</t>
        </is>
      </c>
    </row>
    <row r="491">
      <c r="A491" s="15" t="inlineStr">
        <is>
          <t>Transferência - Bruno (própria)</t>
        </is>
      </c>
      <c r="B491" s="15" t="inlineStr">
        <is>
          <t>Pix Bruno→Bruno (entre contas próprias)</t>
        </is>
      </c>
      <c r="C491" s="16" t="n">
        <v>-500</v>
      </c>
      <c r="D491" s="17" t="n">
        <v>46093</v>
      </c>
      <c r="E491" s="15" t="inlineStr"/>
      <c r="F491" s="15" t="inlineStr">
        <is>
          <t>Sem comprovante</t>
        </is>
      </c>
      <c r="G491" s="15" t="inlineStr">
        <is>
          <t>Pix enviado Bruno Porto Seus</t>
        </is>
      </c>
    </row>
    <row r="492">
      <c r="A492" s="15" t="inlineStr">
        <is>
          <t>Transferência - Bruno (própria)</t>
        </is>
      </c>
      <c r="B492" s="15" t="inlineStr">
        <is>
          <t>Pix Bruno→Bruno (entre contas próprias)</t>
        </is>
      </c>
      <c r="C492" s="16" t="n">
        <v>-200</v>
      </c>
      <c r="D492" s="17" t="n">
        <v>46094</v>
      </c>
      <c r="E492" s="15" t="inlineStr"/>
      <c r="F492" s="15" t="inlineStr">
        <is>
          <t>Sem comprovante</t>
        </is>
      </c>
      <c r="G492" s="15" t="inlineStr">
        <is>
          <t>Pix enviado Bruno Porto Seus</t>
        </is>
      </c>
    </row>
    <row r="493">
      <c r="A493" s="15" t="inlineStr">
        <is>
          <t>Transferência - Bruno (própria)</t>
        </is>
      </c>
      <c r="B493" s="15" t="inlineStr">
        <is>
          <t>Pix Bruno→Bruno (entre contas próprias)</t>
        </is>
      </c>
      <c r="C493" s="16" t="n">
        <v>-100</v>
      </c>
      <c r="D493" s="17" t="n">
        <v>46094</v>
      </c>
      <c r="E493" s="15" t="inlineStr"/>
      <c r="F493" s="15" t="inlineStr">
        <is>
          <t>Sem comprovante</t>
        </is>
      </c>
      <c r="G493" s="15" t="inlineStr">
        <is>
          <t>Pix enviado Bruno Porto Seus</t>
        </is>
      </c>
    </row>
    <row r="494">
      <c r="A494" s="15" t="inlineStr">
        <is>
          <t>Transferência - Bruno (própria)</t>
        </is>
      </c>
      <c r="B494" s="15" t="inlineStr">
        <is>
          <t>Pix Bruno→Bruno (entre contas próprias)</t>
        </is>
      </c>
      <c r="C494" s="16" t="n">
        <v>-350</v>
      </c>
      <c r="D494" s="17" t="n">
        <v>46097</v>
      </c>
      <c r="E494" s="15" t="inlineStr"/>
      <c r="F494" s="15" t="inlineStr">
        <is>
          <t>Sem comprovante</t>
        </is>
      </c>
      <c r="G494" s="15" t="inlineStr">
        <is>
          <t>Pix enviado Bruno Porto Seus</t>
        </is>
      </c>
    </row>
    <row r="495">
      <c r="A495" s="15" t="inlineStr">
        <is>
          <t>Transferência - Bruno (própria)</t>
        </is>
      </c>
      <c r="B495" s="15" t="inlineStr">
        <is>
          <t>Pix Bruno→Bruno (entre contas próprias)</t>
        </is>
      </c>
      <c r="C495" s="16" t="n">
        <v>-500</v>
      </c>
      <c r="D495" s="17" t="n">
        <v>46100</v>
      </c>
      <c r="E495" s="15" t="inlineStr"/>
      <c r="F495" s="15" t="inlineStr">
        <is>
          <t>Sem comprovante</t>
        </is>
      </c>
      <c r="G495" s="15" t="inlineStr">
        <is>
          <t>Pix enviado Bruno Porto Seus</t>
        </is>
      </c>
    </row>
    <row r="496">
      <c r="A496" s="15" t="inlineStr">
        <is>
          <t>Transferência - Bruno (própria)</t>
        </is>
      </c>
      <c r="B496" s="15" t="inlineStr">
        <is>
          <t>Pix Bruno→Bruno (entre contas próprias)</t>
        </is>
      </c>
      <c r="C496" s="16" t="n">
        <v>-6000</v>
      </c>
      <c r="D496" s="17" t="n">
        <v>46100</v>
      </c>
      <c r="E496" s="15" t="inlineStr"/>
      <c r="F496" s="15" t="inlineStr">
        <is>
          <t>Sem comprovante</t>
        </is>
      </c>
      <c r="G496" s="15" t="inlineStr">
        <is>
          <t>Pix enviado Bruno Porto Seus</t>
        </is>
      </c>
    </row>
    <row r="497">
      <c r="A497" s="15" t="inlineStr">
        <is>
          <t>Transferência - Bruno (própria)</t>
        </is>
      </c>
      <c r="B497" s="15" t="inlineStr">
        <is>
          <t>Pix Bruno→Bruno (entre contas próprias)</t>
        </is>
      </c>
      <c r="C497" s="16" t="n">
        <v>-500</v>
      </c>
      <c r="D497" s="17" t="n">
        <v>46105</v>
      </c>
      <c r="E497" s="15" t="inlineStr"/>
      <c r="F497" s="15" t="inlineStr">
        <is>
          <t>Sem comprovante</t>
        </is>
      </c>
      <c r="G497" s="15" t="inlineStr">
        <is>
          <t>Pix enviado Bruno Porto Seus</t>
        </is>
      </c>
    </row>
    <row r="498">
      <c r="A498" s="15" t="inlineStr">
        <is>
          <t>Transferência - Bruno (própria)</t>
        </is>
      </c>
      <c r="B498" s="15" t="inlineStr">
        <is>
          <t>Pix Bruno→Bruno (entre contas próprias)</t>
        </is>
      </c>
      <c r="C498" s="16" t="n">
        <v>-500</v>
      </c>
      <c r="D498" s="17" t="n">
        <v>46106</v>
      </c>
      <c r="E498" s="15" t="inlineStr"/>
      <c r="F498" s="15" t="inlineStr">
        <is>
          <t>Sem comprovante</t>
        </is>
      </c>
      <c r="G498" s="15" t="inlineStr">
        <is>
          <t>Pix enviado Bruno Porto Seus</t>
        </is>
      </c>
    </row>
    <row r="499">
      <c r="A499" s="15" t="inlineStr">
        <is>
          <t>Transferência - Bruno (própria)</t>
        </is>
      </c>
      <c r="B499" s="15" t="inlineStr">
        <is>
          <t>Pix Bruno→Bruno (entre contas próprias)</t>
        </is>
      </c>
      <c r="C499" s="16" t="n">
        <v>-300</v>
      </c>
      <c r="D499" s="17" t="n">
        <v>46107</v>
      </c>
      <c r="E499" s="15" t="inlineStr"/>
      <c r="F499" s="15" t="inlineStr">
        <is>
          <t>Sem comprovante</t>
        </is>
      </c>
      <c r="G499" s="15" t="inlineStr">
        <is>
          <t>Pix enviado Bruno Porto Seus</t>
        </is>
      </c>
    </row>
    <row r="500">
      <c r="A500" s="15" t="inlineStr">
        <is>
          <t>Transferência - Bruno (própria)</t>
        </is>
      </c>
      <c r="B500" s="15" t="inlineStr">
        <is>
          <t>Pix Bruno→Bruno (entre contas próprias)</t>
        </is>
      </c>
      <c r="C500" s="16" t="n">
        <v>-200</v>
      </c>
      <c r="D500" s="17" t="n">
        <v>46108</v>
      </c>
      <c r="E500" s="15" t="inlineStr"/>
      <c r="F500" s="15" t="inlineStr">
        <is>
          <t>Sem comprovante</t>
        </is>
      </c>
      <c r="G500" s="15" t="inlineStr">
        <is>
          <t>Pix enviado Bruno Porto Seus</t>
        </is>
      </c>
    </row>
    <row r="501">
      <c r="A501" s="15" t="inlineStr">
        <is>
          <t>Transferência - Bruno (própria)</t>
        </is>
      </c>
      <c r="B501" s="15" t="inlineStr">
        <is>
          <t>Pix Bruno→Bruno (entre contas próprias)</t>
        </is>
      </c>
      <c r="C501" s="16" t="n">
        <v>-500</v>
      </c>
      <c r="D501" s="17" t="n">
        <v>46109</v>
      </c>
      <c r="E501" s="15" t="inlineStr"/>
      <c r="F501" s="15" t="inlineStr">
        <is>
          <t>Sem comprovante</t>
        </is>
      </c>
      <c r="G501" s="15" t="inlineStr">
        <is>
          <t>Pix enviado Bruno Porto Seus</t>
        </is>
      </c>
    </row>
    <row r="502">
      <c r="A502" s="18" t="inlineStr">
        <is>
          <t>Subtotal Transferência - Bruno (própria)</t>
        </is>
      </c>
      <c r="B502" s="19" t="n"/>
      <c r="C502" s="20">
        <f>SUM(C486:C501)</f>
        <v/>
      </c>
      <c r="D502" s="19" t="n"/>
      <c r="E502" s="19" t="n"/>
      <c r="F502" s="19" t="n"/>
      <c r="G502" s="19" t="n"/>
    </row>
    <row r="503">
      <c r="A503" s="12" t="inlineStr">
        <is>
          <t>Transferência - Denise</t>
        </is>
      </c>
      <c r="B503" s="23" t="n"/>
      <c r="C503" s="23" t="n"/>
      <c r="D503" s="23" t="n"/>
      <c r="E503" s="23" t="n"/>
      <c r="F503" s="23" t="n"/>
      <c r="G503" s="23" t="n"/>
    </row>
    <row r="504">
      <c r="A504" s="15" t="inlineStr">
        <is>
          <t>Transferência - Denise</t>
        </is>
      </c>
      <c r="B504" s="15" t="inlineStr">
        <is>
          <t>Pix Bruno→Denise</t>
        </is>
      </c>
      <c r="C504" s="16" t="n">
        <v>-500</v>
      </c>
      <c r="D504" s="17" t="n">
        <v>46097</v>
      </c>
      <c r="E504" s="15" t="inlineStr"/>
      <c r="F504" s="15" t="inlineStr">
        <is>
          <t>Sem comprovante</t>
        </is>
      </c>
      <c r="G504" s="15" t="inlineStr">
        <is>
          <t>Pix enviado Denise de Paula</t>
        </is>
      </c>
    </row>
    <row r="505">
      <c r="A505" s="18" t="inlineStr">
        <is>
          <t>Subtotal Transferência - Denise</t>
        </is>
      </c>
      <c r="B505" s="19" t="n"/>
      <c r="C505" s="20">
        <f>SUM(C504:C504)</f>
        <v/>
      </c>
      <c r="D505" s="19" t="n"/>
      <c r="E505" s="19" t="n"/>
      <c r="F505" s="19" t="n"/>
      <c r="G505" s="19" t="n"/>
    </row>
    <row r="506">
      <c r="A506" s="6" t="inlineStr">
        <is>
          <t>TOTAL DESPESAS PAGAS</t>
        </is>
      </c>
      <c r="C506" s="24">
        <f>C369+C411+C429+C436+C484</f>
        <v/>
      </c>
    </row>
    <row r="507">
      <c r="A507" s="25" t="inlineStr">
        <is>
          <t>TOTAL RECEITAS</t>
        </is>
      </c>
      <c r="C507" s="26">
        <f>C251+C271+C283+C336+C350</f>
        <v/>
      </c>
    </row>
    <row r="508">
      <c r="A508" s="27" t="inlineStr">
        <is>
          <t xml:space="preserve">  ↳ Midialike (separado)</t>
        </is>
      </c>
      <c r="C508" s="28">
        <f>C251</f>
        <v/>
      </c>
    </row>
    <row r="509">
      <c r="A509" s="27" t="inlineStr">
        <is>
          <t xml:space="preserve">  ↳ Denise / Salão (separado)</t>
        </is>
      </c>
      <c r="C509" s="28">
        <f>C271</f>
        <v/>
      </c>
    </row>
    <row r="510">
      <c r="A510" s="2" t="inlineStr">
        <is>
          <t>SALDO LÍQUIDO DO MÊS</t>
        </is>
      </c>
      <c r="C510" s="5">
        <f>C251+C271+C283+C336+C350+C369+C411+C429+C436+C484</f>
        <v/>
      </c>
    </row>
    <row r="512">
      <c r="A512" s="11" t="inlineStr">
        <is>
          <t>Abril/2026</t>
        </is>
      </c>
    </row>
    <row r="513">
      <c r="A513" s="12" t="inlineStr">
        <is>
          <t>Categoria</t>
        </is>
      </c>
      <c r="B513" s="12" t="inlineStr">
        <is>
          <t>Conta / Despesa</t>
        </is>
      </c>
      <c r="C513" s="12" t="inlineStr">
        <is>
          <t>Valor</t>
        </is>
      </c>
      <c r="D513" s="12" t="inlineStr">
        <is>
          <t>Data de Pagamento</t>
        </is>
      </c>
      <c r="E513" s="12" t="inlineStr">
        <is>
          <t>Recibo / Comprovante</t>
        </is>
      </c>
      <c r="F513" s="12" t="inlineStr">
        <is>
          <t>Status</t>
        </is>
      </c>
      <c r="G513" s="12" t="inlineStr">
        <is>
          <t>Observações</t>
        </is>
      </c>
    </row>
    <row r="514">
      <c r="A514" s="13" t="inlineStr">
        <is>
          <t>Receita - Midialike</t>
        </is>
      </c>
      <c r="B514" s="14" t="n"/>
      <c r="C514" s="14" t="n"/>
      <c r="D514" s="14" t="n"/>
      <c r="E514" s="14" t="n"/>
      <c r="F514" s="14" t="n"/>
      <c r="G514" s="14" t="n"/>
    </row>
    <row r="515">
      <c r="A515" s="15" t="inlineStr">
        <is>
          <t>Receita - Midialike</t>
        </is>
      </c>
      <c r="B515" s="15" t="inlineStr">
        <is>
          <t>Depósito Midialike</t>
        </is>
      </c>
      <c r="C515" s="16" t="n">
        <v>600</v>
      </c>
      <c r="D515" s="17" t="n">
        <v>46118</v>
      </c>
      <c r="E515" s="15" t="inlineStr"/>
      <c r="F515" s="15" t="inlineStr">
        <is>
          <t>Recebido</t>
        </is>
      </c>
      <c r="G515" s="15" t="inlineStr">
        <is>
          <t>Transferência recebida pelo Pix - MIDIA LIKE LTDA - 17.930.007/0001-05 - BCO C6 S.A. (0336) Agência: 1 Conta: 31709544-7</t>
        </is>
      </c>
    </row>
    <row r="516">
      <c r="A516" s="15" t="inlineStr">
        <is>
          <t>Receita - Midialike</t>
        </is>
      </c>
      <c r="B516" s="15" t="inlineStr">
        <is>
          <t>Depósito Midialike</t>
        </is>
      </c>
      <c r="C516" s="16" t="n">
        <v>450</v>
      </c>
      <c r="D516" s="17" t="n">
        <v>46120</v>
      </c>
      <c r="E516" s="15" t="inlineStr"/>
      <c r="F516" s="15" t="inlineStr">
        <is>
          <t>Recebido</t>
        </is>
      </c>
      <c r="G516" s="15" t="inlineStr">
        <is>
          <t>Transferência recebida pelo Pix - MIDIA LIKE LTDA - 17.930.007/0001-05 - BCO C6 S.A. (0336) Agência: 1 Conta: 31709544-7</t>
        </is>
      </c>
    </row>
    <row r="517">
      <c r="A517" s="15" t="inlineStr">
        <is>
          <t>Receita - Midialike</t>
        </is>
      </c>
      <c r="B517" s="15" t="inlineStr">
        <is>
          <t>Depósito Midialike</t>
        </is>
      </c>
      <c r="C517" s="16" t="n">
        <v>400</v>
      </c>
      <c r="D517" s="17" t="n">
        <v>46125</v>
      </c>
      <c r="E517" s="15" t="inlineStr"/>
      <c r="F517" s="15" t="inlineStr">
        <is>
          <t>Recebido</t>
        </is>
      </c>
      <c r="G517" s="15" t="inlineStr">
        <is>
          <t>Transferência recebida pelo Pix - MIDIA LIKE LTDA - 17.930.007/0001-05 - BCO C6 S.A. (0336) Agência: 1 Conta: 31709544-7</t>
        </is>
      </c>
    </row>
    <row r="518">
      <c r="A518" s="15" t="inlineStr">
        <is>
          <t>Receita - Midialike</t>
        </is>
      </c>
      <c r="B518" s="15" t="inlineStr">
        <is>
          <t>Depósito Midialike</t>
        </is>
      </c>
      <c r="C518" s="16" t="n">
        <v>300</v>
      </c>
      <c r="D518" s="17" t="n">
        <v>46138</v>
      </c>
      <c r="E518" s="15" t="inlineStr"/>
      <c r="F518" s="15" t="inlineStr">
        <is>
          <t>Recebido</t>
        </is>
      </c>
      <c r="G518" s="15" t="inlineStr">
        <is>
          <t>Transferência recebida pelo Pix - MIDIA LIKE LTDA - 17.930.007/0001-05 - BCO C6 S.A. (0336) Agência: 1 Conta: 31709544-7</t>
        </is>
      </c>
    </row>
    <row r="519">
      <c r="A519" s="18" t="inlineStr">
        <is>
          <t>Subtotal Receita - Midialike</t>
        </is>
      </c>
      <c r="B519" s="19" t="n"/>
      <c r="C519" s="20">
        <f>SUM(C515:C518)</f>
        <v/>
      </c>
      <c r="D519" s="19" t="n"/>
      <c r="E519" s="19" t="n"/>
      <c r="F519" s="19" t="n"/>
      <c r="G519" s="19" t="n"/>
    </row>
    <row r="520">
      <c r="A520" s="21" t="inlineStr">
        <is>
          <t>Receita - Denise (Salão)</t>
        </is>
      </c>
      <c r="B520" s="22" t="n"/>
      <c r="C520" s="22" t="n"/>
      <c r="D520" s="22" t="n"/>
      <c r="E520" s="22" t="n"/>
      <c r="F520" s="22" t="n"/>
      <c r="G520" s="22" t="n"/>
    </row>
    <row r="521">
      <c r="A521" s="15" t="inlineStr">
        <is>
          <t>Receita - Denise (Salão)</t>
        </is>
      </c>
      <c r="B521" s="15" t="inlineStr">
        <is>
          <t>Depósito recebido de Denise / Salão</t>
        </is>
      </c>
      <c r="C521" s="16" t="n">
        <v>300</v>
      </c>
      <c r="D521" s="17" t="n">
        <v>46128</v>
      </c>
      <c r="E521" s="15" t="inlineStr">
        <is>
          <t>Pix Denise/00000002-PHOTO-2026-04-17-14-00-39.jpg</t>
        </is>
      </c>
      <c r="F521" s="15" t="inlineStr">
        <is>
          <t>Recebido</t>
        </is>
      </c>
      <c r="G521" s="15" t="inlineStr">
        <is>
          <t>Transferência recebida pelo Pix - DENISE DE PAULA CENTRO DE ESTETICA LTDA - 05.823.454/0001-86 - MERCADO PAGO IP LTDA. (0323) Agência: 1 Conta: 8804533771-0</t>
        </is>
      </c>
    </row>
    <row r="522">
      <c r="A522" s="15" t="inlineStr">
        <is>
          <t>Receita - Denise (Salão)</t>
        </is>
      </c>
      <c r="B522" s="15" t="inlineStr">
        <is>
          <t>Depósito recebido de Denise / Salão</t>
        </is>
      </c>
      <c r="C522" s="16" t="n">
        <v>500</v>
      </c>
      <c r="D522" s="17" t="n">
        <v>46129</v>
      </c>
      <c r="E522" s="15" t="inlineStr">
        <is>
          <t>Pix Denise/00000002-PHOTO-2026-04-17-14-00-39.jpg</t>
        </is>
      </c>
      <c r="F522" s="15" t="inlineStr">
        <is>
          <t>Recebido</t>
        </is>
      </c>
      <c r="G522" s="15" t="inlineStr">
        <is>
          <t>Transferência recebida pelo Pix - DENISE DE PAULA CENTRO DE ESTETICA LTDA - 05.823.454/0001-86 - MERCADO PAGO IP LTDA. (0323) Agência: 1 Conta: 8804533771-0</t>
        </is>
      </c>
    </row>
    <row r="523">
      <c r="A523" s="15" t="inlineStr">
        <is>
          <t>Receita - Denise (Salão)</t>
        </is>
      </c>
      <c r="B523" s="15" t="inlineStr">
        <is>
          <t>Depósito recebido de Denise / Salão</t>
        </is>
      </c>
      <c r="C523" s="16" t="n">
        <v>200</v>
      </c>
      <c r="D523" s="17" t="n">
        <v>46131</v>
      </c>
      <c r="E523" s="15" t="inlineStr">
        <is>
          <t>Pix Denise/00000002-PHOTO-2026-04-17-14-00-39.jpg</t>
        </is>
      </c>
      <c r="F523" s="15" t="inlineStr">
        <is>
          <t>Recebido</t>
        </is>
      </c>
      <c r="G523" s="15" t="inlineStr">
        <is>
          <t>Transferência recebida pelo Pix - DENISE DE PAULA CENTRO DE ESTETICA LTDA - 05.823.454/0001-86 - MERCADO PAGO IP LTDA. (0323) Agência: 1 Conta: 8804533771-0</t>
        </is>
      </c>
    </row>
    <row r="524">
      <c r="A524" s="15" t="inlineStr">
        <is>
          <t>Receita - Denise (Salão)</t>
        </is>
      </c>
      <c r="B524" s="15" t="inlineStr">
        <is>
          <t>Depósito recebido de Denise / Salão</t>
        </is>
      </c>
      <c r="C524" s="16" t="n">
        <v>300</v>
      </c>
      <c r="D524" s="17" t="n">
        <v>46132</v>
      </c>
      <c r="E524" s="15" t="inlineStr">
        <is>
          <t>Pix Denise/00000002-PHOTO-2026-04-17-14-00-39.jpg</t>
        </is>
      </c>
      <c r="F524" s="15" t="inlineStr">
        <is>
          <t>Recebido</t>
        </is>
      </c>
      <c r="G524" s="15" t="inlineStr">
        <is>
          <t>Transferência recebida pelo Pix - DENISE DE PAULA CENTRO DE ESTETICA LTDA - 05.823.454/0001-86 - MERCADO PAGO IP LTDA. (0323) Agência: 1 Conta: 8804533771-0</t>
        </is>
      </c>
    </row>
    <row r="525">
      <c r="A525" s="15" t="inlineStr">
        <is>
          <t>Receita - Denise (Salão)</t>
        </is>
      </c>
      <c r="B525" s="15" t="inlineStr">
        <is>
          <t>Depósito recebido de Denise / Salão</t>
        </is>
      </c>
      <c r="C525" s="16" t="n">
        <v>500</v>
      </c>
      <c r="D525" s="17" t="n">
        <v>46136</v>
      </c>
      <c r="E525" s="15" t="inlineStr"/>
      <c r="F525" s="15" t="inlineStr">
        <is>
          <t>Recebido</t>
        </is>
      </c>
      <c r="G525" s="15" t="inlineStr">
        <is>
          <t>Transferência recebida pelo Pix - DENISE DE PAULA CENTRO DE ESTETICA LTDA - 05.823.454/0001-86 - MERCADO PAGO IP LTDA. (0323) Agência: 1 Conta: 8804533771-0</t>
        </is>
      </c>
    </row>
    <row r="526">
      <c r="A526" s="15" t="inlineStr">
        <is>
          <t>Receita - Denise (Salão)</t>
        </is>
      </c>
      <c r="B526" s="15" t="inlineStr">
        <is>
          <t>Depósito recebido de Denise / Salão</t>
        </is>
      </c>
      <c r="C526" s="16" t="n">
        <v>600</v>
      </c>
      <c r="D526" s="17" t="n">
        <v>46136</v>
      </c>
      <c r="E526" s="15" t="inlineStr"/>
      <c r="F526" s="15" t="inlineStr">
        <is>
          <t>Recebido</t>
        </is>
      </c>
      <c r="G526" s="15" t="inlineStr">
        <is>
          <t>Transferência recebida pelo Pix - DENISE DE PAULA CENTRO DE ESTETICA LTDA - 05.823.454/0001-86 - MERCADO PAGO IP LTDA. (0323) Agência: 1 Conta: 8804533771-0</t>
        </is>
      </c>
    </row>
    <row r="527">
      <c r="A527" s="18" t="inlineStr">
        <is>
          <t>Subtotal Receita - Denise (Salão)</t>
        </is>
      </c>
      <c r="B527" s="19" t="n"/>
      <c r="C527" s="20">
        <f>SUM(C521:C526)</f>
        <v/>
      </c>
      <c r="D527" s="19" t="n"/>
      <c r="E527" s="19" t="n"/>
      <c r="F527" s="19" t="n"/>
      <c r="G527" s="19" t="n"/>
    </row>
    <row r="528">
      <c r="A528" s="21" t="inlineStr">
        <is>
          <t>Receita - Liberação de Crédito</t>
        </is>
      </c>
      <c r="B528" s="22" t="n"/>
      <c r="C528" s="22" t="n"/>
      <c r="D528" s="22" t="n"/>
      <c r="E528" s="22" t="n"/>
      <c r="F528" s="22" t="n"/>
      <c r="G528" s="22" t="n"/>
    </row>
    <row r="529">
      <c r="A529" s="15" t="inlineStr">
        <is>
          <t>Receita - Liberação de Crédito</t>
        </is>
      </c>
      <c r="B529" s="15" t="inlineStr">
        <is>
          <t>Liberação de Crédito (Studio)</t>
        </is>
      </c>
      <c r="C529" s="16" t="n">
        <v>200</v>
      </c>
      <c r="D529" s="17" t="n">
        <v>46122</v>
      </c>
      <c r="E529" s="15" t="inlineStr"/>
      <c r="F529" s="15" t="inlineStr">
        <is>
          <t>Recebido</t>
        </is>
      </c>
      <c r="G529" s="15" t="inlineStr">
        <is>
          <t>Valor adicionado na conta por cartão de crédito - Valor adicionado para Pix no Crédito</t>
        </is>
      </c>
    </row>
    <row r="530">
      <c r="A530" s="18" t="inlineStr">
        <is>
          <t>Subtotal Receita - Liberação de Crédito</t>
        </is>
      </c>
      <c r="B530" s="19" t="n"/>
      <c r="C530" s="20">
        <f>SUM(C529:C529)</f>
        <v/>
      </c>
      <c r="D530" s="19" t="n"/>
      <c r="E530" s="19" t="n"/>
      <c r="F530" s="19" t="n"/>
      <c r="G530" s="19" t="n"/>
    </row>
    <row r="531">
      <c r="A531" s="21" t="inlineStr">
        <is>
          <t>Receita - Reembolso</t>
        </is>
      </c>
      <c r="B531" s="22" t="n"/>
      <c r="C531" s="22" t="n"/>
      <c r="D531" s="22" t="n"/>
      <c r="E531" s="22" t="n"/>
      <c r="F531" s="22" t="n"/>
      <c r="G531" s="22" t="n"/>
    </row>
    <row r="532">
      <c r="A532" s="15" t="inlineStr">
        <is>
          <t>Receita - Reembolso</t>
        </is>
      </c>
      <c r="B532" s="15" t="inlineStr">
        <is>
          <t>Reembolso recebido</t>
        </is>
      </c>
      <c r="C532" s="16" t="n">
        <v>39.11</v>
      </c>
      <c r="D532" s="17" t="n">
        <v>46133</v>
      </c>
      <c r="E532" s="15" t="inlineStr"/>
      <c r="F532" s="15" t="inlineStr">
        <is>
          <t>Recebido</t>
        </is>
      </c>
      <c r="G532" s="15" t="inlineStr">
        <is>
          <t>Reembolso recebido pelo Pix - IFOOD.COM AGENCIA DE RESTAURANTES ONLINE S.A. - 14.380.200/0001-21 - IFOOD PAGO IP (0595) Agência: 1 Conta: 101793197-2</t>
        </is>
      </c>
    </row>
    <row r="533">
      <c r="A533" s="18" t="inlineStr">
        <is>
          <t>Subtotal Receita - Reembolso</t>
        </is>
      </c>
      <c r="B533" s="19" t="n"/>
      <c r="C533" s="20">
        <f>SUM(C532:C532)</f>
        <v/>
      </c>
      <c r="D533" s="19" t="n"/>
      <c r="E533" s="19" t="n"/>
      <c r="F533" s="19" t="n"/>
      <c r="G533" s="19" t="n"/>
    </row>
    <row r="534">
      <c r="A534" s="12" t="inlineStr">
        <is>
          <t>Contas Fixas</t>
        </is>
      </c>
      <c r="B534" s="23" t="n"/>
      <c r="C534" s="23" t="n"/>
      <c r="D534" s="23" t="n"/>
      <c r="E534" s="23" t="n"/>
      <c r="F534" s="23" t="n"/>
      <c r="G534" s="23" t="n"/>
    </row>
    <row r="535">
      <c r="A535" s="15" t="inlineStr">
        <is>
          <t>Contas Fixas</t>
        </is>
      </c>
      <c r="B535" s="15" t="inlineStr">
        <is>
          <t>Assinatura Spotify</t>
        </is>
      </c>
      <c r="C535" s="16" t="n">
        <v>-40.9</v>
      </c>
      <c r="D535" s="17" t="n">
        <v>46116</v>
      </c>
      <c r="E535" s="15" t="inlineStr"/>
      <c r="F535" s="15" t="inlineStr">
        <is>
          <t>Sem comprovante</t>
        </is>
      </c>
      <c r="G535" s="15" t="inlineStr">
        <is>
          <t>Compra no débito via NuPay - EBW*Spotify</t>
        </is>
      </c>
    </row>
    <row r="536">
      <c r="A536" s="15" t="inlineStr">
        <is>
          <t>Contas Fixas</t>
        </is>
      </c>
      <c r="B536" s="15" t="inlineStr">
        <is>
          <t>Internet / Telecom</t>
        </is>
      </c>
      <c r="C536" s="16" t="n">
        <v>-281.1</v>
      </c>
      <c r="D536" s="17" t="n">
        <v>46120</v>
      </c>
      <c r="E536" s="15" t="inlineStr"/>
      <c r="F536" s="15" t="inlineStr">
        <is>
          <t>Sem comprovante</t>
        </is>
      </c>
      <c r="G536" s="15" t="inlineStr">
        <is>
          <t>Resgate de empréstimo</t>
        </is>
      </c>
    </row>
    <row r="537">
      <c r="A537" s="15" t="inlineStr">
        <is>
          <t>Contas Fixas</t>
        </is>
      </c>
      <c r="B537" s="15" t="inlineStr">
        <is>
          <t>Estacionamento Studio</t>
        </is>
      </c>
      <c r="C537" s="16" t="n">
        <v>-21</v>
      </c>
      <c r="D537" s="17" t="n">
        <v>46122</v>
      </c>
      <c r="E537" s="15" t="inlineStr"/>
      <c r="F537" s="15" t="inlineStr">
        <is>
          <t>Sem comprovante</t>
        </is>
      </c>
      <c r="G537" s="15" t="inlineStr">
        <is>
          <t>Compra no débito - ALLPARK EMPREENDIMENTO</t>
        </is>
      </c>
    </row>
    <row r="538">
      <c r="A538" s="15" t="inlineStr">
        <is>
          <t>Contas Fixas</t>
        </is>
      </c>
      <c r="B538" s="15" t="inlineStr">
        <is>
          <t>Assinatura Canva</t>
        </is>
      </c>
      <c r="C538" s="16" t="n">
        <v>-35</v>
      </c>
      <c r="D538" s="17" t="n">
        <v>46140</v>
      </c>
      <c r="E538" s="15" t="inlineStr"/>
      <c r="F538" s="15" t="inlineStr">
        <is>
          <t>Sem comprovante</t>
        </is>
      </c>
      <c r="G538" s="15" t="inlineStr">
        <is>
          <t>Compra no débito via NuPay - EBW*Canva</t>
        </is>
      </c>
    </row>
    <row r="539">
      <c r="A539" s="18" t="inlineStr">
        <is>
          <t>Subtotal Contas Fixas</t>
        </is>
      </c>
      <c r="B539" s="19" t="n"/>
      <c r="C539" s="20">
        <f>SUM(C535:C538)</f>
        <v/>
      </c>
      <c r="D539" s="19" t="n"/>
      <c r="E539" s="19" t="n"/>
      <c r="F539" s="19" t="n"/>
      <c r="G539" s="19" t="n"/>
    </row>
    <row r="540">
      <c r="A540" s="12" t="inlineStr">
        <is>
          <t>Contas Variáveis</t>
        </is>
      </c>
      <c r="B540" s="23" t="n"/>
      <c r="C540" s="23" t="n"/>
      <c r="D540" s="23" t="n"/>
      <c r="E540" s="23" t="n"/>
      <c r="F540" s="23" t="n"/>
      <c r="G540" s="23" t="n"/>
    </row>
    <row r="541">
      <c r="A541" s="15" t="inlineStr">
        <is>
          <t>Contas Variáveis</t>
        </is>
      </c>
      <c r="B541" s="15" t="inlineStr">
        <is>
          <t>Farmácia</t>
        </is>
      </c>
      <c r="C541" s="16" t="n">
        <v>-15</v>
      </c>
      <c r="D541" s="17" t="n">
        <v>46114</v>
      </c>
      <c r="E541" s="15" t="inlineStr"/>
      <c r="F541" s="15" t="inlineStr">
        <is>
          <t>Sem comprovante</t>
        </is>
      </c>
      <c r="G541" s="15" t="inlineStr">
        <is>
          <t>Compra no débito - Farmais</t>
        </is>
      </c>
    </row>
    <row r="542">
      <c r="A542" s="15" t="inlineStr">
        <is>
          <t>Contas Variáveis</t>
        </is>
      </c>
      <c r="B542" s="15" t="inlineStr">
        <is>
          <t>Restaurante / Lazer</t>
        </is>
      </c>
      <c r="C542" s="16" t="n">
        <v>-15</v>
      </c>
      <c r="D542" s="17" t="n">
        <v>46115</v>
      </c>
      <c r="E542" s="15" t="inlineStr"/>
      <c r="F542" s="15" t="inlineStr">
        <is>
          <t>Sem comprovante</t>
        </is>
      </c>
      <c r="G542" s="15" t="inlineStr">
        <is>
          <t>Compra no débito - VaniaSantanaDa</t>
        </is>
      </c>
    </row>
    <row r="543">
      <c r="A543" s="15" t="inlineStr">
        <is>
          <t>Contas Variáveis</t>
        </is>
      </c>
      <c r="B543" s="15" t="inlineStr">
        <is>
          <t>Materiais / Construção</t>
        </is>
      </c>
      <c r="C543" s="16" t="n">
        <v>-18.9</v>
      </c>
      <c r="D543" s="17" t="n">
        <v>46116</v>
      </c>
      <c r="E543" s="15" t="inlineStr"/>
      <c r="F543" s="15" t="inlineStr">
        <is>
          <t>Sem comprovante</t>
        </is>
      </c>
      <c r="G543" s="15" t="inlineStr">
        <is>
          <t>Compra no débito - CLOVAO LAR E CONSTRU</t>
        </is>
      </c>
    </row>
    <row r="544">
      <c r="A544" s="15" t="inlineStr">
        <is>
          <t>Contas Variáveis</t>
        </is>
      </c>
      <c r="B544" s="15" t="inlineStr">
        <is>
          <t>Restaurante / Alimentação</t>
        </is>
      </c>
      <c r="C544" s="16" t="n">
        <v>-30</v>
      </c>
      <c r="D544" s="17" t="n">
        <v>46116</v>
      </c>
      <c r="E544" s="15" t="inlineStr"/>
      <c r="F544" s="15" t="inlineStr">
        <is>
          <t>Sem comprovante</t>
        </is>
      </c>
      <c r="G544" s="15" t="inlineStr">
        <is>
          <t>Compra no débito - ChicoGrill</t>
        </is>
      </c>
    </row>
    <row r="545">
      <c r="A545" s="15" t="inlineStr">
        <is>
          <t>Contas Variáveis</t>
        </is>
      </c>
      <c r="B545" s="15" t="inlineStr">
        <is>
          <t>Compra no débito</t>
        </is>
      </c>
      <c r="C545" s="16" t="n">
        <v>-17.54</v>
      </c>
      <c r="D545" s="17" t="n">
        <v>46118</v>
      </c>
      <c r="E545" s="15" t="inlineStr"/>
      <c r="F545" s="15" t="inlineStr">
        <is>
          <t>Sem comprovante</t>
        </is>
      </c>
      <c r="G545" s="15" t="inlineStr">
        <is>
          <t>Compra no débito - VICPAES</t>
        </is>
      </c>
    </row>
    <row r="546">
      <c r="A546" s="15" t="inlineStr">
        <is>
          <t>Contas Variáveis</t>
        </is>
      </c>
      <c r="B546" s="15" t="inlineStr">
        <is>
          <t>Compra no débito</t>
        </is>
      </c>
      <c r="C546" s="16" t="n">
        <v>-35</v>
      </c>
      <c r="D546" s="17" t="n">
        <v>46121</v>
      </c>
      <c r="E546" s="15" t="inlineStr"/>
      <c r="F546" s="15" t="inlineStr">
        <is>
          <t>Sem comprovante</t>
        </is>
      </c>
      <c r="G546" s="15" t="inlineStr">
        <is>
          <t>Compra no débito - MP *LINHAFINAROSI</t>
        </is>
      </c>
    </row>
    <row r="547">
      <c r="A547" s="15" t="inlineStr">
        <is>
          <t>Contas Variáveis</t>
        </is>
      </c>
      <c r="B547" s="15" t="inlineStr">
        <is>
          <t>Lazer / Compras</t>
        </is>
      </c>
      <c r="C547" s="16" t="n">
        <v>-25</v>
      </c>
      <c r="D547" s="17" t="n">
        <v>46122</v>
      </c>
      <c r="E547" s="15" t="inlineStr"/>
      <c r="F547" s="15" t="inlineStr">
        <is>
          <t>Sem comprovante</t>
        </is>
      </c>
      <c r="G547" s="15" t="inlineStr">
        <is>
          <t>Compra no débito - CLICELL JARDIM</t>
        </is>
      </c>
    </row>
    <row r="548">
      <c r="A548" s="15" t="inlineStr">
        <is>
          <t>Contas Variáveis</t>
        </is>
      </c>
      <c r="B548" s="15" t="inlineStr">
        <is>
          <t>Compra no débito</t>
        </is>
      </c>
      <c r="C548" s="16" t="n">
        <v>-8.15</v>
      </c>
      <c r="D548" s="17" t="n">
        <v>46122</v>
      </c>
      <c r="E548" s="15" t="inlineStr"/>
      <c r="F548" s="15" t="inlineStr">
        <is>
          <t>Sem comprovante</t>
        </is>
      </c>
      <c r="G548" s="15" t="inlineStr">
        <is>
          <t>Compra no débito - FerreiraDosSantos</t>
        </is>
      </c>
    </row>
    <row r="549">
      <c r="A549" s="15" t="inlineStr">
        <is>
          <t>Contas Variáveis</t>
        </is>
      </c>
      <c r="B549" s="15" t="inlineStr">
        <is>
          <t>Compra no débito</t>
        </is>
      </c>
      <c r="C549" s="16" t="n">
        <v>-8</v>
      </c>
      <c r="D549" s="17" t="n">
        <v>46124</v>
      </c>
      <c r="E549" s="15" t="inlineStr"/>
      <c r="F549" s="15" t="inlineStr">
        <is>
          <t>Sem comprovante</t>
        </is>
      </c>
      <c r="G549" s="15" t="inlineStr">
        <is>
          <t>Compra no débito - LogZsTransportes</t>
        </is>
      </c>
    </row>
    <row r="550">
      <c r="A550" s="15" t="inlineStr">
        <is>
          <t>Contas Variáveis</t>
        </is>
      </c>
      <c r="B550" s="15" t="inlineStr">
        <is>
          <t>Restaurante / Alimentação</t>
        </is>
      </c>
      <c r="C550" s="16" t="n">
        <v>-14</v>
      </c>
      <c r="D550" s="17" t="n">
        <v>46124</v>
      </c>
      <c r="E550" s="15" t="inlineStr"/>
      <c r="F550" s="15" t="inlineStr">
        <is>
          <t>Sem comprovante</t>
        </is>
      </c>
      <c r="G550" s="15" t="inlineStr">
        <is>
          <t>Compra no débito - ShawarmaSalin</t>
        </is>
      </c>
    </row>
    <row r="551">
      <c r="A551" s="15" t="inlineStr">
        <is>
          <t>Contas Variáveis</t>
        </is>
      </c>
      <c r="B551" s="15" t="inlineStr">
        <is>
          <t>Combustível</t>
        </is>
      </c>
      <c r="C551" s="16" t="n">
        <v>-154.82</v>
      </c>
      <c r="D551" s="17" t="n">
        <v>46125</v>
      </c>
      <c r="E551" s="15" t="inlineStr"/>
      <c r="F551" s="15" t="inlineStr">
        <is>
          <t>Sem comprovante</t>
        </is>
      </c>
      <c r="G551" s="15" t="inlineStr">
        <is>
          <t>Compra no débito - POSTO FAROL DO PARQUE</t>
        </is>
      </c>
    </row>
    <row r="552">
      <c r="A552" s="15" t="inlineStr">
        <is>
          <t>Contas Variáveis</t>
        </is>
      </c>
      <c r="B552" s="15" t="inlineStr">
        <is>
          <t>Combustível</t>
        </is>
      </c>
      <c r="C552" s="16" t="n">
        <v>-78</v>
      </c>
      <c r="D552" s="17" t="n">
        <v>46128</v>
      </c>
      <c r="E552" s="15" t="inlineStr"/>
      <c r="F552" s="15" t="inlineStr">
        <is>
          <t>Sem comprovante</t>
        </is>
      </c>
      <c r="G552" s="15" t="inlineStr">
        <is>
          <t>Compra no débito - AUTO POSTO CAMPINA</t>
        </is>
      </c>
    </row>
    <row r="553">
      <c r="A553" s="15" t="inlineStr">
        <is>
          <t>Contas Variáveis</t>
        </is>
      </c>
      <c r="B553" s="15" t="inlineStr">
        <is>
          <t>Restaurante / Lazer</t>
        </is>
      </c>
      <c r="C553" s="16" t="n">
        <v>-50</v>
      </c>
      <c r="D553" s="17" t="n">
        <v>46128</v>
      </c>
      <c r="E553" s="15" t="inlineStr"/>
      <c r="F553" s="15" t="inlineStr">
        <is>
          <t>Sem comprovante</t>
        </is>
      </c>
      <c r="G553" s="15" t="inlineStr">
        <is>
          <t>Compra no débito - JIM.COM* LODI COMERCIO</t>
        </is>
      </c>
    </row>
    <row r="554">
      <c r="A554" s="15" t="inlineStr">
        <is>
          <t>Contas Variáveis</t>
        </is>
      </c>
      <c r="B554" s="15" t="inlineStr">
        <is>
          <t>Restaurante / Alimentação</t>
        </is>
      </c>
      <c r="C554" s="16" t="n">
        <v>-66.51000000000001</v>
      </c>
      <c r="D554" s="17" t="n">
        <v>46128</v>
      </c>
      <c r="E554" s="15" t="inlineStr"/>
      <c r="F554" s="15" t="inlineStr">
        <is>
          <t>Sem comprovante</t>
        </is>
      </c>
      <c r="G554" s="15" t="inlineStr">
        <is>
          <t>Compra no débito - REST LIRIO SAO BRAZ</t>
        </is>
      </c>
    </row>
    <row r="555">
      <c r="A555" s="15" t="inlineStr">
        <is>
          <t>Contas Variáveis</t>
        </is>
      </c>
      <c r="B555" s="15" t="inlineStr">
        <is>
          <t>iFood</t>
        </is>
      </c>
      <c r="C555" s="16" t="n">
        <v>-46.36</v>
      </c>
      <c r="D555" s="17" t="n">
        <v>46129</v>
      </c>
      <c r="E555" s="15" t="inlineStr"/>
      <c r="F555" s="15" t="inlineStr">
        <is>
          <t>Sem comprovante</t>
        </is>
      </c>
      <c r="G555" s="15" t="inlineStr">
        <is>
          <t>Transferência enviada pelo Pix - IFOOD.COM AGENCIA DE RESTAURANTES ONLINE S.A. - 14.380.200/0001-21 - IFOOD PAGO IP (0595) Agência: 1 Conta: 101793197-2</t>
        </is>
      </c>
    </row>
    <row r="556">
      <c r="A556" s="15" t="inlineStr">
        <is>
          <t>Contas Variáveis</t>
        </is>
      </c>
      <c r="B556" s="15" t="inlineStr">
        <is>
          <t>Mercado</t>
        </is>
      </c>
      <c r="C556" s="16" t="n">
        <v>-7.98</v>
      </c>
      <c r="D556" s="17" t="n">
        <v>46130</v>
      </c>
      <c r="E556" s="15" t="inlineStr"/>
      <c r="F556" s="15" t="inlineStr">
        <is>
          <t>Sem comprovante</t>
        </is>
      </c>
      <c r="G556" s="15" t="inlineStr">
        <is>
          <t>Compra no débito - CONDOR SAO BRAZ LJ11</t>
        </is>
      </c>
    </row>
    <row r="557">
      <c r="A557" s="15" t="inlineStr">
        <is>
          <t>Contas Variáveis</t>
        </is>
      </c>
      <c r="B557" s="15" t="inlineStr">
        <is>
          <t>Compra no débito</t>
        </is>
      </c>
      <c r="C557" s="16" t="n">
        <v>-9</v>
      </c>
      <c r="D557" s="17" t="n">
        <v>46130</v>
      </c>
      <c r="E557" s="15" t="inlineStr"/>
      <c r="F557" s="15" t="inlineStr">
        <is>
          <t>Sem comprovante</t>
        </is>
      </c>
      <c r="G557" s="15" t="inlineStr">
        <is>
          <t>Compra no débito - GRALHA AZUL</t>
        </is>
      </c>
    </row>
    <row r="558">
      <c r="A558" s="15" t="inlineStr">
        <is>
          <t>Contas Variáveis</t>
        </is>
      </c>
      <c r="B558" s="15" t="inlineStr">
        <is>
          <t>Restaurante / Alimentação</t>
        </is>
      </c>
      <c r="C558" s="16" t="n">
        <v>-115.5</v>
      </c>
      <c r="D558" s="17" t="n">
        <v>46130</v>
      </c>
      <c r="E558" s="15" t="inlineStr"/>
      <c r="F558" s="15" t="inlineStr">
        <is>
          <t>Sem comprovante</t>
        </is>
      </c>
      <c r="G558" s="15" t="inlineStr">
        <is>
          <t>Compra no débito - ROYALTY CAFE</t>
        </is>
      </c>
    </row>
    <row r="559">
      <c r="A559" s="15" t="inlineStr">
        <is>
          <t>Contas Variáveis</t>
        </is>
      </c>
      <c r="B559" s="15" t="inlineStr">
        <is>
          <t>Farmácia</t>
        </is>
      </c>
      <c r="C559" s="16" t="n">
        <v>-62.24</v>
      </c>
      <c r="D559" s="17" t="n">
        <v>46130</v>
      </c>
      <c r="E559" s="15" t="inlineStr"/>
      <c r="F559" s="15" t="inlineStr">
        <is>
          <t>Sem comprovante</t>
        </is>
      </c>
      <c r="G559" s="15" t="inlineStr">
        <is>
          <t>Compra no débito via NuPay - Pague Menos</t>
        </is>
      </c>
    </row>
    <row r="560">
      <c r="A560" s="15" t="inlineStr">
        <is>
          <t>Contas Variáveis</t>
        </is>
      </c>
      <c r="B560" s="15" t="inlineStr">
        <is>
          <t>Bar / Cerveja</t>
        </is>
      </c>
      <c r="C560" s="16" t="n">
        <v>-61</v>
      </c>
      <c r="D560" s="17" t="n">
        <v>46130</v>
      </c>
      <c r="E560" s="15" t="inlineStr"/>
      <c r="F560" s="15" t="inlineStr">
        <is>
          <t>Sem comprovante</t>
        </is>
      </c>
      <c r="G560" s="15" t="inlineStr">
        <is>
          <t>Transferência enviada pelo Pix - BASTARDS TAPROOM LTDA - 39.866.345/0001-68 - FLAGSHIP IP LTDA (0566) Agência: 179 Conta: 98364-0</t>
        </is>
      </c>
    </row>
    <row r="561">
      <c r="A561" s="15" t="inlineStr">
        <is>
          <t>Contas Variáveis</t>
        </is>
      </c>
      <c r="B561" s="15" t="inlineStr">
        <is>
          <t>Combustível</t>
        </is>
      </c>
      <c r="C561" s="16" t="n">
        <v>-7</v>
      </c>
      <c r="D561" s="17" t="n">
        <v>46131</v>
      </c>
      <c r="E561" s="15" t="inlineStr"/>
      <c r="F561" s="15" t="inlineStr">
        <is>
          <t>Sem comprovante</t>
        </is>
      </c>
      <c r="G561" s="15" t="inlineStr">
        <is>
          <t>Compra no débito - AutoPostoSul</t>
        </is>
      </c>
    </row>
    <row r="562">
      <c r="A562" s="15" t="inlineStr">
        <is>
          <t>Contas Variáveis</t>
        </is>
      </c>
      <c r="B562" s="15" t="inlineStr">
        <is>
          <t>Restaurante / Alimentação</t>
        </is>
      </c>
      <c r="C562" s="16" t="n">
        <v>-113</v>
      </c>
      <c r="D562" s="17" t="n">
        <v>46131</v>
      </c>
      <c r="E562" s="15" t="inlineStr"/>
      <c r="F562" s="15" t="inlineStr">
        <is>
          <t>Sem comprovante</t>
        </is>
      </c>
      <c r="G562" s="15" t="inlineStr">
        <is>
          <t>Compra no débito - BART CASA DE CAFE LTDA</t>
        </is>
      </c>
    </row>
    <row r="563">
      <c r="A563" s="15" t="inlineStr">
        <is>
          <t>Contas Variáveis</t>
        </is>
      </c>
      <c r="B563" s="15" t="inlineStr">
        <is>
          <t>Combustível</t>
        </is>
      </c>
      <c r="C563" s="16" t="n">
        <v>-98.67</v>
      </c>
      <c r="D563" s="17" t="n">
        <v>46131</v>
      </c>
      <c r="E563" s="15" t="inlineStr"/>
      <c r="F563" s="15" t="inlineStr">
        <is>
          <t>Sem comprovante</t>
        </is>
      </c>
      <c r="G563" s="15" t="inlineStr">
        <is>
          <t>Compra no débito - POSTO FAROL DO PARQUE</t>
        </is>
      </c>
    </row>
    <row r="564">
      <c r="A564" s="15" t="inlineStr">
        <is>
          <t>Contas Variáveis</t>
        </is>
      </c>
      <c r="B564" s="15" t="inlineStr">
        <is>
          <t>Restaurante / Alimentação</t>
        </is>
      </c>
      <c r="C564" s="16" t="n">
        <v>-13</v>
      </c>
      <c r="D564" s="17" t="n">
        <v>46131</v>
      </c>
      <c r="E564" s="15" t="inlineStr"/>
      <c r="F564" s="15" t="inlineStr">
        <is>
          <t>Sem comprovante</t>
        </is>
      </c>
      <c r="G564" s="15" t="inlineStr">
        <is>
          <t>Compra no débito - RESTAURANTE PURUNA</t>
        </is>
      </c>
    </row>
    <row r="565">
      <c r="A565" s="15" t="inlineStr">
        <is>
          <t>Contas Variáveis</t>
        </is>
      </c>
      <c r="B565" s="15" t="inlineStr">
        <is>
          <t>iFood</t>
        </is>
      </c>
      <c r="C565" s="16" t="n">
        <v>-88.11</v>
      </c>
      <c r="D565" s="17" t="n">
        <v>46132</v>
      </c>
      <c r="E565" s="15" t="inlineStr"/>
      <c r="F565" s="15" t="inlineStr">
        <is>
          <t>Sem comprovante</t>
        </is>
      </c>
      <c r="G565" s="15" t="inlineStr">
        <is>
          <t>Transferência enviada pelo Pix - IFOOD.COM AGENCIA DE RESTAURANTES ONLINE S.A. - 14.380.200/0001-21 - IFOOD PAGO IP (0595) Agência: 1 Conta: 101793197-2</t>
        </is>
      </c>
    </row>
    <row r="566">
      <c r="A566" s="15" t="inlineStr">
        <is>
          <t>Contas Variáveis</t>
        </is>
      </c>
      <c r="B566" s="15" t="inlineStr">
        <is>
          <t>Compra no débito</t>
        </is>
      </c>
      <c r="C566" s="16" t="n">
        <v>-56.33</v>
      </c>
      <c r="D566" s="17" t="n">
        <v>46133</v>
      </c>
      <c r="E566" s="15" t="inlineStr"/>
      <c r="F566" s="15" t="inlineStr">
        <is>
          <t>Sem comprovante</t>
        </is>
      </c>
      <c r="G566" s="15" t="inlineStr">
        <is>
          <t>Compra no débito - VICPAES</t>
        </is>
      </c>
    </row>
    <row r="567">
      <c r="A567" s="15" t="inlineStr">
        <is>
          <t>Contas Variáveis</t>
        </is>
      </c>
      <c r="B567" s="15" t="inlineStr">
        <is>
          <t>iFood</t>
        </is>
      </c>
      <c r="C567" s="16" t="n">
        <v>-114.92</v>
      </c>
      <c r="D567" s="17" t="n">
        <v>46133</v>
      </c>
      <c r="E567" s="15" t="inlineStr"/>
      <c r="F567" s="15" t="inlineStr">
        <is>
          <t>Sem comprovante</t>
        </is>
      </c>
      <c r="G567" s="15" t="inlineStr">
        <is>
          <t>Transferência enviada pelo Pix - IFOOD.COM AGENCIA DE RESTAURANTES ONLINE S.A. - 14.380.200/0001-21 - IFOOD PAGO IP (0595) Agência: 1 Conta: 101793197-2</t>
        </is>
      </c>
    </row>
    <row r="568">
      <c r="A568" s="15" t="inlineStr">
        <is>
          <t>Contas Variáveis</t>
        </is>
      </c>
      <c r="B568" s="15" t="inlineStr">
        <is>
          <t>Combustível</t>
        </is>
      </c>
      <c r="C568" s="16" t="n">
        <v>-34.99</v>
      </c>
      <c r="D568" s="17" t="n">
        <v>46134</v>
      </c>
      <c r="E568" s="15" t="inlineStr"/>
      <c r="F568" s="15" t="inlineStr">
        <is>
          <t>Sem comprovante</t>
        </is>
      </c>
      <c r="G568" s="15" t="inlineStr">
        <is>
          <t>Compra no débito - AMP* POSTO DE COMB VI</t>
        </is>
      </c>
    </row>
    <row r="569">
      <c r="A569" s="15" t="inlineStr">
        <is>
          <t>Contas Variáveis</t>
        </is>
      </c>
      <c r="B569" s="15" t="inlineStr">
        <is>
          <t>Combustível</t>
        </is>
      </c>
      <c r="C569" s="16" t="n">
        <v>-7.5</v>
      </c>
      <c r="D569" s="17" t="n">
        <v>46134</v>
      </c>
      <c r="E569" s="15" t="inlineStr"/>
      <c r="F569" s="15" t="inlineStr">
        <is>
          <t>Sem comprovante</t>
        </is>
      </c>
      <c r="G569" s="15" t="inlineStr">
        <is>
          <t>Compra no débito - POSTO FAROL DO PARQUE</t>
        </is>
      </c>
    </row>
    <row r="570">
      <c r="A570" s="15" t="inlineStr">
        <is>
          <t>Contas Variáveis</t>
        </is>
      </c>
      <c r="B570" s="15" t="inlineStr">
        <is>
          <t>Compras Diversas</t>
        </is>
      </c>
      <c r="C570" s="16" t="n">
        <v>-26.3</v>
      </c>
      <c r="D570" s="17" t="n">
        <v>46136</v>
      </c>
      <c r="E570" s="15" t="inlineStr"/>
      <c r="F570" s="15" t="inlineStr">
        <is>
          <t>Sem comprovante</t>
        </is>
      </c>
      <c r="G570" s="15" t="inlineStr">
        <is>
          <t>Compra no débito - CANAL TERRA</t>
        </is>
      </c>
    </row>
    <row r="571">
      <c r="A571" s="15" t="inlineStr">
        <is>
          <t>Contas Variáveis</t>
        </is>
      </c>
      <c r="B571" s="15" t="inlineStr">
        <is>
          <t>Restaurante / Alimentação</t>
        </is>
      </c>
      <c r="C571" s="16" t="n">
        <v>-202.4</v>
      </c>
      <c r="D571" s="17" t="n">
        <v>46136</v>
      </c>
      <c r="E571" s="15" t="inlineStr"/>
      <c r="F571" s="15" t="inlineStr">
        <is>
          <t>Sem comprovante</t>
        </is>
      </c>
      <c r="G571" s="15" t="inlineStr">
        <is>
          <t>Compra no débito - DUSSELDORF COMERCIO</t>
        </is>
      </c>
    </row>
    <row r="572">
      <c r="A572" s="15" t="inlineStr">
        <is>
          <t>Contas Variáveis</t>
        </is>
      </c>
      <c r="B572" s="15" t="inlineStr">
        <is>
          <t>Combustível</t>
        </is>
      </c>
      <c r="C572" s="16" t="n">
        <v>-100</v>
      </c>
      <c r="D572" s="17" t="n">
        <v>46136</v>
      </c>
      <c r="E572" s="15" t="inlineStr"/>
      <c r="F572" s="15" t="inlineStr">
        <is>
          <t>Sem comprovante</t>
        </is>
      </c>
      <c r="G572" s="15" t="inlineStr">
        <is>
          <t>Compra no débito - POSTO TOP GAS</t>
        </is>
      </c>
    </row>
    <row r="573">
      <c r="A573" s="15" t="inlineStr">
        <is>
          <t>Contas Variáveis</t>
        </is>
      </c>
      <c r="B573" s="15" t="inlineStr">
        <is>
          <t>Compra no débito</t>
        </is>
      </c>
      <c r="C573" s="16" t="n">
        <v>-35</v>
      </c>
      <c r="D573" s="17" t="n">
        <v>46136</v>
      </c>
      <c r="E573" s="15" t="inlineStr"/>
      <c r="F573" s="15" t="inlineStr">
        <is>
          <t>Sem comprovante</t>
        </is>
      </c>
      <c r="G573" s="15" t="inlineStr">
        <is>
          <t>Compra no débito - RosabelMoya</t>
        </is>
      </c>
    </row>
    <row r="574">
      <c r="A574" s="15" t="inlineStr">
        <is>
          <t>Contas Variáveis</t>
        </is>
      </c>
      <c r="B574" s="15" t="inlineStr">
        <is>
          <t>Mercado</t>
        </is>
      </c>
      <c r="C574" s="16" t="n">
        <v>-20.49</v>
      </c>
      <c r="D574" s="17" t="n">
        <v>46137</v>
      </c>
      <c r="E574" s="15" t="inlineStr"/>
      <c r="F574" s="15" t="inlineStr">
        <is>
          <t>Sem comprovante</t>
        </is>
      </c>
      <c r="G574" s="15" t="inlineStr">
        <is>
          <t>Compra no débito - CONDOR AUTO POSTO</t>
        </is>
      </c>
    </row>
    <row r="575">
      <c r="A575" s="15" t="inlineStr">
        <is>
          <t>Contas Variáveis</t>
        </is>
      </c>
      <c r="B575" s="15" t="inlineStr">
        <is>
          <t>Farmácia</t>
        </is>
      </c>
      <c r="C575" s="16" t="n">
        <v>-38.96</v>
      </c>
      <c r="D575" s="17" t="n">
        <v>46137</v>
      </c>
      <c r="E575" s="15" t="inlineStr"/>
      <c r="F575" s="15" t="inlineStr">
        <is>
          <t>Sem comprovante</t>
        </is>
      </c>
      <c r="G575" s="15" t="inlineStr">
        <is>
          <t>Compra no débito - RAIA227</t>
        </is>
      </c>
    </row>
    <row r="576">
      <c r="A576" s="15" t="inlineStr">
        <is>
          <t>Contas Variáveis</t>
        </is>
      </c>
      <c r="B576" s="15" t="inlineStr">
        <is>
          <t>Restaurante / Alimentação</t>
        </is>
      </c>
      <c r="C576" s="16" t="n">
        <v>-176.92</v>
      </c>
      <c r="D576" s="17" t="n">
        <v>46138</v>
      </c>
      <c r="E576" s="15" t="inlineStr"/>
      <c r="F576" s="15" t="inlineStr">
        <is>
          <t>Sem comprovante</t>
        </is>
      </c>
      <c r="G576" s="15" t="inlineStr">
        <is>
          <t>Compra no débito - SANTA FELICIDADE</t>
        </is>
      </c>
    </row>
    <row r="577">
      <c r="A577" s="15" t="inlineStr">
        <is>
          <t>Contas Variáveis</t>
        </is>
      </c>
      <c r="B577" s="15" t="inlineStr">
        <is>
          <t>Compras Diversas</t>
        </is>
      </c>
      <c r="C577" s="16" t="n">
        <v>-46.28</v>
      </c>
      <c r="D577" s="17" t="n">
        <v>46138</v>
      </c>
      <c r="E577" s="15" t="inlineStr"/>
      <c r="F577" s="15" t="inlineStr">
        <is>
          <t>Sem comprovante</t>
        </is>
      </c>
      <c r="G577" s="15" t="inlineStr">
        <is>
          <t>Compra no débito - TOALDO TULIO 65</t>
        </is>
      </c>
    </row>
    <row r="578">
      <c r="A578" s="15" t="inlineStr">
        <is>
          <t>Contas Variáveis</t>
        </is>
      </c>
      <c r="B578" s="15" t="inlineStr">
        <is>
          <t>Compra no débito</t>
        </is>
      </c>
      <c r="C578" s="16" t="n">
        <v>-60.11</v>
      </c>
      <c r="D578" s="17" t="n">
        <v>46138</v>
      </c>
      <c r="E578" s="15" t="inlineStr"/>
      <c r="F578" s="15" t="inlineStr">
        <is>
          <t>Sem comprovante</t>
        </is>
      </c>
      <c r="G578" s="15" t="inlineStr">
        <is>
          <t>Compra no débito - VICPAES</t>
        </is>
      </c>
    </row>
    <row r="579">
      <c r="A579" s="18" t="inlineStr">
        <is>
          <t>Subtotal Contas Variáveis</t>
        </is>
      </c>
      <c r="B579" s="19" t="n"/>
      <c r="C579" s="20">
        <f>SUM(C541:C578)</f>
        <v/>
      </c>
      <c r="D579" s="19" t="n"/>
      <c r="E579" s="19" t="n"/>
      <c r="F579" s="19" t="n"/>
      <c r="G579" s="19" t="n"/>
    </row>
    <row r="580">
      <c r="A580" s="12" t="inlineStr">
        <is>
          <t>Pessoal</t>
        </is>
      </c>
      <c r="B580" s="23" t="n"/>
      <c r="C580" s="23" t="n"/>
      <c r="D580" s="23" t="n"/>
      <c r="E580" s="23" t="n"/>
      <c r="F580" s="23" t="n"/>
      <c r="G580" s="23" t="n"/>
    </row>
    <row r="581">
      <c r="A581" s="15" t="inlineStr">
        <is>
          <t>Pessoal</t>
        </is>
      </c>
      <c r="B581" s="15" t="inlineStr">
        <is>
          <t>Bruno Luiz (familiar)</t>
        </is>
      </c>
      <c r="C581" s="16" t="n">
        <v>-200</v>
      </c>
      <c r="D581" s="17" t="n">
        <v>46114</v>
      </c>
      <c r="E581" s="15" t="inlineStr"/>
      <c r="F581" s="15" t="inlineStr">
        <is>
          <t>Sem comprovante</t>
        </is>
      </c>
      <c r="G581" s="15" t="inlineStr">
        <is>
          <t>Transferência enviada pelo Pix - BRUNO LUIZ SASTRE SEUS JUNIOR - •••.516.739-•• - BCO BRADESCO S.A. (0237) Agência: 3925 Conta: 165900-6</t>
        </is>
      </c>
    </row>
    <row r="582">
      <c r="A582" s="15" t="inlineStr">
        <is>
          <t>Pessoal</t>
        </is>
      </c>
      <c r="B582" s="15" t="inlineStr">
        <is>
          <t>Bruno Luiz (familiar)</t>
        </is>
      </c>
      <c r="C582" s="16" t="n">
        <v>-200</v>
      </c>
      <c r="D582" s="17" t="n">
        <v>46129</v>
      </c>
      <c r="E582" s="15" t="inlineStr"/>
      <c r="F582" s="15" t="inlineStr">
        <is>
          <t>Sem comprovante</t>
        </is>
      </c>
      <c r="G582" s="15" t="inlineStr">
        <is>
          <t>Transferência enviada pelo Pix - BRUNO LUIZ SASTRE SEUS JUNIOR - •••.516.739-•• - BCO BRADESCO S.A. (0237) Agência: 3925 Conta: 165900-6</t>
        </is>
      </c>
    </row>
    <row r="583">
      <c r="A583" s="15" t="inlineStr">
        <is>
          <t>Pessoal</t>
        </is>
      </c>
      <c r="B583" s="15" t="inlineStr">
        <is>
          <t>Bruno Luiz (familiar)</t>
        </is>
      </c>
      <c r="C583" s="16" t="n">
        <v>-200</v>
      </c>
      <c r="D583" s="17" t="n">
        <v>46136</v>
      </c>
      <c r="E583" s="15" t="inlineStr"/>
      <c r="F583" s="15" t="inlineStr">
        <is>
          <t>Sem comprovante</t>
        </is>
      </c>
      <c r="G583" s="15" t="inlineStr">
        <is>
          <t>Transferência enviada pelo Pix - BRUNO LUIZ SASTRE SEUS JUNIOR - •••.516.739-•• - BCO BRADESCO S.A. (0237) Agência: 3925 Conta: 165900-6</t>
        </is>
      </c>
    </row>
    <row r="584">
      <c r="A584" s="18" t="inlineStr">
        <is>
          <t>Subtotal Pessoal</t>
        </is>
      </c>
      <c r="B584" s="19" t="n"/>
      <c r="C584" s="20">
        <f>SUM(C581:C583)</f>
        <v/>
      </c>
      <c r="D584" s="19" t="n"/>
      <c r="E584" s="19" t="n"/>
      <c r="F584" s="19" t="n"/>
      <c r="G584" s="19" t="n"/>
    </row>
    <row r="585">
      <c r="A585" s="12" t="inlineStr">
        <is>
          <t>Outros</t>
        </is>
      </c>
      <c r="B585" s="23" t="n"/>
      <c r="C585" s="23" t="n"/>
      <c r="D585" s="23" t="n"/>
      <c r="E585" s="23" t="n"/>
      <c r="F585" s="23" t="n"/>
      <c r="G585" s="23" t="n"/>
    </row>
    <row r="586">
      <c r="A586" s="15" t="inlineStr">
        <is>
          <t>Outros</t>
        </is>
      </c>
      <c r="B586" s="15" t="inlineStr">
        <is>
          <t>Transferência Pix Enviada</t>
        </is>
      </c>
      <c r="C586" s="16" t="n">
        <v>-150</v>
      </c>
      <c r="D586" s="17" t="n">
        <v>46118</v>
      </c>
      <c r="E586" s="15" t="inlineStr"/>
      <c r="F586" s="15" t="inlineStr">
        <is>
          <t>Sem comprovante</t>
        </is>
      </c>
      <c r="G586" s="15" t="inlineStr">
        <is>
          <t>Transferência enviada pelo Pix - Leonardo Munhoz Lucio - •••.391.699-•• - NU PAGAMENTOS - IP (0260) Agência: 1 Conta: 68494942-4</t>
        </is>
      </c>
    </row>
    <row r="587">
      <c r="A587" s="15" t="inlineStr">
        <is>
          <t>Outros</t>
        </is>
      </c>
      <c r="B587" s="15" t="inlineStr">
        <is>
          <t>Transferência Pix Enviada</t>
        </is>
      </c>
      <c r="C587" s="16" t="n">
        <v>-140</v>
      </c>
      <c r="D587" s="17" t="n">
        <v>46119</v>
      </c>
      <c r="E587" s="15" t="inlineStr"/>
      <c r="F587" s="15" t="inlineStr">
        <is>
          <t>Sem comprovante</t>
        </is>
      </c>
      <c r="G587" s="15" t="inlineStr">
        <is>
          <t>Transferência enviada pelo Pix - RENATO ANGELO SAO PEDRO - •••.840.869-•• - ITAÚ UNIBANCO S.A. (0341) Agência: 3377 Conta: 73373-2</t>
        </is>
      </c>
    </row>
    <row r="588">
      <c r="A588" s="15" t="inlineStr">
        <is>
          <t>Outros</t>
        </is>
      </c>
      <c r="B588" s="15" t="inlineStr">
        <is>
          <t>Maçonaria / Loja Simbólica</t>
        </is>
      </c>
      <c r="C588" s="16" t="n">
        <v>-200</v>
      </c>
      <c r="D588" s="17" t="n">
        <v>46120</v>
      </c>
      <c r="E588" s="15" t="inlineStr"/>
      <c r="F588" s="15" t="inlineStr">
        <is>
          <t>Sem comprovante</t>
        </is>
      </c>
      <c r="G588" s="15" t="inlineStr">
        <is>
          <t>Transferência enviada pelo Pix - AUGUSTA E RESPEITAVEL LOJA SIMBOLICA OBR - 01.361.920/0001-06 - BCO BRADESCO S.A. (0237) Agência: 929 Conta: 45825-2</t>
        </is>
      </c>
    </row>
    <row r="589">
      <c r="A589" s="15" t="inlineStr">
        <is>
          <t>Outros</t>
        </is>
      </c>
      <c r="B589" s="15" t="inlineStr">
        <is>
          <t>Compra / Pix Pessoal</t>
        </is>
      </c>
      <c r="C589" s="16" t="n">
        <v>-150</v>
      </c>
      <c r="D589" s="17" t="n">
        <v>46121</v>
      </c>
      <c r="E589" s="15" t="inlineStr"/>
      <c r="F589" s="15" t="inlineStr">
        <is>
          <t>Sem comprovante</t>
        </is>
      </c>
      <c r="G589" s="15" t="inlineStr">
        <is>
          <t>Transferência enviada pelo Pix - CENTRAL DO PORTAO LTDA - 33.529.014/0001-56 - BANCO BTG PACTUAL S.A. (0208) Agência: 50 Conta: 810585-4</t>
        </is>
      </c>
    </row>
    <row r="590">
      <c r="A590" s="15" t="inlineStr">
        <is>
          <t>Outros</t>
        </is>
      </c>
      <c r="B590" s="15" t="inlineStr">
        <is>
          <t>Transferência Pix Enviada</t>
        </is>
      </c>
      <c r="C590" s="16" t="n">
        <v>-132.14</v>
      </c>
      <c r="D590" s="17" t="n">
        <v>46125</v>
      </c>
      <c r="E590" s="15" t="inlineStr"/>
      <c r="F590" s="15" t="inlineStr">
        <is>
          <t>Sem comprovante</t>
        </is>
      </c>
      <c r="G590" s="15" t="inlineStr">
        <is>
          <t>Transferência enviada pelo Pix - ITAU UNIBANCO - 60.701.190/0001-04 - ITAÚ UNIBANCO S.A. (0341) Agência: 1063 Conta: 2482-0</t>
        </is>
      </c>
    </row>
    <row r="591">
      <c r="A591" s="15" t="inlineStr">
        <is>
          <t>Outros</t>
        </is>
      </c>
      <c r="B591" s="15" t="inlineStr">
        <is>
          <t>Pagamento de fatura cartão</t>
        </is>
      </c>
      <c r="C591" s="16" t="n">
        <v>-180</v>
      </c>
      <c r="D591" s="17" t="n">
        <v>46131</v>
      </c>
      <c r="E591" s="15" t="inlineStr"/>
      <c r="F591" s="15" t="inlineStr">
        <is>
          <t>Sem comprovante</t>
        </is>
      </c>
      <c r="G591" s="15" t="inlineStr">
        <is>
          <t>Pagamento de fatura</t>
        </is>
      </c>
    </row>
    <row r="592">
      <c r="A592" s="15" t="inlineStr">
        <is>
          <t>Outros</t>
        </is>
      </c>
      <c r="B592" s="15" t="inlineStr">
        <is>
          <t>Pagamento de fatura cartão</t>
        </is>
      </c>
      <c r="C592" s="16" t="n">
        <v>-500</v>
      </c>
      <c r="D592" s="17" t="n">
        <v>46136</v>
      </c>
      <c r="E592" s="15" t="inlineStr"/>
      <c r="F592" s="15" t="inlineStr">
        <is>
          <t>Sem comprovante</t>
        </is>
      </c>
      <c r="G592" s="15" t="inlineStr">
        <is>
          <t>Pagamento de fatura</t>
        </is>
      </c>
    </row>
    <row r="593">
      <c r="A593" s="18" t="inlineStr">
        <is>
          <t>Subtotal Outros</t>
        </is>
      </c>
      <c r="B593" s="19" t="n"/>
      <c r="C593" s="20">
        <f>SUM(C586:C592)</f>
        <v/>
      </c>
      <c r="D593" s="19" t="n"/>
      <c r="E593" s="19" t="n"/>
      <c r="F593" s="19" t="n"/>
      <c r="G593" s="19" t="n"/>
    </row>
    <row r="594">
      <c r="A594" s="6" t="inlineStr">
        <is>
          <t>TOTAL DESPESAS PAGAS</t>
        </is>
      </c>
      <c r="C594" s="24">
        <f>C539+C579+C584+C593</f>
        <v/>
      </c>
    </row>
    <row r="595">
      <c r="A595" s="25" t="inlineStr">
        <is>
          <t>TOTAL RECEITAS</t>
        </is>
      </c>
      <c r="C595" s="26">
        <f>C519+C527+C530+C533</f>
        <v/>
      </c>
    </row>
    <row r="596">
      <c r="A596" s="27" t="inlineStr">
        <is>
          <t xml:space="preserve">  ↳ Midialike (separado)</t>
        </is>
      </c>
      <c r="C596" s="28">
        <f>C519</f>
        <v/>
      </c>
    </row>
    <row r="597">
      <c r="A597" s="27" t="inlineStr">
        <is>
          <t xml:space="preserve">  ↳ Denise / Salão (separado)</t>
        </is>
      </c>
      <c r="C597" s="28">
        <f>C527</f>
        <v/>
      </c>
    </row>
    <row r="598">
      <c r="A598" s="2" t="inlineStr">
        <is>
          <t>SALDO LÍQUIDO DO MÊS</t>
        </is>
      </c>
      <c r="C598" s="5">
        <f>C519+C527+C530+C533+C539+C579+C584+C593</f>
        <v/>
      </c>
    </row>
    <row r="600">
      <c r="A600" s="11" t="inlineStr">
        <is>
          <t>Maio/2026</t>
        </is>
      </c>
    </row>
    <row r="601">
      <c r="A601" s="12" t="inlineStr">
        <is>
          <t>Categoria</t>
        </is>
      </c>
      <c r="B601" s="12" t="inlineStr">
        <is>
          <t>Conta / Despesa</t>
        </is>
      </c>
      <c r="C601" s="12" t="inlineStr">
        <is>
          <t>Valor</t>
        </is>
      </c>
      <c r="D601" s="12" t="inlineStr">
        <is>
          <t>Data de Pagamento</t>
        </is>
      </c>
      <c r="E601" s="12" t="inlineStr">
        <is>
          <t>Recibo / Comprovante</t>
        </is>
      </c>
      <c r="F601" s="12" t="inlineStr">
        <is>
          <t>Status</t>
        </is>
      </c>
      <c r="G601" s="12" t="inlineStr">
        <is>
          <t>Observações</t>
        </is>
      </c>
    </row>
    <row r="602">
      <c r="A602" s="13" t="inlineStr">
        <is>
          <t>Receita - Midialike</t>
        </is>
      </c>
      <c r="B602" s="14" t="n"/>
      <c r="C602" s="14" t="n"/>
      <c r="D602" s="14" t="n"/>
      <c r="E602" s="14" t="n"/>
      <c r="F602" s="14" t="n"/>
      <c r="G602" s="14" t="n"/>
    </row>
    <row r="603">
      <c r="A603" s="15" t="inlineStr">
        <is>
          <t>Receita - Midialike</t>
        </is>
      </c>
      <c r="B603" s="15" t="inlineStr">
        <is>
          <t>Depósito Midialike</t>
        </is>
      </c>
      <c r="C603" s="16" t="n">
        <v>150</v>
      </c>
      <c r="D603" s="17" t="n">
        <v>46143</v>
      </c>
      <c r="E603" s="15" t="inlineStr"/>
      <c r="F603" s="15" t="inlineStr">
        <is>
          <t>Recebido</t>
        </is>
      </c>
      <c r="G603" s="15" t="inlineStr">
        <is>
          <t>Transferência recebida pelo Pix - MIDIA LIKE LTDA - 17.930.007/0001-05 - BCO C6 S.A. (0336) Agência: 1 Conta: 31709544-7</t>
        </is>
      </c>
    </row>
    <row r="604">
      <c r="A604" s="15" t="inlineStr">
        <is>
          <t>Receita - Midialike</t>
        </is>
      </c>
      <c r="B604" s="15" t="inlineStr">
        <is>
          <t>Depósito Midialike</t>
        </is>
      </c>
      <c r="C604" s="16" t="n">
        <v>7500</v>
      </c>
      <c r="D604" s="17" t="n">
        <v>46148</v>
      </c>
      <c r="E604" s="15" t="inlineStr"/>
      <c r="F604" s="15" t="inlineStr">
        <is>
          <t>Recebido</t>
        </is>
      </c>
      <c r="G604" s="15" t="inlineStr">
        <is>
          <t>Pix recebido MIDIA LIKE LTDA</t>
        </is>
      </c>
    </row>
    <row r="605">
      <c r="A605" s="15" t="inlineStr">
        <is>
          <t>Receita - Midialike</t>
        </is>
      </c>
      <c r="B605" s="15" t="inlineStr">
        <is>
          <t>Depósito Midialike</t>
        </is>
      </c>
      <c r="C605" s="16" t="n">
        <v>370</v>
      </c>
      <c r="D605" s="17" t="n">
        <v>46149</v>
      </c>
      <c r="E605" s="15" t="inlineStr"/>
      <c r="F605" s="15" t="inlineStr">
        <is>
          <t>Recebido</t>
        </is>
      </c>
      <c r="G605" s="15" t="inlineStr">
        <is>
          <t>Transferência recebida pelo Pix - MIDIA LIKE LTDA - 17.930.007/0001-05 - BCO C6 S.A. (0336) Agência: 1 Conta: 31709544-7</t>
        </is>
      </c>
    </row>
    <row r="606">
      <c r="A606" s="15" t="inlineStr">
        <is>
          <t>Receita - Midialike</t>
        </is>
      </c>
      <c r="B606" s="15" t="inlineStr">
        <is>
          <t>Depósito Midialike</t>
        </is>
      </c>
      <c r="C606" s="16" t="n">
        <v>389</v>
      </c>
      <c r="D606" s="17" t="n">
        <v>46168</v>
      </c>
      <c r="E606" s="15" t="inlineStr"/>
      <c r="F606" s="15" t="inlineStr">
        <is>
          <t>Recebido</t>
        </is>
      </c>
      <c r="G606" s="15" t="inlineStr">
        <is>
          <t>Transferência recebida pelo Pix - MIDIA LIKE LTDA - 17.930.007/0001-05 - BCO C6 S.A. (0336) Agência: 1 Conta: 31709544-7</t>
        </is>
      </c>
    </row>
    <row r="607">
      <c r="A607" s="18" t="inlineStr">
        <is>
          <t>Subtotal Receita - Midialike</t>
        </is>
      </c>
      <c r="B607" s="19" t="n"/>
      <c r="C607" s="20">
        <f>SUM(C603:C606)</f>
        <v/>
      </c>
      <c r="D607" s="19" t="n"/>
      <c r="E607" s="19" t="n"/>
      <c r="F607" s="19" t="n"/>
      <c r="G607" s="19" t="n"/>
    </row>
    <row r="608">
      <c r="A608" s="21" t="inlineStr">
        <is>
          <t>Receita - Denise (Salão)</t>
        </is>
      </c>
      <c r="B608" s="22" t="n"/>
      <c r="C608" s="22" t="n"/>
      <c r="D608" s="22" t="n"/>
      <c r="E608" s="22" t="n"/>
      <c r="F608" s="22" t="n"/>
      <c r="G608" s="22" t="n"/>
    </row>
    <row r="609">
      <c r="A609" s="15" t="inlineStr">
        <is>
          <t>Receita - Denise (Salão)</t>
        </is>
      </c>
      <c r="B609" s="15" t="inlineStr">
        <is>
          <t>Depósito recebido de Denise / Salão</t>
        </is>
      </c>
      <c r="C609" s="16" t="n">
        <v>500</v>
      </c>
      <c r="D609" s="17" t="n">
        <v>46143</v>
      </c>
      <c r="E609" s="15" t="inlineStr"/>
      <c r="F609" s="15" t="inlineStr">
        <is>
          <t>Recebido</t>
        </is>
      </c>
      <c r="G609" s="15" t="inlineStr">
        <is>
          <t>Transferência recebida pelo Pix - DENISE DE PAULA CENTRO DE ESTETICA LTDA - 05.823.454/0001-86 - MERCADO PAGO IP LTDA. (0323) Agência: 1 Conta: 8804533771-0</t>
        </is>
      </c>
    </row>
    <row r="610">
      <c r="A610" s="15" t="inlineStr">
        <is>
          <t>Receita - Denise (Salão)</t>
        </is>
      </c>
      <c r="B610" s="15" t="inlineStr">
        <is>
          <t>Depósito recebido de Denise / Salão</t>
        </is>
      </c>
      <c r="C610" s="16" t="n">
        <v>500</v>
      </c>
      <c r="D610" s="17" t="n">
        <v>46152</v>
      </c>
      <c r="E610" s="15" t="inlineStr"/>
      <c r="F610" s="15" t="inlineStr">
        <is>
          <t>Recebido</t>
        </is>
      </c>
      <c r="G610" s="15" t="inlineStr">
        <is>
          <t>Transferência recebida pelo Pix - DENISE DE PAULA CENTRO DE ESTETICA LTDA - 05.823.454/0001-86 - MERCADO PAGO IP LTDA. (0323) Agência: 1 Conta: 8804533771-0</t>
        </is>
      </c>
    </row>
    <row r="611">
      <c r="A611" s="15" t="inlineStr">
        <is>
          <t>Receita - Denise (Salão)</t>
        </is>
      </c>
      <c r="B611" s="15" t="inlineStr">
        <is>
          <t>Depósito recebido de Denise / Salão</t>
        </is>
      </c>
      <c r="C611" s="16" t="n">
        <v>50</v>
      </c>
      <c r="D611" s="17" t="n">
        <v>46154</v>
      </c>
      <c r="E611" s="15" t="inlineStr"/>
      <c r="F611" s="15" t="inlineStr">
        <is>
          <t>Recebido</t>
        </is>
      </c>
      <c r="G611" s="15" t="inlineStr">
        <is>
          <t>Transferência recebida pelo Pix - DENISE DE PAULA CENTRO DE ESTETICA LTDA - 05.823.454/0001-86 - MERCADO PAGO IP LTDA. (0323) Agência: 1 Conta: 8804533771-0</t>
        </is>
      </c>
    </row>
    <row r="612">
      <c r="A612" s="15" t="inlineStr">
        <is>
          <t>Receita - Denise (Salão)</t>
        </is>
      </c>
      <c r="B612" s="15" t="inlineStr">
        <is>
          <t>Depósito recebido de Denise / Salão</t>
        </is>
      </c>
      <c r="C612" s="16" t="n">
        <v>500</v>
      </c>
      <c r="D612" s="17" t="n">
        <v>46155</v>
      </c>
      <c r="E612" s="15" t="inlineStr"/>
      <c r="F612" s="15" t="inlineStr">
        <is>
          <t>Recebido</t>
        </is>
      </c>
      <c r="G612" s="15" t="inlineStr">
        <is>
          <t>Transferência recebida pelo Pix - DENISE DE PAULA CENTRO DE ESTETICA LTDA - 05.823.454/0001-86 - MERCADO PAGO IP LTDA. (0323) Agência: 1 Conta: 8804533771-0</t>
        </is>
      </c>
    </row>
    <row r="613">
      <c r="A613" s="15" t="inlineStr">
        <is>
          <t>Receita - Denise (Salão)</t>
        </is>
      </c>
      <c r="B613" s="15" t="inlineStr">
        <is>
          <t>Depósito recebido de Denise / Salão</t>
        </is>
      </c>
      <c r="C613" s="16" t="n">
        <v>100</v>
      </c>
      <c r="D613" s="17" t="n">
        <v>46157</v>
      </c>
      <c r="E613" s="15" t="inlineStr"/>
      <c r="F613" s="15" t="inlineStr">
        <is>
          <t>Recebido</t>
        </is>
      </c>
      <c r="G613" s="15" t="inlineStr">
        <is>
          <t>Transferência recebida pelo Pix - DENISE DE PAULA CENTRO DE ESTETICA LTDA - 05.823.454/0001-86 - MERCADO PAGO IP LTDA. (0323) Agência: 1 Conta: 8804533771-0</t>
        </is>
      </c>
    </row>
    <row r="614">
      <c r="A614" s="15" t="inlineStr">
        <is>
          <t>Receita - Denise (Salão)</t>
        </is>
      </c>
      <c r="B614" s="15" t="inlineStr">
        <is>
          <t>Depósito recebido de Denise / Salão</t>
        </is>
      </c>
      <c r="C614" s="16" t="n">
        <v>500</v>
      </c>
      <c r="D614" s="17" t="n">
        <v>46160</v>
      </c>
      <c r="E614" s="15" t="inlineStr"/>
      <c r="F614" s="15" t="inlineStr">
        <is>
          <t>Recebido</t>
        </is>
      </c>
      <c r="G614" s="15" t="inlineStr">
        <is>
          <t>Transferência recebida pelo Pix - DENISE DE PAULA CENTRO DE ESTETICA LTDA - 05.823.454/0001-86 - MERCADO PAGO IP LTDA. (0323) Agência: 1 Conta: 8804533771-0</t>
        </is>
      </c>
    </row>
    <row r="615">
      <c r="A615" s="15" t="inlineStr">
        <is>
          <t>Receita - Denise (Salão)</t>
        </is>
      </c>
      <c r="B615" s="15" t="inlineStr">
        <is>
          <t>Depósito recebido de Denise / Salão</t>
        </is>
      </c>
      <c r="C615" s="16" t="n">
        <v>100</v>
      </c>
      <c r="D615" s="17" t="n">
        <v>46164</v>
      </c>
      <c r="E615" s="15" t="inlineStr"/>
      <c r="F615" s="15" t="inlineStr">
        <is>
          <t>Recebido</t>
        </is>
      </c>
      <c r="G615" s="15" t="inlineStr">
        <is>
          <t>Transferência recebida pelo Pix - DENISE DE PAULA CENTRO DE ESTETICA LTDA - 05.823.454/0001-86 - MERCADO PAGO IP LTDA. (0323) Agência: 1 Conta: 8804533771-0</t>
        </is>
      </c>
    </row>
    <row r="616">
      <c r="A616" s="15" t="inlineStr">
        <is>
          <t>Receita - Denise (Salão)</t>
        </is>
      </c>
      <c r="B616" s="15" t="inlineStr">
        <is>
          <t>Depósito recebido de Denise / Salão</t>
        </is>
      </c>
      <c r="C616" s="16" t="n">
        <v>300</v>
      </c>
      <c r="D616" s="17" t="n">
        <v>46165</v>
      </c>
      <c r="E616" s="15" t="inlineStr"/>
      <c r="F616" s="15" t="inlineStr">
        <is>
          <t>Recebido</t>
        </is>
      </c>
      <c r="G616" s="15" t="inlineStr">
        <is>
          <t>Transferência recebida pelo Pix - DENISE DE PAULA CENTRO DE ESTETICA LTDA - 05.823.454/0001-86 - MERCADO PAGO IP LTDA. (0323) Agência: 1 Conta: 8804533771-0</t>
        </is>
      </c>
    </row>
    <row r="617">
      <c r="A617" s="15" t="inlineStr">
        <is>
          <t>Receita - Denise (Salão)</t>
        </is>
      </c>
      <c r="B617" s="15" t="inlineStr">
        <is>
          <t>Depósito recebido de Denise / Salão</t>
        </is>
      </c>
      <c r="C617" s="16" t="n">
        <v>50</v>
      </c>
      <c r="D617" s="17" t="n">
        <v>46166</v>
      </c>
      <c r="E617" s="15" t="inlineStr"/>
      <c r="F617" s="15" t="inlineStr">
        <is>
          <t>Recebido</t>
        </is>
      </c>
      <c r="G617" s="15" t="inlineStr">
        <is>
          <t>Transferência recebida pelo Pix - DENISE DE PAULA CENTRO DE ESTETICA LTDA - 05.823.454/0001-86 - MERCADO PAGO IP LTDA. (0323) Agência: 1 Conta: 8804533771-0</t>
        </is>
      </c>
    </row>
    <row r="618">
      <c r="A618" s="15" t="inlineStr">
        <is>
          <t>Receita - Denise (Salão)</t>
        </is>
      </c>
      <c r="B618" s="15" t="inlineStr">
        <is>
          <t>Depósito recebido de Denise / Salão</t>
        </is>
      </c>
      <c r="C618" s="16" t="n">
        <v>300</v>
      </c>
      <c r="D618" s="17" t="n">
        <v>46166</v>
      </c>
      <c r="E618" s="15" t="inlineStr"/>
      <c r="F618" s="15" t="inlineStr">
        <is>
          <t>Recebido</t>
        </is>
      </c>
      <c r="G618" s="15" t="inlineStr">
        <is>
          <t>Transferência recebida pelo Pix - DENISE DE PAULA CENTRO DE ESTETICA LTDA - 05.823.454/0001-86 - MERCADO PAGO IP LTDA. (0323) Agência: 1 Conta: 8804533771-0</t>
        </is>
      </c>
    </row>
    <row r="619">
      <c r="A619" s="15" t="inlineStr">
        <is>
          <t>Receita - Denise (Salão)</t>
        </is>
      </c>
      <c r="B619" s="15" t="inlineStr">
        <is>
          <t>Depósito recebido de Denise / Salão</t>
        </is>
      </c>
      <c r="C619" s="16" t="n">
        <v>3100</v>
      </c>
      <c r="D619" s="17" t="n">
        <v>46171</v>
      </c>
      <c r="E619" s="15" t="inlineStr"/>
      <c r="F619" s="15" t="inlineStr">
        <is>
          <t>Recebido</t>
        </is>
      </c>
      <c r="G619" s="15" t="inlineStr">
        <is>
          <t>Pix recebido DENISE DE PAULA CENTRO DE ESTETICA LTDA</t>
        </is>
      </c>
    </row>
    <row r="620">
      <c r="A620" s="18" t="inlineStr">
        <is>
          <t>Subtotal Receita - Denise (Salão)</t>
        </is>
      </c>
      <c r="B620" s="19" t="n"/>
      <c r="C620" s="20">
        <f>SUM(C609:C619)</f>
        <v/>
      </c>
      <c r="D620" s="19" t="n"/>
      <c r="E620" s="19" t="n"/>
      <c r="F620" s="19" t="n"/>
      <c r="G620" s="19" t="n"/>
    </row>
    <row r="621">
      <c r="A621" s="21" t="inlineStr">
        <is>
          <t>Receita - Clientes Studio</t>
        </is>
      </c>
      <c r="B621" s="22" t="n"/>
      <c r="C621" s="22" t="n"/>
      <c r="D621" s="22" t="n"/>
      <c r="E621" s="22" t="n"/>
      <c r="F621" s="22" t="n"/>
      <c r="G621" s="22" t="n"/>
    </row>
    <row r="622">
      <c r="A622" s="15" t="inlineStr">
        <is>
          <t>Receita - Clientes Studio</t>
        </is>
      </c>
      <c r="B622" s="15" t="inlineStr">
        <is>
          <t>Pix recebido (cliente)</t>
        </is>
      </c>
      <c r="C622" s="16" t="n">
        <v>800</v>
      </c>
      <c r="D622" s="17" t="n">
        <v>46148</v>
      </c>
      <c r="E622" s="15" t="inlineStr"/>
      <c r="F622" s="15" t="inlineStr">
        <is>
          <t>Recebido</t>
        </is>
      </c>
      <c r="G622" s="15" t="inlineStr">
        <is>
          <t>Pix recebido LUCIANA FELISBERTO PAULINO DA SILVA</t>
        </is>
      </c>
    </row>
    <row r="623">
      <c r="A623" s="18" t="inlineStr">
        <is>
          <t>Subtotal Receita - Clientes Studio</t>
        </is>
      </c>
      <c r="B623" s="19" t="n"/>
      <c r="C623" s="20">
        <f>SUM(C622:C622)</f>
        <v/>
      </c>
      <c r="D623" s="19" t="n"/>
      <c r="E623" s="19" t="n"/>
      <c r="F623" s="19" t="n"/>
      <c r="G623" s="19" t="n"/>
    </row>
    <row r="624">
      <c r="A624" s="21" t="inlineStr">
        <is>
          <t>Receita - Liberação de Crédito</t>
        </is>
      </c>
      <c r="B624" s="22" t="n"/>
      <c r="C624" s="22" t="n"/>
      <c r="D624" s="22" t="n"/>
      <c r="E624" s="22" t="n"/>
      <c r="F624" s="22" t="n"/>
      <c r="G624" s="22" t="n"/>
    </row>
    <row r="625">
      <c r="A625" s="15" t="inlineStr">
        <is>
          <t>Receita - Liberação de Crédito</t>
        </is>
      </c>
      <c r="B625" s="15" t="inlineStr">
        <is>
          <t>Liberação de Crédito (Studio)</t>
        </is>
      </c>
      <c r="C625" s="16" t="n">
        <v>494.45</v>
      </c>
      <c r="D625" s="17" t="n">
        <v>46146</v>
      </c>
      <c r="E625" s="15" t="inlineStr"/>
      <c r="F625" s="15" t="inlineStr">
        <is>
          <t>Recebido</t>
        </is>
      </c>
      <c r="G625" s="15" t="inlineStr">
        <is>
          <t>Liberação de dinheiro</t>
        </is>
      </c>
    </row>
    <row r="626">
      <c r="A626" s="15" t="inlineStr">
        <is>
          <t>Receita - Liberação de Crédito</t>
        </is>
      </c>
      <c r="B626" s="15" t="inlineStr">
        <is>
          <t>Liberação de Crédito (Studio)</t>
        </is>
      </c>
      <c r="C626" s="16" t="n">
        <v>242.39</v>
      </c>
      <c r="D626" s="17" t="n">
        <v>46147</v>
      </c>
      <c r="E626" s="15" t="inlineStr"/>
      <c r="F626" s="15" t="inlineStr">
        <is>
          <t>Recebido</t>
        </is>
      </c>
      <c r="G626" s="15" t="inlineStr">
        <is>
          <t>Liberação de dinheiro</t>
        </is>
      </c>
    </row>
    <row r="627">
      <c r="A627" s="15" t="inlineStr">
        <is>
          <t>Receita - Liberação de Crédito</t>
        </is>
      </c>
      <c r="B627" s="15" t="inlineStr">
        <is>
          <t>Liberação de Crédito (Studio)</t>
        </is>
      </c>
      <c r="C627" s="16" t="n">
        <v>472.55</v>
      </c>
      <c r="D627" s="17" t="n">
        <v>46147</v>
      </c>
      <c r="E627" s="15" t="inlineStr"/>
      <c r="F627" s="15" t="inlineStr">
        <is>
          <t>Recebido</t>
        </is>
      </c>
      <c r="G627" s="15" t="inlineStr">
        <is>
          <t>Liberação de dinheiro</t>
        </is>
      </c>
    </row>
    <row r="628">
      <c r="A628" s="15" t="inlineStr">
        <is>
          <t>Receita - Liberação de Crédito</t>
        </is>
      </c>
      <c r="B628" s="15" t="inlineStr">
        <is>
          <t>Liberação de Crédito (Studio)</t>
        </is>
      </c>
      <c r="C628" s="16" t="n">
        <v>493.46</v>
      </c>
      <c r="D628" s="17" t="n">
        <v>46148</v>
      </c>
      <c r="E628" s="15" t="inlineStr"/>
      <c r="F628" s="15" t="inlineStr">
        <is>
          <t>Recebido</t>
        </is>
      </c>
      <c r="G628" s="15" t="inlineStr">
        <is>
          <t>Liberação de dinheiro</t>
        </is>
      </c>
    </row>
    <row r="629">
      <c r="A629" s="15" t="inlineStr">
        <is>
          <t>Receita - Liberação de Crédito</t>
        </is>
      </c>
      <c r="B629" s="15" t="inlineStr">
        <is>
          <t>Liberação de Crédito (Studio)</t>
        </is>
      </c>
      <c r="C629" s="16" t="n">
        <v>646.99</v>
      </c>
      <c r="D629" s="17" t="n">
        <v>46148</v>
      </c>
      <c r="E629" s="15" t="inlineStr"/>
      <c r="F629" s="15" t="inlineStr">
        <is>
          <t>Recebido</t>
        </is>
      </c>
      <c r="G629" s="15" t="inlineStr">
        <is>
          <t>Liberação de dinheiro</t>
        </is>
      </c>
    </row>
    <row r="630">
      <c r="A630" s="15" t="inlineStr">
        <is>
          <t>Receita - Liberação de Crédito</t>
        </is>
      </c>
      <c r="B630" s="15" t="inlineStr">
        <is>
          <t>Liberação de Crédito (Studio)</t>
        </is>
      </c>
      <c r="C630" s="16" t="n">
        <v>677.75</v>
      </c>
      <c r="D630" s="17" t="n">
        <v>46149</v>
      </c>
      <c r="E630" s="15" t="inlineStr"/>
      <c r="F630" s="15" t="inlineStr">
        <is>
          <t>Recebido</t>
        </is>
      </c>
      <c r="G630" s="15" t="inlineStr">
        <is>
          <t>Liberação de dinheiro</t>
        </is>
      </c>
    </row>
    <row r="631">
      <c r="A631" s="15" t="inlineStr">
        <is>
          <t>Receita - Liberação de Crédito</t>
        </is>
      </c>
      <c r="B631" s="15" t="inlineStr">
        <is>
          <t>Liberação de Crédito (Studio)</t>
        </is>
      </c>
      <c r="C631" s="16" t="n">
        <v>1399.95</v>
      </c>
      <c r="D631" s="17" t="n">
        <v>46149</v>
      </c>
      <c r="E631" s="15" t="inlineStr"/>
      <c r="F631" s="15" t="inlineStr">
        <is>
          <t>Recebido</t>
        </is>
      </c>
      <c r="G631" s="15" t="inlineStr">
        <is>
          <t>Liberação de dinheiro</t>
        </is>
      </c>
    </row>
    <row r="632">
      <c r="A632" s="15" t="inlineStr">
        <is>
          <t>Receita - Liberação de Crédito</t>
        </is>
      </c>
      <c r="B632" s="15" t="inlineStr">
        <is>
          <t>Liberação de Crédito (Studio)</t>
        </is>
      </c>
      <c r="C632" s="16" t="n">
        <v>236.27</v>
      </c>
      <c r="D632" s="17" t="n">
        <v>46150</v>
      </c>
      <c r="E632" s="15" t="inlineStr"/>
      <c r="F632" s="15" t="inlineStr">
        <is>
          <t>Recebido</t>
        </is>
      </c>
      <c r="G632" s="15" t="inlineStr">
        <is>
          <t>Liberação de dinheiro</t>
        </is>
      </c>
    </row>
    <row r="633">
      <c r="A633" s="15" t="inlineStr">
        <is>
          <t>Receita - Liberação de Crédito</t>
        </is>
      </c>
      <c r="B633" s="15" t="inlineStr">
        <is>
          <t>Liberação de Crédito (Studio)</t>
        </is>
      </c>
      <c r="C633" s="16" t="n">
        <v>296.67</v>
      </c>
      <c r="D633" s="17" t="n">
        <v>46150</v>
      </c>
      <c r="E633" s="15" t="inlineStr"/>
      <c r="F633" s="15" t="inlineStr">
        <is>
          <t>Recebido</t>
        </is>
      </c>
      <c r="G633" s="15" t="inlineStr">
        <is>
          <t>Liberação de dinheiro</t>
        </is>
      </c>
    </row>
    <row r="634">
      <c r="A634" s="15" t="inlineStr">
        <is>
          <t>Receita - Liberação de Crédito</t>
        </is>
      </c>
      <c r="B634" s="15" t="inlineStr">
        <is>
          <t>Liberação de Crédito (Studio)</t>
        </is>
      </c>
      <c r="C634" s="16" t="n">
        <v>377.09</v>
      </c>
      <c r="D634" s="17" t="n">
        <v>46150</v>
      </c>
      <c r="E634" s="15" t="inlineStr"/>
      <c r="F634" s="15" t="inlineStr">
        <is>
          <t>Recebido</t>
        </is>
      </c>
      <c r="G634" s="15" t="inlineStr">
        <is>
          <t>Liberação de dinheiro</t>
        </is>
      </c>
    </row>
    <row r="635">
      <c r="A635" s="15" t="inlineStr">
        <is>
          <t>Receita - Liberação de Crédito</t>
        </is>
      </c>
      <c r="B635" s="15" t="inlineStr">
        <is>
          <t>Liberação de Crédito (Studio)</t>
        </is>
      </c>
      <c r="C635" s="16" t="n">
        <v>484.8</v>
      </c>
      <c r="D635" s="17" t="n">
        <v>46150</v>
      </c>
      <c r="E635" s="15" t="inlineStr"/>
      <c r="F635" s="15" t="inlineStr">
        <is>
          <t>Recebido</t>
        </is>
      </c>
      <c r="G635" s="15" t="inlineStr">
        <is>
          <t>Liberação de dinheiro</t>
        </is>
      </c>
    </row>
    <row r="636">
      <c r="A636" s="15" t="inlineStr">
        <is>
          <t>Receita - Liberação de Crédito</t>
        </is>
      </c>
      <c r="B636" s="15" t="inlineStr">
        <is>
          <t>Liberação de Crédito (Studio)</t>
        </is>
      </c>
      <c r="C636" s="16" t="n">
        <v>290.88</v>
      </c>
      <c r="D636" s="17" t="n">
        <v>46154</v>
      </c>
      <c r="E636" s="15" t="inlineStr"/>
      <c r="F636" s="15" t="inlineStr">
        <is>
          <t>Recebido</t>
        </is>
      </c>
      <c r="G636" s="15" t="inlineStr">
        <is>
          <t>Liberação de dinheiro</t>
        </is>
      </c>
    </row>
    <row r="637">
      <c r="A637" s="15" t="inlineStr">
        <is>
          <t>Receita - Liberação de Crédito</t>
        </is>
      </c>
      <c r="B637" s="15" t="inlineStr">
        <is>
          <t>Liberação de Crédito (Studio)</t>
        </is>
      </c>
      <c r="C637" s="16" t="n">
        <v>890.01</v>
      </c>
      <c r="D637" s="17" t="n">
        <v>46154</v>
      </c>
      <c r="E637" s="15" t="inlineStr"/>
      <c r="F637" s="15" t="inlineStr">
        <is>
          <t>Recebido</t>
        </is>
      </c>
      <c r="G637" s="15" t="inlineStr">
        <is>
          <t>Liberação de dinheiro</t>
        </is>
      </c>
    </row>
    <row r="638">
      <c r="A638" s="15" t="inlineStr">
        <is>
          <t>Receita - Liberação de Crédito</t>
        </is>
      </c>
      <c r="B638" s="15" t="inlineStr">
        <is>
          <t>Liberação de Crédito (Studio)</t>
        </is>
      </c>
      <c r="C638" s="16" t="n">
        <v>484.8</v>
      </c>
      <c r="D638" s="17" t="n">
        <v>46154</v>
      </c>
      <c r="E638" s="15" t="inlineStr"/>
      <c r="F638" s="15" t="inlineStr">
        <is>
          <t>Recebido</t>
        </is>
      </c>
      <c r="G638" s="15" t="inlineStr">
        <is>
          <t>Liberação de dinheiro</t>
        </is>
      </c>
    </row>
    <row r="639">
      <c r="A639" s="15" t="inlineStr">
        <is>
          <t>Receita - Liberação de Crédito</t>
        </is>
      </c>
      <c r="B639" s="15" t="inlineStr">
        <is>
          <t>Liberação de Crédito (Studio)</t>
        </is>
      </c>
      <c r="C639" s="16" t="n">
        <v>97.90000000000001</v>
      </c>
      <c r="D639" s="17" t="n">
        <v>46155</v>
      </c>
      <c r="E639" s="15" t="inlineStr"/>
      <c r="F639" s="15" t="inlineStr">
        <is>
          <t>Recebido</t>
        </is>
      </c>
      <c r="G639" s="15" t="inlineStr">
        <is>
          <t>Liberação de dinheiro</t>
        </is>
      </c>
    </row>
    <row r="640">
      <c r="A640" s="15" t="inlineStr">
        <is>
          <t>Receita - Liberação de Crédito</t>
        </is>
      </c>
      <c r="B640" s="15" t="inlineStr">
        <is>
          <t>Liberação de Crédito (Studio)</t>
        </is>
      </c>
      <c r="C640" s="16" t="n">
        <v>519.8</v>
      </c>
      <c r="D640" s="17" t="n">
        <v>46155</v>
      </c>
      <c r="E640" s="15" t="inlineStr"/>
      <c r="F640" s="15" t="inlineStr">
        <is>
          <t>Recebido</t>
        </is>
      </c>
      <c r="G640" s="15" t="inlineStr">
        <is>
          <t>Liberação de dinheiro</t>
        </is>
      </c>
    </row>
    <row r="641">
      <c r="A641" s="15" t="inlineStr">
        <is>
          <t>Receita - Liberação de Crédito</t>
        </is>
      </c>
      <c r="B641" s="15" t="inlineStr">
        <is>
          <t>Liberação de Crédito (Studio)</t>
        </is>
      </c>
      <c r="C641" s="16" t="n">
        <v>592.35</v>
      </c>
      <c r="D641" s="17" t="n">
        <v>46156</v>
      </c>
      <c r="E641" s="15" t="inlineStr"/>
      <c r="F641" s="15" t="inlineStr">
        <is>
          <t>Recebido</t>
        </is>
      </c>
      <c r="G641" s="15" t="inlineStr">
        <is>
          <t>Liberação de dinheiro</t>
        </is>
      </c>
    </row>
    <row r="642">
      <c r="A642" s="15" t="inlineStr">
        <is>
          <t>Receita - Liberação de Crédito</t>
        </is>
      </c>
      <c r="B642" s="15" t="inlineStr">
        <is>
          <t>Liberação de Crédito (Studio)</t>
        </is>
      </c>
      <c r="C642" s="16" t="n">
        <v>395.56</v>
      </c>
      <c r="D642" s="17" t="n">
        <v>46156</v>
      </c>
      <c r="E642" s="15" t="inlineStr"/>
      <c r="F642" s="15" t="inlineStr">
        <is>
          <t>Recebido</t>
        </is>
      </c>
      <c r="G642" s="15" t="inlineStr">
        <is>
          <t>Liberação de dinheiro</t>
        </is>
      </c>
    </row>
    <row r="643">
      <c r="A643" s="15" t="inlineStr">
        <is>
          <t>Receita - Liberação de Crédito</t>
        </is>
      </c>
      <c r="B643" s="15" t="inlineStr">
        <is>
          <t>Liberação de Crédito (Studio)</t>
        </is>
      </c>
      <c r="C643" s="16" t="n">
        <v>662.5599999999999</v>
      </c>
      <c r="D643" s="17" t="n">
        <v>46157</v>
      </c>
      <c r="E643" s="15" t="inlineStr"/>
      <c r="F643" s="15" t="inlineStr">
        <is>
          <t>Recebido</t>
        </is>
      </c>
      <c r="G643" s="15" t="inlineStr">
        <is>
          <t>Liberação de dinheiro</t>
        </is>
      </c>
    </row>
    <row r="644">
      <c r="A644" s="15" t="inlineStr">
        <is>
          <t>Receita - Liberação de Crédito</t>
        </is>
      </c>
      <c r="B644" s="15" t="inlineStr">
        <is>
          <t>Liberação de Crédito (Studio)</t>
        </is>
      </c>
      <c r="C644" s="16" t="n">
        <v>662.5599999999999</v>
      </c>
      <c r="D644" s="17" t="n">
        <v>46158</v>
      </c>
      <c r="E644" s="15" t="inlineStr"/>
      <c r="F644" s="15" t="inlineStr">
        <is>
          <t>Recebido</t>
        </is>
      </c>
      <c r="G644" s="15" t="inlineStr">
        <is>
          <t>Liberação de dinheiro</t>
        </is>
      </c>
    </row>
    <row r="645">
      <c r="A645" s="15" t="inlineStr">
        <is>
          <t>Receita - Liberação de Crédito</t>
        </is>
      </c>
      <c r="B645" s="15" t="inlineStr">
        <is>
          <t>Liberação de Crédito (Studio)</t>
        </is>
      </c>
      <c r="C645" s="16" t="n">
        <v>283.53</v>
      </c>
      <c r="D645" s="17" t="n">
        <v>46160</v>
      </c>
      <c r="E645" s="15" t="inlineStr"/>
      <c r="F645" s="15" t="inlineStr">
        <is>
          <t>Recebido</t>
        </is>
      </c>
      <c r="G645" s="15" t="inlineStr">
        <is>
          <t>Liberação de dinheiro</t>
        </is>
      </c>
    </row>
    <row r="646">
      <c r="A646" s="15" t="inlineStr">
        <is>
          <t>Receita - Liberação de Crédito</t>
        </is>
      </c>
      <c r="B646" s="15" t="inlineStr">
        <is>
          <t>Liberação de Crédito (Studio)</t>
        </is>
      </c>
      <c r="C646" s="16" t="n">
        <v>652.38</v>
      </c>
      <c r="D646" s="17" t="n">
        <v>46161</v>
      </c>
      <c r="E646" s="15" t="inlineStr"/>
      <c r="F646" s="15" t="inlineStr">
        <is>
          <t>Recebido</t>
        </is>
      </c>
      <c r="G646" s="15" t="inlineStr">
        <is>
          <t>Liberação de dinheiro</t>
        </is>
      </c>
    </row>
    <row r="647">
      <c r="A647" s="15" t="inlineStr">
        <is>
          <t>Receita - Liberação de Crédito</t>
        </is>
      </c>
      <c r="B647" s="15" t="inlineStr">
        <is>
          <t>Liberação de Crédito (Studio)</t>
        </is>
      </c>
      <c r="C647" s="16" t="n">
        <v>559.05</v>
      </c>
      <c r="D647" s="17" t="n">
        <v>46161</v>
      </c>
      <c r="E647" s="15" t="inlineStr"/>
      <c r="F647" s="15" t="inlineStr">
        <is>
          <t>Recebido</t>
        </is>
      </c>
      <c r="G647" s="15" t="inlineStr">
        <is>
          <t>Liberação de dinheiro</t>
        </is>
      </c>
    </row>
    <row r="648">
      <c r="A648" s="15" t="inlineStr">
        <is>
          <t>Receita - Liberação de Crédito</t>
        </is>
      </c>
      <c r="B648" s="15" t="inlineStr">
        <is>
          <t>Liberação de Crédito (Studio)</t>
        </is>
      </c>
      <c r="C648" s="16" t="n">
        <v>296.67</v>
      </c>
      <c r="D648" s="17" t="n">
        <v>46162</v>
      </c>
      <c r="E648" s="15" t="inlineStr"/>
      <c r="F648" s="15" t="inlineStr">
        <is>
          <t>Recebido</t>
        </is>
      </c>
      <c r="G648" s="15" t="inlineStr">
        <is>
          <t>Liberação de dinheiro</t>
        </is>
      </c>
    </row>
    <row r="649">
      <c r="A649" s="15" t="inlineStr">
        <is>
          <t>Receita - Liberação de Crédito</t>
        </is>
      </c>
      <c r="B649" s="15" t="inlineStr">
        <is>
          <t>Liberação de Crédito (Studio)</t>
        </is>
      </c>
      <c r="C649" s="16" t="n">
        <v>649.63</v>
      </c>
      <c r="D649" s="17" t="n">
        <v>46162</v>
      </c>
      <c r="E649" s="15" t="inlineStr"/>
      <c r="F649" s="15" t="inlineStr">
        <is>
          <t>Recebido</t>
        </is>
      </c>
      <c r="G649" s="15" t="inlineStr">
        <is>
          <t>Liberação de dinheiro</t>
        </is>
      </c>
    </row>
    <row r="650">
      <c r="A650" s="15" t="inlineStr">
        <is>
          <t>Receita - Liberação de Crédito</t>
        </is>
      </c>
      <c r="B650" s="15" t="inlineStr">
        <is>
          <t>Liberação de Crédito (Studio)</t>
        </is>
      </c>
      <c r="C650" s="16" t="n">
        <v>494.45</v>
      </c>
      <c r="D650" s="17" t="n">
        <v>46162</v>
      </c>
      <c r="E650" s="15" t="inlineStr"/>
      <c r="F650" s="15" t="inlineStr">
        <is>
          <t>Recebido</t>
        </is>
      </c>
      <c r="G650" s="15" t="inlineStr">
        <is>
          <t>Liberação de dinheiro</t>
        </is>
      </c>
    </row>
    <row r="651">
      <c r="A651" s="15" t="inlineStr">
        <is>
          <t>Receita - Liberação de Crédito</t>
        </is>
      </c>
      <c r="B651" s="15" t="inlineStr">
        <is>
          <t>Liberação de Crédito (Studio)</t>
        </is>
      </c>
      <c r="C651" s="16" t="n">
        <v>247.22</v>
      </c>
      <c r="D651" s="17" t="n">
        <v>46163</v>
      </c>
      <c r="E651" s="15" t="inlineStr"/>
      <c r="F651" s="15" t="inlineStr">
        <is>
          <t>Recebido</t>
        </is>
      </c>
      <c r="G651" s="15" t="inlineStr">
        <is>
          <t>Liberação de dinheiro</t>
        </is>
      </c>
    </row>
    <row r="652">
      <c r="A652" s="15" t="inlineStr">
        <is>
          <t>Receita - Liberação de Crédito</t>
        </is>
      </c>
      <c r="B652" s="15" t="inlineStr">
        <is>
          <t>Liberação de Crédito (Studio)</t>
        </is>
      </c>
      <c r="C652" s="16" t="n">
        <v>247.22</v>
      </c>
      <c r="D652" s="17" t="n">
        <v>46163</v>
      </c>
      <c r="E652" s="15" t="inlineStr"/>
      <c r="F652" s="15" t="inlineStr">
        <is>
          <t>Recebido</t>
        </is>
      </c>
      <c r="G652" s="15" t="inlineStr">
        <is>
          <t>Liberação de dinheiro</t>
        </is>
      </c>
    </row>
    <row r="653">
      <c r="A653" s="15" t="inlineStr">
        <is>
          <t>Receita - Liberação de Crédito</t>
        </is>
      </c>
      <c r="B653" s="15" t="inlineStr">
        <is>
          <t>Liberação de Crédito (Studio)</t>
        </is>
      </c>
      <c r="C653" s="16" t="n">
        <v>494.45</v>
      </c>
      <c r="D653" s="17" t="n">
        <v>46163</v>
      </c>
      <c r="E653" s="15" t="inlineStr"/>
      <c r="F653" s="15" t="inlineStr">
        <is>
          <t>Recebido</t>
        </is>
      </c>
      <c r="G653" s="15" t="inlineStr">
        <is>
          <t>Liberação de dinheiro</t>
        </is>
      </c>
    </row>
    <row r="654">
      <c r="A654" s="15" t="inlineStr">
        <is>
          <t>Receita - Liberação de Crédito</t>
        </is>
      </c>
      <c r="B654" s="15" t="inlineStr">
        <is>
          <t>Liberação de Crédito (Studio)</t>
        </is>
      </c>
      <c r="C654" s="16" t="n">
        <v>494.45</v>
      </c>
      <c r="D654" s="17" t="n">
        <v>46163</v>
      </c>
      <c r="E654" s="15" t="inlineStr"/>
      <c r="F654" s="15" t="inlineStr">
        <is>
          <t>Recebido</t>
        </is>
      </c>
      <c r="G654" s="15" t="inlineStr">
        <is>
          <t>Liberação de dinheiro</t>
        </is>
      </c>
    </row>
    <row r="655">
      <c r="A655" s="15" t="inlineStr">
        <is>
          <t>Receita - Liberação de Crédito</t>
        </is>
      </c>
      <c r="B655" s="15" t="inlineStr">
        <is>
          <t>Liberação de Crédito (Studio)</t>
        </is>
      </c>
      <c r="C655" s="16" t="n">
        <v>494.45</v>
      </c>
      <c r="D655" s="17" t="n">
        <v>46163</v>
      </c>
      <c r="E655" s="15" t="inlineStr"/>
      <c r="F655" s="15" t="inlineStr">
        <is>
          <t>Recebido</t>
        </is>
      </c>
      <c r="G655" s="15" t="inlineStr">
        <is>
          <t>Liberação de dinheiro</t>
        </is>
      </c>
    </row>
    <row r="656">
      <c r="A656" s="15" t="inlineStr">
        <is>
          <t>Receita - Liberação de Crédito</t>
        </is>
      </c>
      <c r="B656" s="15" t="inlineStr">
        <is>
          <t>Liberação de Crédito (Studio)</t>
        </is>
      </c>
      <c r="C656" s="16" t="n">
        <v>494.45</v>
      </c>
      <c r="D656" s="17" t="n">
        <v>46168</v>
      </c>
      <c r="E656" s="15" t="inlineStr"/>
      <c r="F656" s="15" t="inlineStr">
        <is>
          <t>Recebido</t>
        </is>
      </c>
      <c r="G656" s="15" t="inlineStr">
        <is>
          <t>Liberação de dinheiro</t>
        </is>
      </c>
    </row>
    <row r="657">
      <c r="A657" s="15" t="inlineStr">
        <is>
          <t>Receita - Liberação de Crédito</t>
        </is>
      </c>
      <c r="B657" s="15" t="inlineStr">
        <is>
          <t>Liberação de Crédito (Studio)</t>
        </is>
      </c>
      <c r="C657" s="16" t="n">
        <v>652.38</v>
      </c>
      <c r="D657" s="17" t="n">
        <v>46169</v>
      </c>
      <c r="E657" s="15" t="inlineStr"/>
      <c r="F657" s="15" t="inlineStr">
        <is>
          <t>Recebido</t>
        </is>
      </c>
      <c r="G657" s="15" t="inlineStr">
        <is>
          <t>Liberação de dinheiro</t>
        </is>
      </c>
    </row>
    <row r="658">
      <c r="A658" s="15" t="inlineStr">
        <is>
          <t>Receita - Liberação de Crédito</t>
        </is>
      </c>
      <c r="B658" s="15" t="inlineStr">
        <is>
          <t>Liberação de Crédito (Studio)</t>
        </is>
      </c>
      <c r="C658" s="16" t="n">
        <v>646.99</v>
      </c>
      <c r="D658" s="17" t="n">
        <v>46169</v>
      </c>
      <c r="E658" s="15" t="inlineStr"/>
      <c r="F658" s="15" t="inlineStr">
        <is>
          <t>Recebido</t>
        </is>
      </c>
      <c r="G658" s="15" t="inlineStr">
        <is>
          <t>Liberação de dinheiro</t>
        </is>
      </c>
    </row>
    <row r="659">
      <c r="A659" s="15" t="inlineStr">
        <is>
          <t>Receita - Liberação de Crédito</t>
        </is>
      </c>
      <c r="B659" s="15" t="inlineStr">
        <is>
          <t>Liberação de Crédito (Studio)</t>
        </is>
      </c>
      <c r="C659" s="16" t="n">
        <v>484.8</v>
      </c>
      <c r="D659" s="17" t="n">
        <v>46170</v>
      </c>
      <c r="E659" s="15" t="inlineStr"/>
      <c r="F659" s="15" t="inlineStr">
        <is>
          <t>Recebido</t>
        </is>
      </c>
      <c r="G659" s="15" t="inlineStr">
        <is>
          <t>Liberação de dinheiro</t>
        </is>
      </c>
    </row>
    <row r="660">
      <c r="A660" s="15" t="inlineStr">
        <is>
          <t>Receita - Liberação de Crédito</t>
        </is>
      </c>
      <c r="B660" s="15" t="inlineStr">
        <is>
          <t>Liberação de Crédito (Studio)</t>
        </is>
      </c>
      <c r="C660" s="16" t="n">
        <v>494.45</v>
      </c>
      <c r="D660" s="17" t="n">
        <v>46170</v>
      </c>
      <c r="E660" s="15" t="inlineStr"/>
      <c r="F660" s="15" t="inlineStr">
        <is>
          <t>Recebido</t>
        </is>
      </c>
      <c r="G660" s="15" t="inlineStr">
        <is>
          <t>Liberação de dinheiro</t>
        </is>
      </c>
    </row>
    <row r="661">
      <c r="A661" s="15" t="inlineStr">
        <is>
          <t>Receita - Liberação de Crédito</t>
        </is>
      </c>
      <c r="B661" s="15" t="inlineStr">
        <is>
          <t>Liberação de Crédito (Studio)</t>
        </is>
      </c>
      <c r="C661" s="16" t="n">
        <v>677.75</v>
      </c>
      <c r="D661" s="17" t="n">
        <v>46170</v>
      </c>
      <c r="E661" s="15" t="inlineStr"/>
      <c r="F661" s="15" t="inlineStr">
        <is>
          <t>Recebido</t>
        </is>
      </c>
      <c r="G661" s="15" t="inlineStr">
        <is>
          <t>Liberação de dinheiro</t>
        </is>
      </c>
    </row>
    <row r="662">
      <c r="A662" s="15" t="inlineStr">
        <is>
          <t>Receita - Liberação de Crédito</t>
        </is>
      </c>
      <c r="B662" s="15" t="inlineStr">
        <is>
          <t>Liberação de Crédito (Studio)</t>
        </is>
      </c>
      <c r="C662" s="16" t="n">
        <v>561.11</v>
      </c>
      <c r="D662" s="17" t="n">
        <v>46171</v>
      </c>
      <c r="E662" s="15" t="inlineStr"/>
      <c r="F662" s="15" t="inlineStr">
        <is>
          <t>Recebido</t>
        </is>
      </c>
      <c r="G662" s="15" t="inlineStr">
        <is>
          <t>Liberação de dinheiro</t>
        </is>
      </c>
    </row>
    <row r="663">
      <c r="A663" s="15" t="inlineStr">
        <is>
          <t>Receita - Liberação de Crédito</t>
        </is>
      </c>
      <c r="B663" s="15" t="inlineStr">
        <is>
          <t>Liberação de Crédito (Studio)</t>
        </is>
      </c>
      <c r="C663" s="16" t="n">
        <v>473.89</v>
      </c>
      <c r="D663" s="17" t="n">
        <v>46171</v>
      </c>
      <c r="E663" s="15" t="inlineStr"/>
      <c r="F663" s="15" t="inlineStr">
        <is>
          <t>Recebido</t>
        </is>
      </c>
      <c r="G663" s="15" t="inlineStr">
        <is>
          <t>Liberação de dinheiro</t>
        </is>
      </c>
    </row>
    <row r="664">
      <c r="A664" s="15" t="inlineStr">
        <is>
          <t>Receita - Liberação de Crédito</t>
        </is>
      </c>
      <c r="B664" s="15" t="inlineStr">
        <is>
          <t>Liberação de Crédito (Studio)</t>
        </is>
      </c>
      <c r="C664" s="16" t="n">
        <v>472.42</v>
      </c>
      <c r="D664" s="17" t="n">
        <v>46171</v>
      </c>
      <c r="E664" s="15" t="inlineStr"/>
      <c r="F664" s="15" t="inlineStr">
        <is>
          <t>Recebido</t>
        </is>
      </c>
      <c r="G664" s="15" t="inlineStr">
        <is>
          <t>Liberação de dinheiro</t>
        </is>
      </c>
    </row>
    <row r="665">
      <c r="A665" s="15" t="inlineStr">
        <is>
          <t>Receita - Liberação de Crédito</t>
        </is>
      </c>
      <c r="B665" s="15" t="inlineStr">
        <is>
          <t>Liberação de Crédito (Studio)</t>
        </is>
      </c>
      <c r="C665" s="16" t="n">
        <v>415.74</v>
      </c>
      <c r="D665" s="17" t="n">
        <v>46171</v>
      </c>
      <c r="E665" s="15" t="inlineStr"/>
      <c r="F665" s="15" t="inlineStr">
        <is>
          <t>Recebido</t>
        </is>
      </c>
      <c r="G665" s="15" t="inlineStr">
        <is>
          <t>Liberação de dinheiro</t>
        </is>
      </c>
    </row>
    <row r="666">
      <c r="A666" s="15" t="inlineStr">
        <is>
          <t>Receita - Liberação de Crédito</t>
        </is>
      </c>
      <c r="B666" s="15" t="inlineStr">
        <is>
          <t>Liberação de Crédito (Studio)</t>
        </is>
      </c>
      <c r="C666" s="16" t="n">
        <v>1573.78</v>
      </c>
      <c r="D666" s="17" t="n">
        <v>46171</v>
      </c>
      <c r="E666" s="15" t="inlineStr"/>
      <c r="F666" s="15" t="inlineStr">
        <is>
          <t>Recebido</t>
        </is>
      </c>
      <c r="G666" s="15" t="inlineStr">
        <is>
          <t>Liberação de dinheiro</t>
        </is>
      </c>
    </row>
    <row r="667">
      <c r="A667" s="15" t="inlineStr">
        <is>
          <t>Receita - Liberação de Crédito</t>
        </is>
      </c>
      <c r="B667" s="15" t="inlineStr">
        <is>
          <t>Liberação de Crédito (Studio)</t>
        </is>
      </c>
      <c r="C667" s="16" t="n">
        <v>414.2</v>
      </c>
      <c r="D667" s="17" t="n">
        <v>46171</v>
      </c>
      <c r="E667" s="15" t="inlineStr"/>
      <c r="F667" s="15" t="inlineStr">
        <is>
          <t>Recebido</t>
        </is>
      </c>
      <c r="G667" s="15" t="inlineStr">
        <is>
          <t>Liberação de dinheiro</t>
        </is>
      </c>
    </row>
    <row r="668">
      <c r="A668" s="15" t="inlineStr">
        <is>
          <t>Receita - Liberação de Crédito</t>
        </is>
      </c>
      <c r="B668" s="15" t="inlineStr">
        <is>
          <t>Liberação de Crédito (Studio)</t>
        </is>
      </c>
      <c r="C668" s="16" t="n">
        <v>414.46</v>
      </c>
      <c r="D668" s="17" t="n">
        <v>46171</v>
      </c>
      <c r="E668" s="15" t="inlineStr"/>
      <c r="F668" s="15" t="inlineStr">
        <is>
          <t>Recebido</t>
        </is>
      </c>
      <c r="G668" s="15" t="inlineStr">
        <is>
          <t>Liberação de dinheiro</t>
        </is>
      </c>
    </row>
    <row r="669">
      <c r="A669" s="18" t="inlineStr">
        <is>
          <t>Subtotal Receita - Liberação de Crédito</t>
        </is>
      </c>
      <c r="B669" s="19" t="n"/>
      <c r="C669" s="20">
        <f>SUM(C625:C668)</f>
        <v/>
      </c>
      <c r="D669" s="19" t="n"/>
      <c r="E669" s="19" t="n"/>
      <c r="F669" s="19" t="n"/>
      <c r="G669" s="19" t="n"/>
    </row>
    <row r="670">
      <c r="A670" s="21" t="inlineStr">
        <is>
          <t>Receita - Reembolso</t>
        </is>
      </c>
      <c r="B670" s="22" t="n"/>
      <c r="C670" s="22" t="n"/>
      <c r="D670" s="22" t="n"/>
      <c r="E670" s="22" t="n"/>
      <c r="F670" s="22" t="n"/>
      <c r="G670" s="22" t="n"/>
    </row>
    <row r="671">
      <c r="A671" s="15" t="inlineStr">
        <is>
          <t>Receita - Reembolso</t>
        </is>
      </c>
      <c r="B671" s="15" t="inlineStr">
        <is>
          <t>Reembolso recebido</t>
        </is>
      </c>
      <c r="C671" s="16" t="n">
        <v>44</v>
      </c>
      <c r="D671" s="17" t="n">
        <v>46146</v>
      </c>
      <c r="E671" s="15" t="inlineStr"/>
      <c r="F671" s="15" t="inlineStr">
        <is>
          <t>Recebido</t>
        </is>
      </c>
      <c r="G671" s="15" t="inlineStr">
        <is>
          <t>Reembolso de compra Mercado Libre</t>
        </is>
      </c>
    </row>
    <row r="672">
      <c r="A672" s="18" t="inlineStr">
        <is>
          <t>Subtotal Receita - Reembolso</t>
        </is>
      </c>
      <c r="B672" s="19" t="n"/>
      <c r="C672" s="20">
        <f>SUM(C671:C671)</f>
        <v/>
      </c>
      <c r="D672" s="19" t="n"/>
      <c r="E672" s="19" t="n"/>
      <c r="F672" s="19" t="n"/>
      <c r="G672" s="19" t="n"/>
    </row>
    <row r="673">
      <c r="A673" s="21" t="inlineStr">
        <is>
          <t>Receita - Outros</t>
        </is>
      </c>
      <c r="B673" s="22" t="n"/>
      <c r="C673" s="22" t="n"/>
      <c r="D673" s="22" t="n"/>
      <c r="E673" s="22" t="n"/>
      <c r="F673" s="22" t="n"/>
      <c r="G673" s="22" t="n"/>
    </row>
    <row r="674">
      <c r="A674" s="15" t="inlineStr">
        <is>
          <t>Receita - Outros</t>
        </is>
      </c>
      <c r="B674" s="15" t="inlineStr">
        <is>
          <t>Receita não categorizada</t>
        </is>
      </c>
      <c r="C674" s="16" t="n">
        <v>154</v>
      </c>
      <c r="D674" s="17" t="n">
        <v>46144</v>
      </c>
      <c r="E674" s="15" t="inlineStr"/>
      <c r="F674" s="15" t="inlineStr">
        <is>
          <t>Recebido</t>
        </is>
      </c>
      <c r="G674" s="15" t="inlineStr">
        <is>
          <t>Transferência recebida pelo Pix - ZAIDA PORTO SEUS - •••.144.769-•• - BCO BRADESCO S.A. (0237) Agência: 5750 Conta: 655913-1</t>
        </is>
      </c>
    </row>
    <row r="675">
      <c r="A675" s="15" t="inlineStr">
        <is>
          <t>Receita - Outros</t>
        </is>
      </c>
      <c r="B675" s="15" t="inlineStr">
        <is>
          <t>Receita não categorizada</t>
        </is>
      </c>
      <c r="C675" s="16" t="n">
        <v>248.77</v>
      </c>
      <c r="D675" s="17" t="n">
        <v>46147</v>
      </c>
      <c r="E675" s="15" t="inlineStr"/>
      <c r="F675" s="15" t="inlineStr">
        <is>
          <t>Recebido</t>
        </is>
      </c>
      <c r="G675" s="15" t="inlineStr">
        <is>
          <t>Pagamento com Código QR Pix SIMONE DO ROCIO PUCOVSKI GIANESINI</t>
        </is>
      </c>
    </row>
    <row r="676">
      <c r="A676" s="15" t="inlineStr">
        <is>
          <t>Receita - Outros</t>
        </is>
      </c>
      <c r="B676" s="15" t="inlineStr">
        <is>
          <t>Receita não categorizada</t>
        </is>
      </c>
      <c r="C676" s="16" t="n">
        <v>695.5700000000001</v>
      </c>
      <c r="D676" s="17" t="n">
        <v>46149</v>
      </c>
      <c r="E676" s="15" t="inlineStr"/>
      <c r="F676" s="15" t="inlineStr">
        <is>
          <t>Recebido</t>
        </is>
      </c>
      <c r="G676" s="15" t="inlineStr">
        <is>
          <t>Pagamento com Código QR Pix 34.776.184 SILVANETE OLIVEIRA DE LIMA</t>
        </is>
      </c>
    </row>
    <row r="677">
      <c r="A677" s="15" t="inlineStr">
        <is>
          <t>Receita - Outros</t>
        </is>
      </c>
      <c r="B677" s="15" t="inlineStr">
        <is>
          <t>Receita não categorizada</t>
        </is>
      </c>
      <c r="C677" s="16" t="n">
        <v>198.02</v>
      </c>
      <c r="D677" s="17" t="n">
        <v>46150</v>
      </c>
      <c r="E677" s="15" t="inlineStr"/>
      <c r="F677" s="15" t="inlineStr">
        <is>
          <t>Recebido</t>
        </is>
      </c>
      <c r="G677" s="15" t="inlineStr">
        <is>
          <t>Pagamento com Código QR Pix NATHALIA DO CARMO BARRETO</t>
        </is>
      </c>
    </row>
    <row r="678">
      <c r="A678" s="15" t="inlineStr">
        <is>
          <t>Receita - Outros</t>
        </is>
      </c>
      <c r="B678" s="15" t="inlineStr">
        <is>
          <t>Receita não categorizada</t>
        </is>
      </c>
      <c r="C678" s="16" t="n">
        <v>497.55</v>
      </c>
      <c r="D678" s="17" t="n">
        <v>46155</v>
      </c>
      <c r="E678" s="15" t="inlineStr"/>
      <c r="F678" s="15" t="inlineStr">
        <is>
          <t>Recebido</t>
        </is>
      </c>
      <c r="G678" s="15" t="inlineStr">
        <is>
          <t>Pagamento com Código QR Pix 34.776.184 SILVANETE OLIVEIRA DE LIMA</t>
        </is>
      </c>
    </row>
    <row r="679">
      <c r="A679" s="15" t="inlineStr">
        <is>
          <t>Receita - Outros</t>
        </is>
      </c>
      <c r="B679" s="15" t="inlineStr">
        <is>
          <t>Receita não categorizada</t>
        </is>
      </c>
      <c r="C679" s="16" t="n">
        <v>497.55</v>
      </c>
      <c r="D679" s="17" t="n">
        <v>46157</v>
      </c>
      <c r="E679" s="15" t="inlineStr"/>
      <c r="F679" s="15" t="inlineStr">
        <is>
          <t>Recebido</t>
        </is>
      </c>
      <c r="G679" s="15" t="inlineStr">
        <is>
          <t>Pagamento com Código QR Pix NAIR A GREGOLIN PROVENSI</t>
        </is>
      </c>
    </row>
    <row r="680">
      <c r="A680" s="15" t="inlineStr">
        <is>
          <t>Receita - Outros</t>
        </is>
      </c>
      <c r="B680" s="15" t="inlineStr">
        <is>
          <t>Receita não categorizada</t>
        </is>
      </c>
      <c r="C680" s="16" t="n">
        <v>497.55</v>
      </c>
      <c r="D680" s="17" t="n">
        <v>46161</v>
      </c>
      <c r="E680" s="15" t="inlineStr"/>
      <c r="F680" s="15" t="inlineStr">
        <is>
          <t>Recebido</t>
        </is>
      </c>
      <c r="G680" s="15" t="inlineStr">
        <is>
          <t>Pagamento com Código QR Pix ISABEL CRISTINA E LARA</t>
        </is>
      </c>
    </row>
    <row r="681">
      <c r="A681" s="15" t="inlineStr">
        <is>
          <t>Receita - Outros</t>
        </is>
      </c>
      <c r="B681" s="15" t="inlineStr">
        <is>
          <t>Receita não categorizada</t>
        </is>
      </c>
      <c r="C681" s="16" t="n">
        <v>496.55</v>
      </c>
      <c r="D681" s="17" t="n">
        <v>46161</v>
      </c>
      <c r="E681" s="15" t="inlineStr"/>
      <c r="F681" s="15" t="inlineStr">
        <is>
          <t>Recebido</t>
        </is>
      </c>
      <c r="G681" s="15" t="inlineStr">
        <is>
          <t>Pagamento com Código QR Pix Maria Bernadete Navroski</t>
        </is>
      </c>
    </row>
    <row r="682">
      <c r="A682" s="15" t="inlineStr">
        <is>
          <t>Receita - Outros</t>
        </is>
      </c>
      <c r="B682" s="15" t="inlineStr">
        <is>
          <t>Receita não categorizada</t>
        </is>
      </c>
      <c r="C682" s="16" t="n">
        <v>547.3</v>
      </c>
      <c r="D682" s="17" t="n">
        <v>46162</v>
      </c>
      <c r="E682" s="15" t="inlineStr"/>
      <c r="F682" s="15" t="inlineStr">
        <is>
          <t>Recebido</t>
        </is>
      </c>
      <c r="G682" s="15" t="inlineStr">
        <is>
          <t>Pagamento com Código QR Pix DIRSE NEVES DE SOUZA</t>
        </is>
      </c>
    </row>
    <row r="683">
      <c r="A683" s="15" t="inlineStr">
        <is>
          <t>Receita - Outros</t>
        </is>
      </c>
      <c r="B683" s="15" t="inlineStr">
        <is>
          <t>Receita não categorizada</t>
        </is>
      </c>
      <c r="C683" s="16" t="n">
        <v>666.72</v>
      </c>
      <c r="D683" s="17" t="n">
        <v>46165</v>
      </c>
      <c r="E683" s="15" t="inlineStr"/>
      <c r="F683" s="15" t="inlineStr">
        <is>
          <t>Recebido</t>
        </is>
      </c>
      <c r="G683" s="15" t="inlineStr">
        <is>
          <t>Pagamento com Código QR Pix MARCIA PEIXOTO R SILVA</t>
        </is>
      </c>
    </row>
    <row r="684">
      <c r="A684" s="15" t="inlineStr">
        <is>
          <t>Receita - Outros</t>
        </is>
      </c>
      <c r="B684" s="15" t="inlineStr">
        <is>
          <t>Receita não categorizada</t>
        </is>
      </c>
      <c r="C684" s="16" t="n">
        <v>12.5</v>
      </c>
      <c r="D684" s="17" t="n">
        <v>46165</v>
      </c>
      <c r="E684" s="15" t="inlineStr"/>
      <c r="F684" s="15" t="inlineStr">
        <is>
          <t>Recebido</t>
        </is>
      </c>
      <c r="G684" s="15" t="inlineStr">
        <is>
          <t>Transferência Recebida - Leonardo Munhoz Lucio - •••.391.699-•• - NU PAGAMENTOS - IP (0260) Agência: 1 Conta: 68494942-4</t>
        </is>
      </c>
    </row>
    <row r="685">
      <c r="A685" s="15" t="inlineStr">
        <is>
          <t>Receita - Outros</t>
        </is>
      </c>
      <c r="B685" s="15" t="inlineStr">
        <is>
          <t>Receita não categorizada</t>
        </is>
      </c>
      <c r="C685" s="16" t="n">
        <v>5000</v>
      </c>
      <c r="D685" s="17" t="n">
        <v>46168</v>
      </c>
      <c r="E685" s="15" t="inlineStr"/>
      <c r="F685" s="15" t="inlineStr">
        <is>
          <t>Recebido</t>
        </is>
      </c>
      <c r="G685" s="15" t="inlineStr">
        <is>
          <t>Transferência recebida pelo Pix - ALEXANDRE ANTONIU NETO - •••.084.859-•• - ITAÚ UNIBANCO S.A. (0341) Agência: 7013 Conta: 15226-4</t>
        </is>
      </c>
    </row>
    <row r="686">
      <c r="A686" s="15" t="inlineStr">
        <is>
          <t>Receita - Outros</t>
        </is>
      </c>
      <c r="B686" s="15" t="inlineStr">
        <is>
          <t>Receita não categorizada</t>
        </is>
      </c>
      <c r="C686" s="16" t="n">
        <v>486.6</v>
      </c>
      <c r="D686" s="17" t="n">
        <v>46171</v>
      </c>
      <c r="E686" s="15" t="inlineStr"/>
      <c r="F686" s="15" t="inlineStr">
        <is>
          <t>Recebido</t>
        </is>
      </c>
      <c r="G686" s="15" t="inlineStr">
        <is>
          <t>Pagamento com Código QR Pix SOLANGE DOS SANTOS LIMA</t>
        </is>
      </c>
    </row>
    <row r="687">
      <c r="A687" s="15" t="inlineStr">
        <is>
          <t>Receita - Outros</t>
        </is>
      </c>
      <c r="B687" s="15" t="inlineStr">
        <is>
          <t>Receita não categorizada</t>
        </is>
      </c>
      <c r="C687" s="16" t="n">
        <v>486.6</v>
      </c>
      <c r="D687" s="17" t="n">
        <v>46171</v>
      </c>
      <c r="E687" s="15" t="inlineStr"/>
      <c r="F687" s="15" t="inlineStr">
        <is>
          <t>Recebido</t>
        </is>
      </c>
      <c r="G687" s="15" t="inlineStr">
        <is>
          <t>Pagamento com Código QR Pix SOLANGE DOS SANTOS LIMA</t>
        </is>
      </c>
    </row>
    <row r="688">
      <c r="A688" s="15" t="inlineStr">
        <is>
          <t>Receita - Outros</t>
        </is>
      </c>
      <c r="B688" s="15" t="inlineStr">
        <is>
          <t>Receita não categorizada</t>
        </is>
      </c>
      <c r="C688" s="16" t="n">
        <v>429</v>
      </c>
      <c r="D688" s="17" t="n">
        <v>46171</v>
      </c>
      <c r="E688" s="15" t="inlineStr"/>
      <c r="F688" s="15" t="inlineStr">
        <is>
          <t>Recebido</t>
        </is>
      </c>
      <c r="G688" s="15" t="inlineStr">
        <is>
          <t>Pix recebido 34.776.184 SILVANETE OLIVEIRA DE LIMA</t>
        </is>
      </c>
    </row>
    <row r="689">
      <c r="A689" s="15" t="inlineStr">
        <is>
          <t>Receita - Outros</t>
        </is>
      </c>
      <c r="B689" s="15" t="inlineStr">
        <is>
          <t>Receita não categorizada</t>
        </is>
      </c>
      <c r="C689" s="16" t="n">
        <v>60</v>
      </c>
      <c r="D689" s="17" t="n">
        <v>46171</v>
      </c>
      <c r="E689" s="15" t="inlineStr"/>
      <c r="F689" s="15" t="inlineStr">
        <is>
          <t>Recebido</t>
        </is>
      </c>
      <c r="G689" s="15" t="inlineStr">
        <is>
          <t>Pix recebido 34.776.184 SILVANETE OLIVEIRA DE LIMA</t>
        </is>
      </c>
    </row>
    <row r="690">
      <c r="A690" s="18" t="inlineStr">
        <is>
          <t>Subtotal Receita - Outros</t>
        </is>
      </c>
      <c r="B690" s="19" t="n"/>
      <c r="C690" s="20">
        <f>SUM(C674:C689)</f>
        <v/>
      </c>
      <c r="D690" s="19" t="n"/>
      <c r="E690" s="19" t="n"/>
      <c r="F690" s="19" t="n"/>
      <c r="G690" s="19" t="n"/>
    </row>
    <row r="691">
      <c r="A691" s="12" t="inlineStr">
        <is>
          <t>Contas Fixas</t>
        </is>
      </c>
      <c r="B691" s="23" t="n"/>
      <c r="C691" s="23" t="n"/>
      <c r="D691" s="23" t="n"/>
      <c r="E691" s="23" t="n"/>
      <c r="F691" s="23" t="n"/>
      <c r="G691" s="23" t="n"/>
    </row>
    <row r="692">
      <c r="A692" s="15" t="inlineStr">
        <is>
          <t>Contas Fixas</t>
        </is>
      </c>
      <c r="B692" s="15" t="inlineStr">
        <is>
          <t>Assinatura Meli+</t>
        </is>
      </c>
      <c r="C692" s="16" t="n">
        <v>-9.9</v>
      </c>
      <c r="D692" s="17" t="n">
        <v>46143</v>
      </c>
      <c r="E692" s="15" t="inlineStr"/>
      <c r="F692" s="15" t="inlineStr">
        <is>
          <t>Sem comprovante</t>
        </is>
      </c>
      <c r="G692" s="15" t="inlineStr">
        <is>
          <t>Pagamento de assinatura Meli+</t>
        </is>
      </c>
    </row>
    <row r="693">
      <c r="A693" s="15" t="inlineStr">
        <is>
          <t>Contas Fixas</t>
        </is>
      </c>
      <c r="B693" s="15" t="inlineStr">
        <is>
          <t>Assinatura Spotify</t>
        </is>
      </c>
      <c r="C693" s="16" t="n">
        <v>-40.9</v>
      </c>
      <c r="D693" s="17" t="n">
        <v>46146</v>
      </c>
      <c r="E693" s="15" t="inlineStr"/>
      <c r="F693" s="15" t="inlineStr">
        <is>
          <t>Sem comprovante</t>
        </is>
      </c>
      <c r="G693" s="15" t="inlineStr">
        <is>
          <t>Compra no débito via NuPay - EBW*Spotify</t>
        </is>
      </c>
    </row>
    <row r="694">
      <c r="A694" s="15" t="inlineStr">
        <is>
          <t>Contas Fixas</t>
        </is>
      </c>
      <c r="B694" s="15" t="inlineStr">
        <is>
          <t>Internet / Telecom</t>
        </is>
      </c>
      <c r="C694" s="16" t="n">
        <v>-200</v>
      </c>
      <c r="D694" s="17" t="n">
        <v>46146</v>
      </c>
      <c r="E694" s="15" t="inlineStr">
        <is>
          <t>Google/00000011-comprovante-157686740806.pdf</t>
        </is>
      </c>
      <c r="F694" s="15" t="inlineStr">
        <is>
          <t>Pago</t>
        </is>
      </c>
      <c r="G694" s="15" t="inlineStr">
        <is>
          <t>Pagamento com QR Pix GOOGLE BRASIL INTERNET LTDA.</t>
        </is>
      </c>
    </row>
    <row r="695">
      <c r="A695" s="15" t="inlineStr">
        <is>
          <t>Contas Fixas</t>
        </is>
      </c>
      <c r="B695" s="15" t="inlineStr">
        <is>
          <t>Internet / Telecom</t>
        </is>
      </c>
      <c r="C695" s="16" t="n">
        <v>-269.94</v>
      </c>
      <c r="D695" s="17" t="n">
        <v>46146</v>
      </c>
      <c r="E695" s="15" t="inlineStr"/>
      <c r="F695" s="15" t="inlineStr">
        <is>
          <t>Sem comprovante</t>
        </is>
      </c>
      <c r="G695" s="15" t="inlineStr">
        <is>
          <t>Resgate de empréstimo</t>
        </is>
      </c>
    </row>
    <row r="696">
      <c r="A696" s="15" t="inlineStr">
        <is>
          <t>Contas Fixas</t>
        </is>
      </c>
      <c r="B696" s="15" t="inlineStr">
        <is>
          <t>Internet / Telecom</t>
        </is>
      </c>
      <c r="C696" s="16" t="n">
        <v>496.55</v>
      </c>
      <c r="D696" s="17" t="n">
        <v>46148</v>
      </c>
      <c r="E696" s="15" t="inlineStr"/>
      <c r="F696" s="15" t="inlineStr">
        <is>
          <t>Recebido</t>
        </is>
      </c>
      <c r="G696" s="15" t="inlineStr">
        <is>
          <t>Pagamento com Código QR Pix RITA DE FATIMA COELHO MARTINS</t>
        </is>
      </c>
    </row>
    <row r="697">
      <c r="A697" s="15" t="inlineStr">
        <is>
          <t>Contas Fixas</t>
        </is>
      </c>
      <c r="B697" s="15" t="inlineStr">
        <is>
          <t>Internet / Telecom</t>
        </is>
      </c>
      <c r="C697" s="16" t="n">
        <v>-300</v>
      </c>
      <c r="D697" s="17" t="n">
        <v>46148</v>
      </c>
      <c r="E697" s="15" t="inlineStr">
        <is>
          <t>Google/00000011-comprovante-157686740806.pdf</t>
        </is>
      </c>
      <c r="F697" s="15" t="inlineStr">
        <is>
          <t>Pago</t>
        </is>
      </c>
      <c r="G697" s="15" t="inlineStr">
        <is>
          <t>Pagamento com QR Pix GOOGLE BRASIL INTERNET LTDA.</t>
        </is>
      </c>
    </row>
    <row r="698">
      <c r="A698" s="15" t="inlineStr">
        <is>
          <t>Contas Fixas</t>
        </is>
      </c>
      <c r="B698" s="15" t="inlineStr">
        <is>
          <t>Internet / Telecom</t>
        </is>
      </c>
      <c r="C698" s="16" t="n">
        <v>-100</v>
      </c>
      <c r="D698" s="17" t="n">
        <v>46148</v>
      </c>
      <c r="E698" s="15" t="inlineStr">
        <is>
          <t>Google/00000011-comprovante-157686740806.pdf</t>
        </is>
      </c>
      <c r="F698" s="15" t="inlineStr">
        <is>
          <t>Pago</t>
        </is>
      </c>
      <c r="G698" s="15" t="inlineStr">
        <is>
          <t>Pagamento com QR Pix GOOGLE BRASIL INTERNET LTDA.</t>
        </is>
      </c>
    </row>
    <row r="699">
      <c r="A699" s="15" t="inlineStr">
        <is>
          <t>Contas Fixas</t>
        </is>
      </c>
      <c r="B699" s="15" t="inlineStr">
        <is>
          <t>Luz (Copel)</t>
        </is>
      </c>
      <c r="C699" s="16" t="n">
        <v>-220.26</v>
      </c>
      <c r="D699" s="17" t="n">
        <v>46149</v>
      </c>
      <c r="E699" s="15" t="inlineStr">
        <is>
          <t>Copel Casa/00000036-PHOTO-2026-05-07-16-55-27.jpg</t>
        </is>
      </c>
      <c r="F699" s="15" t="inlineStr">
        <is>
          <t>Pago</t>
        </is>
      </c>
      <c r="G699" s="15" t="inlineStr">
        <is>
          <t>Pagamento com QR Pix COPEL DISTRIBUICAO S.A.</t>
        </is>
      </c>
    </row>
    <row r="700">
      <c r="A700" s="15" t="inlineStr">
        <is>
          <t>Contas Fixas</t>
        </is>
      </c>
      <c r="B700" s="15" t="inlineStr">
        <is>
          <t>Internet / Telecom</t>
        </is>
      </c>
      <c r="C700" s="16" t="n">
        <v>-100</v>
      </c>
      <c r="D700" s="17" t="n">
        <v>46153</v>
      </c>
      <c r="E700" s="15" t="inlineStr"/>
      <c r="F700" s="15" t="inlineStr">
        <is>
          <t>Sem comprovante</t>
        </is>
      </c>
      <c r="G700" s="15" t="inlineStr">
        <is>
          <t>Pagamento com QR Pix GOOGLE BRASIL INTERNET LTDA.</t>
        </is>
      </c>
    </row>
    <row r="701">
      <c r="A701" s="15" t="inlineStr">
        <is>
          <t>Contas Fixas</t>
        </is>
      </c>
      <c r="B701" s="15" t="inlineStr">
        <is>
          <t>Internet / Telecom</t>
        </is>
      </c>
      <c r="C701" s="16" t="n">
        <v>-167.61</v>
      </c>
      <c r="D701" s="17" t="n">
        <v>46155</v>
      </c>
      <c r="E701" s="15" t="inlineStr"/>
      <c r="F701" s="15" t="inlineStr">
        <is>
          <t>Sem comprovante</t>
        </is>
      </c>
      <c r="G701" s="15" t="inlineStr">
        <is>
          <t>Pagamento com QR Pix PAGALEVE FUNDO DE INVESTIMENTO EM DIREITOS CREDITORIOS COMERC...</t>
        </is>
      </c>
    </row>
    <row r="702">
      <c r="A702" s="15" t="inlineStr">
        <is>
          <t>Contas Fixas</t>
        </is>
      </c>
      <c r="B702" s="15" t="inlineStr">
        <is>
          <t>Luz (Copel)</t>
        </is>
      </c>
      <c r="C702" s="16" t="n">
        <v>-130.81</v>
      </c>
      <c r="D702" s="17" t="n">
        <v>46160</v>
      </c>
      <c r="E702" s="15" t="inlineStr"/>
      <c r="F702" s="15" t="inlineStr">
        <is>
          <t>Sem comprovante</t>
        </is>
      </c>
      <c r="G702" s="15" t="inlineStr">
        <is>
          <t>Pagamento com QR Pix COPEL DISTRIBUICAO S.A.</t>
        </is>
      </c>
    </row>
    <row r="703">
      <c r="A703" s="15" t="inlineStr">
        <is>
          <t>Contas Fixas</t>
        </is>
      </c>
      <c r="B703" s="15" t="inlineStr">
        <is>
          <t>Luz (Copel)</t>
        </is>
      </c>
      <c r="C703" s="16" t="n">
        <v>-130.81</v>
      </c>
      <c r="D703" s="17" t="n">
        <v>46160</v>
      </c>
      <c r="E703" s="15" t="inlineStr"/>
      <c r="F703" s="15" t="inlineStr">
        <is>
          <t>Sem comprovante</t>
        </is>
      </c>
      <c r="G703" s="15" t="inlineStr">
        <is>
          <t>Pagamento com QR Pix COPEL DISTRIBUICAO S.A.</t>
        </is>
      </c>
    </row>
    <row r="704">
      <c r="A704" s="15" t="inlineStr">
        <is>
          <t>Contas Fixas</t>
        </is>
      </c>
      <c r="B704" s="15" t="inlineStr">
        <is>
          <t>Luz (Copel)</t>
        </is>
      </c>
      <c r="C704" s="16" t="n">
        <v>-130.81</v>
      </c>
      <c r="D704" s="17" t="n">
        <v>46160</v>
      </c>
      <c r="E704" s="15" t="inlineStr"/>
      <c r="F704" s="15" t="inlineStr">
        <is>
          <t>Sem comprovante</t>
        </is>
      </c>
      <c r="G704" s="15" t="inlineStr">
        <is>
          <t>Pagamento com QR Pix COPEL DISTRIBUICAO S.A.</t>
        </is>
      </c>
    </row>
    <row r="705">
      <c r="A705" s="15" t="inlineStr">
        <is>
          <t>Contas Fixas</t>
        </is>
      </c>
      <c r="B705" s="15" t="inlineStr">
        <is>
          <t>Internet / Telecom</t>
        </is>
      </c>
      <c r="C705" s="16" t="n">
        <v>-250</v>
      </c>
      <c r="D705" s="17" t="n">
        <v>46161</v>
      </c>
      <c r="E705" s="15" t="inlineStr"/>
      <c r="F705" s="15" t="inlineStr">
        <is>
          <t>Sem comprovante</t>
        </is>
      </c>
      <c r="G705" s="15" t="inlineStr">
        <is>
          <t>Pagamento com QR Pix GOOGLE BRASIL INTERNET LTDA.</t>
        </is>
      </c>
    </row>
    <row r="706">
      <c r="A706" s="15" t="inlineStr">
        <is>
          <t>Contas Fixas</t>
        </is>
      </c>
      <c r="B706" s="15" t="inlineStr">
        <is>
          <t>Internet / Telecom</t>
        </is>
      </c>
      <c r="C706" s="16" t="n">
        <v>-249.25</v>
      </c>
      <c r="D706" s="17" t="n">
        <v>46163</v>
      </c>
      <c r="E706" s="15" t="inlineStr"/>
      <c r="F706" s="15" t="inlineStr">
        <is>
          <t>Sem comprovante</t>
        </is>
      </c>
      <c r="G706" s="15" t="inlineStr">
        <is>
          <t>Pagamento de conta Banco Votorantim S.A.</t>
        </is>
      </c>
    </row>
    <row r="707">
      <c r="A707" s="15" t="inlineStr">
        <is>
          <t>Contas Fixas</t>
        </is>
      </c>
      <c r="B707" s="15" t="inlineStr">
        <is>
          <t>Hospedagem / Site</t>
        </is>
      </c>
      <c r="C707" s="16" t="n">
        <v>-45.28</v>
      </c>
      <c r="D707" s="17" t="n">
        <v>46165</v>
      </c>
      <c r="E707" s="15" t="inlineStr">
        <is>
          <t>Site/00000015-PHOTO-2026-05-23-10-57-38.jpg</t>
        </is>
      </c>
      <c r="F707" s="15" t="inlineStr">
        <is>
          <t>Pago</t>
        </is>
      </c>
      <c r="G707" s="15" t="inlineStr">
        <is>
          <t>Pagamento com QR Pix HOSTGATOR BRASIL LTDA</t>
        </is>
      </c>
    </row>
    <row r="708">
      <c r="A708" s="15" t="inlineStr">
        <is>
          <t>Contas Fixas</t>
        </is>
      </c>
      <c r="B708" s="15" t="inlineStr">
        <is>
          <t>Assinatura Canva</t>
        </is>
      </c>
      <c r="C708" s="16" t="n">
        <v>-35</v>
      </c>
      <c r="D708" s="17" t="n">
        <v>46170</v>
      </c>
      <c r="E708" s="15" t="inlineStr"/>
      <c r="F708" s="15" t="inlineStr">
        <is>
          <t>Sem comprovante</t>
        </is>
      </c>
      <c r="G708" s="15" t="inlineStr">
        <is>
          <t>Compra no débito via NuPay - EBW*Canva</t>
        </is>
      </c>
    </row>
    <row r="709">
      <c r="A709" s="15" t="inlineStr">
        <is>
          <t>Contas Fixas</t>
        </is>
      </c>
      <c r="B709" s="15" t="inlineStr">
        <is>
          <t>Assinatura Meli+</t>
        </is>
      </c>
      <c r="C709" s="16" t="n">
        <v>-9.9</v>
      </c>
      <c r="D709" s="17" t="n">
        <v>46173</v>
      </c>
      <c r="E709" s="15" t="inlineStr"/>
      <c r="F709" s="15" t="inlineStr">
        <is>
          <t>Sem comprovante</t>
        </is>
      </c>
      <c r="G709" s="15" t="inlineStr">
        <is>
          <t>Pagamento de assinatura Meli+</t>
        </is>
      </c>
    </row>
    <row r="710">
      <c r="A710" s="18" t="inlineStr">
        <is>
          <t>Subtotal Contas Fixas</t>
        </is>
      </c>
      <c r="B710" s="19" t="n"/>
      <c r="C710" s="20">
        <f>SUM(C692:C709)</f>
        <v/>
      </c>
      <c r="D710" s="19" t="n"/>
      <c r="E710" s="19" t="n"/>
      <c r="F710" s="19" t="n"/>
      <c r="G710" s="19" t="n"/>
    </row>
    <row r="711">
      <c r="A711" s="12" t="inlineStr">
        <is>
          <t>Contas Variáveis</t>
        </is>
      </c>
      <c r="B711" s="23" t="n"/>
      <c r="C711" s="23" t="n"/>
      <c r="D711" s="23" t="n"/>
      <c r="E711" s="23" t="n"/>
      <c r="F711" s="23" t="n"/>
      <c r="G711" s="23" t="n"/>
    </row>
    <row r="712">
      <c r="A712" s="15" t="inlineStr">
        <is>
          <t>Contas Variáveis</t>
        </is>
      </c>
      <c r="B712" s="15" t="inlineStr">
        <is>
          <t>Compra no débito</t>
        </is>
      </c>
      <c r="C712" s="16" t="n">
        <v>-19.9</v>
      </c>
      <c r="D712" s="17" t="n">
        <v>46145</v>
      </c>
      <c r="E712" s="15" t="inlineStr"/>
      <c r="F712" s="15" t="inlineStr">
        <is>
          <t>Sem comprovante</t>
        </is>
      </c>
      <c r="G712" s="15" t="inlineStr">
        <is>
          <t>Compra no débito - ArenasComercioDe</t>
        </is>
      </c>
    </row>
    <row r="713">
      <c r="A713" s="15" t="inlineStr">
        <is>
          <t>Contas Variáveis</t>
        </is>
      </c>
      <c r="B713" s="15" t="inlineStr">
        <is>
          <t>Compra no débito</t>
        </is>
      </c>
      <c r="C713" s="16" t="n">
        <v>-19.9</v>
      </c>
      <c r="D713" s="17" t="n">
        <v>46145</v>
      </c>
      <c r="E713" s="15" t="inlineStr"/>
      <c r="F713" s="15" t="inlineStr">
        <is>
          <t>Sem comprovante</t>
        </is>
      </c>
      <c r="G713" s="15" t="inlineStr">
        <is>
          <t>Compra no débito - ArenasComercioDe</t>
        </is>
      </c>
    </row>
    <row r="714">
      <c r="A714" s="15" t="inlineStr">
        <is>
          <t>Contas Variáveis</t>
        </is>
      </c>
      <c r="B714" s="15" t="inlineStr">
        <is>
          <t>Google Ads / Google</t>
        </is>
      </c>
      <c r="C714" s="16" t="n">
        <v>-96.98999999999999</v>
      </c>
      <c r="D714" s="17" t="n">
        <v>46147</v>
      </c>
      <c r="E714" s="15" t="inlineStr">
        <is>
          <t>Google/00000011-comprovante-157686740806.pdf</t>
        </is>
      </c>
      <c r="F714" s="15" t="inlineStr">
        <is>
          <t>Pago</t>
        </is>
      </c>
      <c r="G714" s="15" t="inlineStr">
        <is>
          <t>Pagamento GOOGLE BRASIL PAGAMENTOS LTDA.</t>
        </is>
      </c>
    </row>
    <row r="715">
      <c r="A715" s="15" t="inlineStr">
        <is>
          <t>Contas Variáveis</t>
        </is>
      </c>
      <c r="B715" s="15" t="inlineStr">
        <is>
          <t>Mercado</t>
        </is>
      </c>
      <c r="C715" s="16" t="n">
        <v>-90.16</v>
      </c>
      <c r="D715" s="17" t="n">
        <v>46147</v>
      </c>
      <c r="E715" s="15" t="inlineStr"/>
      <c r="F715" s="15" t="inlineStr">
        <is>
          <t>Sem comprovante</t>
        </is>
      </c>
      <c r="G715" s="15" t="inlineStr">
        <is>
          <t>Pagamento Mercado Livre</t>
        </is>
      </c>
    </row>
    <row r="716">
      <c r="A716" s="15" t="inlineStr">
        <is>
          <t>Contas Variáveis</t>
        </is>
      </c>
      <c r="B716" s="15" t="inlineStr">
        <is>
          <t>Compra no débito</t>
        </is>
      </c>
      <c r="C716" s="16" t="n">
        <v>-9.6</v>
      </c>
      <c r="D716" s="17" t="n">
        <v>46149</v>
      </c>
      <c r="E716" s="15" t="inlineStr"/>
      <c r="F716" s="15" t="inlineStr">
        <is>
          <t>Sem comprovante</t>
        </is>
      </c>
      <c r="G716" s="15" t="inlineStr">
        <is>
          <t>Compra no débito - JAWAL</t>
        </is>
      </c>
    </row>
    <row r="717">
      <c r="A717" s="15" t="inlineStr">
        <is>
          <t>Contas Variáveis</t>
        </is>
      </c>
      <c r="B717" s="15" t="inlineStr">
        <is>
          <t>iFood</t>
        </is>
      </c>
      <c r="C717" s="16" t="n">
        <v>-133.05</v>
      </c>
      <c r="D717" s="17" t="n">
        <v>46150</v>
      </c>
      <c r="E717" s="15" t="inlineStr"/>
      <c r="F717" s="15" t="inlineStr">
        <is>
          <t>Sem comprovante</t>
        </is>
      </c>
      <c r="G717" s="15" t="inlineStr">
        <is>
          <t>Pagamento com QR Pix IFOOD.COM AGENCIA DE RESTAURANTES ONLINE S.A.</t>
        </is>
      </c>
    </row>
    <row r="718">
      <c r="A718" s="15" t="inlineStr">
        <is>
          <t>Contas Variáveis</t>
        </is>
      </c>
      <c r="B718" s="15" t="inlineStr">
        <is>
          <t>Restaurante / Lazer</t>
        </is>
      </c>
      <c r="C718" s="16" t="n">
        <v>-49.9</v>
      </c>
      <c r="D718" s="17" t="n">
        <v>46151</v>
      </c>
      <c r="E718" s="15" t="inlineStr"/>
      <c r="F718" s="15" t="inlineStr">
        <is>
          <t>Sem comprovante</t>
        </is>
      </c>
      <c r="G718" s="15" t="inlineStr">
        <is>
          <t>Pagamento com QR Pix Estar Bem Produtos Naturais Ltda</t>
        </is>
      </c>
    </row>
    <row r="719">
      <c r="A719" s="15" t="inlineStr">
        <is>
          <t>Contas Variáveis</t>
        </is>
      </c>
      <c r="B719" s="15" t="inlineStr">
        <is>
          <t>Restaurante / Lazer</t>
        </is>
      </c>
      <c r="C719" s="16" t="n">
        <v>-54.16</v>
      </c>
      <c r="D719" s="17" t="n">
        <v>46151</v>
      </c>
      <c r="E719" s="15" t="inlineStr"/>
      <c r="F719" s="15" t="inlineStr">
        <is>
          <t>Sem comprovante</t>
        </is>
      </c>
      <c r="G719" s="15" t="inlineStr">
        <is>
          <t>Pagamento com QR Pix SAO JOSE SERVICOS LTDA</t>
        </is>
      </c>
    </row>
    <row r="720">
      <c r="A720" s="15" t="inlineStr">
        <is>
          <t>Contas Variáveis</t>
        </is>
      </c>
      <c r="B720" s="15" t="inlineStr">
        <is>
          <t>Mercado</t>
        </is>
      </c>
      <c r="C720" s="16" t="n">
        <v>-27.76</v>
      </c>
      <c r="D720" s="17" t="n">
        <v>46152</v>
      </c>
      <c r="E720" s="15" t="inlineStr"/>
      <c r="F720" s="15" t="inlineStr">
        <is>
          <t>Sem comprovante</t>
        </is>
      </c>
      <c r="G720" s="15" t="inlineStr">
        <is>
          <t>Compra no débito - CONDOR SAO BRAZ LJ11</t>
        </is>
      </c>
    </row>
    <row r="721">
      <c r="A721" s="15" t="inlineStr">
        <is>
          <t>Contas Variáveis</t>
        </is>
      </c>
      <c r="B721" s="15" t="inlineStr">
        <is>
          <t>Combustível</t>
        </is>
      </c>
      <c r="C721" s="16" t="n">
        <v>-51.42</v>
      </c>
      <c r="D721" s="17" t="n">
        <v>46152</v>
      </c>
      <c r="E721" s="15" t="inlineStr"/>
      <c r="F721" s="15" t="inlineStr">
        <is>
          <t>Sem comprovante</t>
        </is>
      </c>
      <c r="G721" s="15" t="inlineStr">
        <is>
          <t>Compra no débito - POSTO FAROL DO PARQUE</t>
        </is>
      </c>
    </row>
    <row r="722">
      <c r="A722" s="15" t="inlineStr">
        <is>
          <t>Contas Variáveis</t>
        </is>
      </c>
      <c r="B722" s="15" t="inlineStr">
        <is>
          <t>iFood</t>
        </is>
      </c>
      <c r="C722" s="16" t="n">
        <v>-100.06</v>
      </c>
      <c r="D722" s="17" t="n">
        <v>46152</v>
      </c>
      <c r="E722" s="15" t="inlineStr"/>
      <c r="F722" s="15" t="inlineStr">
        <is>
          <t>Sem comprovante</t>
        </is>
      </c>
      <c r="G722" s="15" t="inlineStr">
        <is>
          <t>Pagamento com QR Pix IFOOD.COM AGENCIA DE RESTAURANTES ONLINE S.A.</t>
        </is>
      </c>
    </row>
    <row r="723">
      <c r="A723" s="15" t="inlineStr">
        <is>
          <t>Contas Variáveis</t>
        </is>
      </c>
      <c r="B723" s="15" t="inlineStr">
        <is>
          <t>Combustível</t>
        </is>
      </c>
      <c r="C723" s="16" t="n">
        <v>-233.63</v>
      </c>
      <c r="D723" s="17" t="n">
        <v>46152</v>
      </c>
      <c r="E723" s="15" t="inlineStr"/>
      <c r="F723" s="15" t="inlineStr">
        <is>
          <t>Sem comprovante</t>
        </is>
      </c>
      <c r="G723" s="15" t="inlineStr">
        <is>
          <t>Pagamento com QR Pix L T NICHELE COMERCIO DE COMBUSTIVEIS LTDA</t>
        </is>
      </c>
    </row>
    <row r="724">
      <c r="A724" s="15" t="inlineStr">
        <is>
          <t>Contas Variáveis</t>
        </is>
      </c>
      <c r="B724" s="15" t="inlineStr">
        <is>
          <t>Restaurante / Lazer</t>
        </is>
      </c>
      <c r="C724" s="16" t="n">
        <v>-15</v>
      </c>
      <c r="D724" s="17" t="n">
        <v>46152</v>
      </c>
      <c r="E724" s="15" t="inlineStr"/>
      <c r="F724" s="15" t="inlineStr">
        <is>
          <t>Sem comprovante</t>
        </is>
      </c>
      <c r="G724" s="15" t="inlineStr">
        <is>
          <t>Pagamento com QR Pix MADERO INDUSTRIA E COMERCIO S.A.</t>
        </is>
      </c>
    </row>
    <row r="725">
      <c r="A725" s="15" t="inlineStr">
        <is>
          <t>Contas Variáveis</t>
        </is>
      </c>
      <c r="B725" s="15" t="inlineStr">
        <is>
          <t>iFood</t>
        </is>
      </c>
      <c r="C725" s="16" t="n">
        <v>-7.98</v>
      </c>
      <c r="D725" s="17" t="n">
        <v>46152</v>
      </c>
      <c r="E725" s="15" t="inlineStr"/>
      <c r="F725" s="15" t="inlineStr">
        <is>
          <t>Sem comprovante</t>
        </is>
      </c>
      <c r="G725" s="15" t="inlineStr">
        <is>
          <t>Transferência enviada pelo Pix - IFOOD.COM AGENCIA DE RESTAURANTES ONLINE S.A. - 14.380.200/0001-21 - IFOOD PAGO IP (0595) Agência: 1 Conta: 101793197-2</t>
        </is>
      </c>
    </row>
    <row r="726">
      <c r="A726" s="15" t="inlineStr">
        <is>
          <t>Contas Variáveis</t>
        </is>
      </c>
      <c r="B726" s="15" t="inlineStr">
        <is>
          <t>Combustível</t>
        </is>
      </c>
      <c r="C726" s="16" t="n">
        <v>-78.98999999999999</v>
      </c>
      <c r="D726" s="17" t="n">
        <v>46154</v>
      </c>
      <c r="E726" s="15" t="inlineStr"/>
      <c r="F726" s="15" t="inlineStr">
        <is>
          <t>Sem comprovante</t>
        </is>
      </c>
      <c r="G726" s="15" t="inlineStr">
        <is>
          <t>Pagamento com QR Pix POSTO ZAKA ALTO DA XV LTDA</t>
        </is>
      </c>
    </row>
    <row r="727">
      <c r="A727" s="15" t="inlineStr">
        <is>
          <t>Contas Variáveis</t>
        </is>
      </c>
      <c r="B727" s="15" t="inlineStr">
        <is>
          <t>Mercado</t>
        </is>
      </c>
      <c r="C727" s="16" t="n">
        <v>-132.12</v>
      </c>
      <c r="D727" s="17" t="n">
        <v>46156</v>
      </c>
      <c r="E727" s="15" t="inlineStr"/>
      <c r="F727" s="15" t="inlineStr">
        <is>
          <t>Sem comprovante</t>
        </is>
      </c>
      <c r="G727" s="15" t="inlineStr">
        <is>
          <t>Pagamento Mercado Libre</t>
        </is>
      </c>
    </row>
    <row r="728">
      <c r="A728" s="15" t="inlineStr">
        <is>
          <t>Contas Variáveis</t>
        </is>
      </c>
      <c r="B728" s="15" t="inlineStr">
        <is>
          <t>Mercado</t>
        </is>
      </c>
      <c r="C728" s="16" t="n">
        <v>-97.98</v>
      </c>
      <c r="D728" s="17" t="n">
        <v>46156</v>
      </c>
      <c r="E728" s="15" t="inlineStr"/>
      <c r="F728" s="15" t="inlineStr">
        <is>
          <t>Sem comprovante</t>
        </is>
      </c>
      <c r="G728" s="15" t="inlineStr">
        <is>
          <t>Pagamento Mercado Libre</t>
        </is>
      </c>
    </row>
    <row r="729">
      <c r="A729" s="15" t="inlineStr">
        <is>
          <t>Contas Variáveis</t>
        </is>
      </c>
      <c r="B729" s="15" t="inlineStr">
        <is>
          <t>Compra no débito</t>
        </is>
      </c>
      <c r="C729" s="16" t="n">
        <v>-13</v>
      </c>
      <c r="D729" s="17" t="n">
        <v>46158</v>
      </c>
      <c r="E729" s="15" t="inlineStr"/>
      <c r="F729" s="15" t="inlineStr">
        <is>
          <t>Sem comprovante</t>
        </is>
      </c>
      <c r="G729" s="15" t="inlineStr">
        <is>
          <t>Compra no débito - ARMAZEM GARAGEM BAR</t>
        </is>
      </c>
    </row>
    <row r="730">
      <c r="A730" s="15" t="inlineStr">
        <is>
          <t>Contas Variáveis</t>
        </is>
      </c>
      <c r="B730" s="15" t="inlineStr">
        <is>
          <t>Compra no débito</t>
        </is>
      </c>
      <c r="C730" s="16" t="n">
        <v>-28</v>
      </c>
      <c r="D730" s="17" t="n">
        <v>46158</v>
      </c>
      <c r="E730" s="15" t="inlineStr"/>
      <c r="F730" s="15" t="inlineStr">
        <is>
          <t>Sem comprovante</t>
        </is>
      </c>
      <c r="G730" s="15" t="inlineStr">
        <is>
          <t>Compra no débito - ARMAZEM GARAGEM BAR</t>
        </is>
      </c>
    </row>
    <row r="731">
      <c r="A731" s="15" t="inlineStr">
        <is>
          <t>Contas Variáveis</t>
        </is>
      </c>
      <c r="B731" s="15" t="inlineStr">
        <is>
          <t>Mercado</t>
        </is>
      </c>
      <c r="C731" s="16" t="n">
        <v>-147.56</v>
      </c>
      <c r="D731" s="17" t="n">
        <v>46158</v>
      </c>
      <c r="E731" s="15" t="inlineStr"/>
      <c r="F731" s="15" t="inlineStr">
        <is>
          <t>Sem comprovante</t>
        </is>
      </c>
      <c r="G731" s="15" t="inlineStr">
        <is>
          <t>Pagamento com QR Pix CONDOR SUPER CENTER LTDA</t>
        </is>
      </c>
    </row>
    <row r="732">
      <c r="A732" s="15" t="inlineStr">
        <is>
          <t>Contas Variáveis</t>
        </is>
      </c>
      <c r="B732" s="15" t="inlineStr">
        <is>
          <t>Mercado</t>
        </is>
      </c>
      <c r="C732" s="16" t="n">
        <v>-147.42</v>
      </c>
      <c r="D732" s="17" t="n">
        <v>46158</v>
      </c>
      <c r="E732" s="15" t="inlineStr"/>
      <c r="F732" s="15" t="inlineStr">
        <is>
          <t>Sem comprovante</t>
        </is>
      </c>
      <c r="G732" s="15" t="inlineStr">
        <is>
          <t>Pagamento com QR Pix WMS SUPERMERCADOS DO BRASIL LTDA</t>
        </is>
      </c>
    </row>
    <row r="733">
      <c r="A733" s="15" t="inlineStr">
        <is>
          <t>Contas Variáveis</t>
        </is>
      </c>
      <c r="B733" s="15" t="inlineStr">
        <is>
          <t>Compra no débito</t>
        </is>
      </c>
      <c r="C733" s="16" t="n">
        <v>-5</v>
      </c>
      <c r="D733" s="17" t="n">
        <v>46159</v>
      </c>
      <c r="E733" s="15" t="inlineStr"/>
      <c r="F733" s="15" t="inlineStr">
        <is>
          <t>Sem comprovante</t>
        </is>
      </c>
      <c r="G733" s="15" t="inlineStr">
        <is>
          <t>Compra no débito - LETTS BURGER AND BAR</t>
        </is>
      </c>
    </row>
    <row r="734">
      <c r="A734" s="15" t="inlineStr">
        <is>
          <t>Contas Variáveis</t>
        </is>
      </c>
      <c r="B734" s="15" t="inlineStr">
        <is>
          <t>Mercado</t>
        </is>
      </c>
      <c r="C734" s="16" t="n">
        <v>-39.33</v>
      </c>
      <c r="D734" s="17" t="n">
        <v>46161</v>
      </c>
      <c r="E734" s="15" t="inlineStr"/>
      <c r="F734" s="15" t="inlineStr">
        <is>
          <t>Sem comprovante</t>
        </is>
      </c>
      <c r="G734" s="15" t="inlineStr">
        <is>
          <t>Pagamento Mercado Livre</t>
        </is>
      </c>
    </row>
    <row r="735">
      <c r="A735" s="15" t="inlineStr">
        <is>
          <t>Contas Variáveis</t>
        </is>
      </c>
      <c r="B735" s="15" t="inlineStr">
        <is>
          <t>iFood</t>
        </is>
      </c>
      <c r="C735" s="16" t="n">
        <v>-100.06</v>
      </c>
      <c r="D735" s="17" t="n">
        <v>46161</v>
      </c>
      <c r="E735" s="15" t="inlineStr"/>
      <c r="F735" s="15" t="inlineStr">
        <is>
          <t>Sem comprovante</t>
        </is>
      </c>
      <c r="G735" s="15" t="inlineStr">
        <is>
          <t>Pagamento com QR Pix IFOOD.COM AGENCIA DE RESTAURANTES ONLINE S.A.</t>
        </is>
      </c>
    </row>
    <row r="736">
      <c r="A736" s="15" t="inlineStr">
        <is>
          <t>Contas Variáveis</t>
        </is>
      </c>
      <c r="B736" s="15" t="inlineStr">
        <is>
          <t>Farmácia</t>
        </is>
      </c>
      <c r="C736" s="16" t="n">
        <v>-25.98</v>
      </c>
      <c r="D736" s="17" t="n">
        <v>46163</v>
      </c>
      <c r="E736" s="15" t="inlineStr"/>
      <c r="F736" s="15" t="inlineStr">
        <is>
          <t>Sem comprovante</t>
        </is>
      </c>
      <c r="G736" s="15" t="inlineStr">
        <is>
          <t>Pagamento com QR Pix FARMACIA IRMAOS PAVESI LTDA</t>
        </is>
      </c>
    </row>
    <row r="737">
      <c r="A737" s="15" t="inlineStr">
        <is>
          <t>Contas Variáveis</t>
        </is>
      </c>
      <c r="B737" s="15" t="inlineStr">
        <is>
          <t>Compra no débito</t>
        </is>
      </c>
      <c r="C737" s="16" t="n">
        <v>-45</v>
      </c>
      <c r="D737" s="17" t="n">
        <v>46164</v>
      </c>
      <c r="E737" s="15" t="inlineStr"/>
      <c r="F737" s="15" t="inlineStr">
        <is>
          <t>Sem comprovante</t>
        </is>
      </c>
      <c r="G737" s="15" t="inlineStr">
        <is>
          <t>Compra no débito - ARMAZEM GARAGEM BAR</t>
        </is>
      </c>
    </row>
    <row r="738">
      <c r="A738" s="15" t="inlineStr">
        <is>
          <t>Contas Variáveis</t>
        </is>
      </c>
      <c r="B738" s="15" t="inlineStr">
        <is>
          <t>Compra no débito</t>
        </is>
      </c>
      <c r="C738" s="16" t="n">
        <v>-6</v>
      </c>
      <c r="D738" s="17" t="n">
        <v>46164</v>
      </c>
      <c r="E738" s="15" t="inlineStr"/>
      <c r="F738" s="15" t="inlineStr">
        <is>
          <t>Sem comprovante</t>
        </is>
      </c>
      <c r="G738" s="15" t="inlineStr">
        <is>
          <t>Compra no débito - ARMAZEM GARAGEM BAR</t>
        </is>
      </c>
    </row>
    <row r="739">
      <c r="A739" s="15" t="inlineStr">
        <is>
          <t>Contas Variáveis</t>
        </is>
      </c>
      <c r="B739" s="15" t="inlineStr">
        <is>
          <t>Compra no débito</t>
        </is>
      </c>
      <c r="C739" s="16" t="n">
        <v>-12</v>
      </c>
      <c r="D739" s="17" t="n">
        <v>46164</v>
      </c>
      <c r="E739" s="15" t="inlineStr"/>
      <c r="F739" s="15" t="inlineStr">
        <is>
          <t>Sem comprovante</t>
        </is>
      </c>
      <c r="G739" s="15" t="inlineStr">
        <is>
          <t>Compra no débito - ARMAZEM GARAGEM BAR</t>
        </is>
      </c>
    </row>
    <row r="740">
      <c r="A740" s="15" t="inlineStr">
        <is>
          <t>Contas Variáveis</t>
        </is>
      </c>
      <c r="B740" s="15" t="inlineStr">
        <is>
          <t>Compra no débito</t>
        </is>
      </c>
      <c r="C740" s="16" t="n">
        <v>-30.57</v>
      </c>
      <c r="D740" s="17" t="n">
        <v>46165</v>
      </c>
      <c r="E740" s="15" t="inlineStr"/>
      <c r="F740" s="15" t="inlineStr">
        <is>
          <t>Sem comprovante</t>
        </is>
      </c>
      <c r="G740" s="15" t="inlineStr">
        <is>
          <t>Compra no débito - ANTONIO VILSON MUCHOV</t>
        </is>
      </c>
    </row>
    <row r="741">
      <c r="A741" s="15" t="inlineStr">
        <is>
          <t>Contas Variáveis</t>
        </is>
      </c>
      <c r="B741" s="15" t="inlineStr">
        <is>
          <t>Compra no débito</t>
        </is>
      </c>
      <c r="C741" s="16" t="n">
        <v>-112</v>
      </c>
      <c r="D741" s="17" t="n">
        <v>46165</v>
      </c>
      <c r="E741" s="15" t="inlineStr"/>
      <c r="F741" s="15" t="inlineStr">
        <is>
          <t>Sem comprovante</t>
        </is>
      </c>
      <c r="G741" s="15" t="inlineStr">
        <is>
          <t>Compra no débito - CASA COMPRAS SAO BRAZ</t>
        </is>
      </c>
    </row>
    <row r="742">
      <c r="A742" s="15" t="inlineStr">
        <is>
          <t>Contas Variáveis</t>
        </is>
      </c>
      <c r="B742" s="15" t="inlineStr">
        <is>
          <t>Mercado</t>
        </is>
      </c>
      <c r="C742" s="16" t="n">
        <v>-15.49</v>
      </c>
      <c r="D742" s="17" t="n">
        <v>46165</v>
      </c>
      <c r="E742" s="15" t="inlineStr"/>
      <c r="F742" s="15" t="inlineStr">
        <is>
          <t>Sem comprovante</t>
        </is>
      </c>
      <c r="G742" s="15" t="inlineStr">
        <is>
          <t>Compra no débito - MINI MERCADO SAO BRAZ</t>
        </is>
      </c>
    </row>
    <row r="743">
      <c r="A743" s="15" t="inlineStr">
        <is>
          <t>Contas Variáveis</t>
        </is>
      </c>
      <c r="B743" s="15" t="inlineStr">
        <is>
          <t>Mercado</t>
        </is>
      </c>
      <c r="C743" s="16" t="n">
        <v>-83.97</v>
      </c>
      <c r="D743" s="17" t="n">
        <v>46165</v>
      </c>
      <c r="E743" s="15" t="inlineStr"/>
      <c r="F743" s="15" t="inlineStr">
        <is>
          <t>Sem comprovante</t>
        </is>
      </c>
      <c r="G743" s="15" t="inlineStr">
        <is>
          <t>Pagamento com QR Pix CIA BEAL DE ALIMENTOS</t>
        </is>
      </c>
    </row>
    <row r="744">
      <c r="A744" s="15" t="inlineStr">
        <is>
          <t>Contas Variáveis</t>
        </is>
      </c>
      <c r="B744" s="15" t="inlineStr">
        <is>
          <t>Mercado</t>
        </is>
      </c>
      <c r="C744" s="16" t="n">
        <v>-25.97</v>
      </c>
      <c r="D744" s="17" t="n">
        <v>46165</v>
      </c>
      <c r="E744" s="15" t="inlineStr"/>
      <c r="F744" s="15" t="inlineStr">
        <is>
          <t>Sem comprovante</t>
        </is>
      </c>
      <c r="G744" s="15" t="inlineStr">
        <is>
          <t>Pagamento com QR Pix CIA BEAL DE ALIMENTOS</t>
        </is>
      </c>
    </row>
    <row r="745">
      <c r="A745" s="15" t="inlineStr">
        <is>
          <t>Contas Variáveis</t>
        </is>
      </c>
      <c r="B745" s="15" t="inlineStr">
        <is>
          <t>iFood</t>
        </is>
      </c>
      <c r="C745" s="16" t="n">
        <v>-119.15</v>
      </c>
      <c r="D745" s="17" t="n">
        <v>46165</v>
      </c>
      <c r="E745" s="15" t="inlineStr"/>
      <c r="F745" s="15" t="inlineStr">
        <is>
          <t>Sem comprovante</t>
        </is>
      </c>
      <c r="G745" s="15" t="inlineStr">
        <is>
          <t>Pagamento com QR Pix IFOOD.COM AGENCIA DE RESTAURANTES ONLINE S.A.</t>
        </is>
      </c>
    </row>
    <row r="746">
      <c r="A746" s="15" t="inlineStr">
        <is>
          <t>Contas Variáveis</t>
        </is>
      </c>
      <c r="B746" s="15" t="inlineStr">
        <is>
          <t>Combustível</t>
        </is>
      </c>
      <c r="C746" s="16" t="n">
        <v>-117.98</v>
      </c>
      <c r="D746" s="17" t="n">
        <v>46165</v>
      </c>
      <c r="E746" s="15" t="inlineStr"/>
      <c r="F746" s="15" t="inlineStr">
        <is>
          <t>Sem comprovante</t>
        </is>
      </c>
      <c r="G746" s="15" t="inlineStr">
        <is>
          <t>Pagamento com QR Pix POSTO CANAL CAPITAL VERDE LTDA</t>
        </is>
      </c>
    </row>
    <row r="747">
      <c r="A747" s="15" t="inlineStr">
        <is>
          <t>Contas Variáveis</t>
        </is>
      </c>
      <c r="B747" s="15" t="inlineStr">
        <is>
          <t>Restaurante / Alimentação</t>
        </is>
      </c>
      <c r="C747" s="16" t="n">
        <v>-6.9</v>
      </c>
      <c r="D747" s="17" t="n">
        <v>46166</v>
      </c>
      <c r="E747" s="15" t="inlineStr"/>
      <c r="F747" s="15" t="inlineStr">
        <is>
          <t>Sem comprovante</t>
        </is>
      </c>
      <c r="G747" s="15" t="inlineStr">
        <is>
          <t>Compra no débito - SANTA FELICIDADE</t>
        </is>
      </c>
    </row>
    <row r="748">
      <c r="A748" s="15" t="inlineStr">
        <is>
          <t>Contas Variáveis</t>
        </is>
      </c>
      <c r="B748" s="15" t="inlineStr">
        <is>
          <t>iFood</t>
        </is>
      </c>
      <c r="C748" s="16" t="n">
        <v>-54.88</v>
      </c>
      <c r="D748" s="17" t="n">
        <v>46166</v>
      </c>
      <c r="E748" s="15" t="inlineStr"/>
      <c r="F748" s="15" t="inlineStr">
        <is>
          <t>Sem comprovante</t>
        </is>
      </c>
      <c r="G748" s="15" t="inlineStr">
        <is>
          <t>Pagamento com QR Pix IFOOD.COM AGENCIA DE RESTAURANTES ONLINE S.A.</t>
        </is>
      </c>
    </row>
    <row r="749">
      <c r="A749" s="15" t="inlineStr">
        <is>
          <t>Contas Variáveis</t>
        </is>
      </c>
      <c r="B749" s="15" t="inlineStr">
        <is>
          <t>Combustível</t>
        </is>
      </c>
      <c r="C749" s="16" t="n">
        <v>-107.99</v>
      </c>
      <c r="D749" s="17" t="n">
        <v>46168</v>
      </c>
      <c r="E749" s="15" t="inlineStr"/>
      <c r="F749" s="15" t="inlineStr">
        <is>
          <t>Sem comprovante</t>
        </is>
      </c>
      <c r="G749" s="15" t="inlineStr">
        <is>
          <t>Compra no débito - AMP* POSTO DE SERVICOS</t>
        </is>
      </c>
    </row>
    <row r="750">
      <c r="A750" s="15" t="inlineStr">
        <is>
          <t>Contas Variáveis</t>
        </is>
      </c>
      <c r="B750" s="15" t="inlineStr">
        <is>
          <t>Compras Diversas</t>
        </is>
      </c>
      <c r="C750" s="16" t="n">
        <v>-50.98</v>
      </c>
      <c r="D750" s="17" t="n">
        <v>46169</v>
      </c>
      <c r="E750" s="15" t="inlineStr"/>
      <c r="F750" s="15" t="inlineStr">
        <is>
          <t>Sem comprovante</t>
        </is>
      </c>
      <c r="G750" s="15" t="inlineStr">
        <is>
          <t>Compra no débito - TOALDO TULIO 65</t>
        </is>
      </c>
    </row>
    <row r="751">
      <c r="A751" s="15" t="inlineStr">
        <is>
          <t>Contas Variáveis</t>
        </is>
      </c>
      <c r="B751" s="15" t="inlineStr">
        <is>
          <t>Combustível</t>
        </is>
      </c>
      <c r="C751" s="16" t="n">
        <v>-150.08</v>
      </c>
      <c r="D751" s="17" t="n">
        <v>46170</v>
      </c>
      <c r="E751" s="15" t="inlineStr"/>
      <c r="F751" s="15" t="inlineStr">
        <is>
          <t>Sem comprovante</t>
        </is>
      </c>
      <c r="G751" s="15" t="inlineStr">
        <is>
          <t>Compra no débito - POSTO FAROL DO PARQUE</t>
        </is>
      </c>
    </row>
    <row r="752">
      <c r="A752" s="15" t="inlineStr">
        <is>
          <t>Contas Variáveis</t>
        </is>
      </c>
      <c r="B752" s="15" t="inlineStr">
        <is>
          <t>Combustível</t>
        </is>
      </c>
      <c r="C752" s="16" t="n">
        <v>-8.5</v>
      </c>
      <c r="D752" s="17" t="n">
        <v>46170</v>
      </c>
      <c r="E752" s="15" t="inlineStr"/>
      <c r="F752" s="15" t="inlineStr">
        <is>
          <t>Sem comprovante</t>
        </is>
      </c>
      <c r="G752" s="15" t="inlineStr">
        <is>
          <t>Compra no débito - POSTO PETROPARK</t>
        </is>
      </c>
    </row>
    <row r="753">
      <c r="A753" s="15" t="inlineStr">
        <is>
          <t>Contas Variáveis</t>
        </is>
      </c>
      <c r="B753" s="15" t="inlineStr">
        <is>
          <t>Combustível</t>
        </is>
      </c>
      <c r="C753" s="16" t="n">
        <v>-8</v>
      </c>
      <c r="D753" s="17" t="n">
        <v>46170</v>
      </c>
      <c r="E753" s="15" t="inlineStr"/>
      <c r="F753" s="15" t="inlineStr">
        <is>
          <t>Sem comprovante</t>
        </is>
      </c>
      <c r="G753" s="15" t="inlineStr">
        <is>
          <t>Compra no débito - POSTO PORTAL MARECHAL</t>
        </is>
      </c>
    </row>
    <row r="754">
      <c r="A754" s="15" t="inlineStr">
        <is>
          <t>Contas Variáveis</t>
        </is>
      </c>
      <c r="B754" s="15" t="inlineStr">
        <is>
          <t>Compra no débito</t>
        </is>
      </c>
      <c r="C754" s="16" t="n">
        <v>-50.67</v>
      </c>
      <c r="D754" s="17" t="n">
        <v>46170</v>
      </c>
      <c r="E754" s="15" t="inlineStr"/>
      <c r="F754" s="15" t="inlineStr">
        <is>
          <t>Sem comprovante</t>
        </is>
      </c>
      <c r="G754" s="15" t="inlineStr">
        <is>
          <t>Compra no débito - PadariaE</t>
        </is>
      </c>
    </row>
    <row r="755">
      <c r="A755" s="15" t="inlineStr">
        <is>
          <t>Contas Variáveis</t>
        </is>
      </c>
      <c r="B755" s="15" t="inlineStr">
        <is>
          <t>Compras Diversas</t>
        </is>
      </c>
      <c r="C755" s="16" t="n">
        <v>-33.97</v>
      </c>
      <c r="D755" s="17" t="n">
        <v>46170</v>
      </c>
      <c r="E755" s="15" t="inlineStr"/>
      <c r="F755" s="15" t="inlineStr">
        <is>
          <t>Sem comprovante</t>
        </is>
      </c>
      <c r="G755" s="15" t="inlineStr">
        <is>
          <t>Compra no débito - TOALDO TULIO 65</t>
        </is>
      </c>
    </row>
    <row r="756">
      <c r="A756" s="15" t="inlineStr">
        <is>
          <t>Contas Variáveis</t>
        </is>
      </c>
      <c r="B756" s="15" t="inlineStr">
        <is>
          <t>Compra no débito</t>
        </is>
      </c>
      <c r="C756" s="16" t="n">
        <v>-23.98</v>
      </c>
      <c r="D756" s="17" t="n">
        <v>46170</v>
      </c>
      <c r="E756" s="15" t="inlineStr"/>
      <c r="F756" s="15" t="inlineStr">
        <is>
          <t>Sem comprovante</t>
        </is>
      </c>
      <c r="G756" s="15" t="inlineStr">
        <is>
          <t>Compra no débito via NuPay - Uber</t>
        </is>
      </c>
    </row>
    <row r="757">
      <c r="A757" s="15" t="inlineStr">
        <is>
          <t>Contas Variáveis</t>
        </is>
      </c>
      <c r="B757" s="15" t="inlineStr">
        <is>
          <t>Mercado</t>
        </is>
      </c>
      <c r="C757" s="16" t="n">
        <v>-24.99</v>
      </c>
      <c r="D757" s="17" t="n">
        <v>46170</v>
      </c>
      <c r="E757" s="15" t="inlineStr"/>
      <c r="F757" s="15" t="inlineStr">
        <is>
          <t>Sem comprovante</t>
        </is>
      </c>
      <c r="G757" s="15" t="inlineStr">
        <is>
          <t>Pagamento Mercado Livre</t>
        </is>
      </c>
    </row>
    <row r="758">
      <c r="A758" s="15" t="inlineStr">
        <is>
          <t>Contas Variáveis</t>
        </is>
      </c>
      <c r="B758" s="15" t="inlineStr">
        <is>
          <t>Mercado</t>
        </is>
      </c>
      <c r="C758" s="16" t="n">
        <v>-94.90000000000001</v>
      </c>
      <c r="D758" s="17" t="n">
        <v>46170</v>
      </c>
      <c r="E758" s="15" t="inlineStr"/>
      <c r="F758" s="15" t="inlineStr">
        <is>
          <t>Sem comprovante</t>
        </is>
      </c>
      <c r="G758" s="15" t="inlineStr">
        <is>
          <t>Pagamento Mercado Livre</t>
        </is>
      </c>
    </row>
    <row r="759">
      <c r="A759" s="15" t="inlineStr">
        <is>
          <t>Contas Variáveis</t>
        </is>
      </c>
      <c r="B759" s="15" t="inlineStr">
        <is>
          <t>Compra no débito</t>
        </is>
      </c>
      <c r="C759" s="16" t="n">
        <v>-49</v>
      </c>
      <c r="D759" s="17" t="n">
        <v>46171</v>
      </c>
      <c r="E759" s="15" t="inlineStr"/>
      <c r="F759" s="15" t="inlineStr">
        <is>
          <t>Sem comprovante</t>
        </is>
      </c>
      <c r="G759" s="15" t="inlineStr">
        <is>
          <t>Compra no débito - CASA COMPRAS SAO BRAZ</t>
        </is>
      </c>
    </row>
    <row r="760">
      <c r="A760" s="15" t="inlineStr">
        <is>
          <t>Contas Variáveis</t>
        </is>
      </c>
      <c r="B760" s="15" t="inlineStr">
        <is>
          <t>iFood</t>
        </is>
      </c>
      <c r="C760" s="16" t="n">
        <v>-34.97</v>
      </c>
      <c r="D760" s="17" t="n">
        <v>46171</v>
      </c>
      <c r="E760" s="15" t="inlineStr"/>
      <c r="F760" s="15" t="inlineStr">
        <is>
          <t>Sem comprovante</t>
        </is>
      </c>
      <c r="G760" s="15" t="inlineStr">
        <is>
          <t>Pagamento com QR Pix IFOOD.COM AGENCIA DE RESTAURANTES ONLINE S.A.</t>
        </is>
      </c>
    </row>
    <row r="761">
      <c r="A761" s="15" t="inlineStr">
        <is>
          <t>Contas Variáveis</t>
        </is>
      </c>
      <c r="B761" s="15" t="inlineStr">
        <is>
          <t>Compra no débito</t>
        </is>
      </c>
      <c r="C761" s="16" t="n">
        <v>-39</v>
      </c>
      <c r="D761" s="17" t="n">
        <v>46172</v>
      </c>
      <c r="E761" s="15" t="inlineStr"/>
      <c r="F761" s="15" t="inlineStr">
        <is>
          <t>Sem comprovante</t>
        </is>
      </c>
      <c r="G761" s="15" t="inlineStr">
        <is>
          <t>Compra no débito - CASA DE PAO BETHELEM L</t>
        </is>
      </c>
    </row>
    <row r="762">
      <c r="A762" s="15" t="inlineStr">
        <is>
          <t>Contas Variáveis</t>
        </is>
      </c>
      <c r="B762" s="15" t="inlineStr">
        <is>
          <t>Compra no débito</t>
        </is>
      </c>
      <c r="C762" s="16" t="n">
        <v>-20</v>
      </c>
      <c r="D762" s="17" t="n">
        <v>46172</v>
      </c>
      <c r="E762" s="15" t="inlineStr"/>
      <c r="F762" s="15" t="inlineStr">
        <is>
          <t>Sem comprovante</t>
        </is>
      </c>
      <c r="G762" s="15" t="inlineStr">
        <is>
          <t>Compra no débito - CASA DE PAO BETHELEM L</t>
        </is>
      </c>
    </row>
    <row r="763">
      <c r="A763" s="15" t="inlineStr">
        <is>
          <t>Contas Variáveis</t>
        </is>
      </c>
      <c r="B763" s="15" t="inlineStr">
        <is>
          <t>Compra no débito</t>
        </is>
      </c>
      <c r="C763" s="16" t="n">
        <v>-50</v>
      </c>
      <c r="D763" s="17" t="n">
        <v>46172</v>
      </c>
      <c r="E763" s="15" t="inlineStr"/>
      <c r="F763" s="15" t="inlineStr">
        <is>
          <t>Sem comprovante</t>
        </is>
      </c>
      <c r="G763" s="15" t="inlineStr">
        <is>
          <t>Compra no débito - MP *INGRESSO</t>
        </is>
      </c>
    </row>
    <row r="764">
      <c r="A764" s="15" t="inlineStr">
        <is>
          <t>Contas Variáveis</t>
        </is>
      </c>
      <c r="B764" s="15" t="inlineStr">
        <is>
          <t>Compra no débito</t>
        </is>
      </c>
      <c r="C764" s="16" t="n">
        <v>-5.7</v>
      </c>
      <c r="D764" s="17" t="n">
        <v>46172</v>
      </c>
      <c r="E764" s="15" t="inlineStr"/>
      <c r="F764" s="15" t="inlineStr">
        <is>
          <t>Sem comprovante</t>
        </is>
      </c>
      <c r="G764" s="15" t="inlineStr">
        <is>
          <t>Compra no débito - PISTA 1</t>
        </is>
      </c>
    </row>
    <row r="765">
      <c r="A765" s="15" t="inlineStr">
        <is>
          <t>Contas Variáveis</t>
        </is>
      </c>
      <c r="B765" s="15" t="inlineStr">
        <is>
          <t>Compra no débito</t>
        </is>
      </c>
      <c r="C765" s="16" t="n">
        <v>-2.85</v>
      </c>
      <c r="D765" s="17" t="n">
        <v>46172</v>
      </c>
      <c r="E765" s="15" t="inlineStr"/>
      <c r="F765" s="15" t="inlineStr">
        <is>
          <t>Sem comprovante</t>
        </is>
      </c>
      <c r="G765" s="15" t="inlineStr">
        <is>
          <t>Compra no débito - PISTA 2</t>
        </is>
      </c>
    </row>
    <row r="766">
      <c r="A766" s="15" t="inlineStr">
        <is>
          <t>Contas Variáveis</t>
        </is>
      </c>
      <c r="B766" s="15" t="inlineStr">
        <is>
          <t>Compra no débito</t>
        </is>
      </c>
      <c r="C766" s="16" t="n">
        <v>-2.85</v>
      </c>
      <c r="D766" s="17" t="n">
        <v>46172</v>
      </c>
      <c r="E766" s="15" t="inlineStr"/>
      <c r="F766" s="15" t="inlineStr">
        <is>
          <t>Sem comprovante</t>
        </is>
      </c>
      <c r="G766" s="15" t="inlineStr">
        <is>
          <t>Compra no débito - PISTA 3</t>
        </is>
      </c>
    </row>
    <row r="767">
      <c r="A767" s="15" t="inlineStr">
        <is>
          <t>Contas Variáveis</t>
        </is>
      </c>
      <c r="B767" s="15" t="inlineStr">
        <is>
          <t>Farmácia</t>
        </is>
      </c>
      <c r="C767" s="16" t="n">
        <v>-50.47</v>
      </c>
      <c r="D767" s="17" t="n">
        <v>46172</v>
      </c>
      <c r="E767" s="15" t="inlineStr"/>
      <c r="F767" s="15" t="inlineStr">
        <is>
          <t>Sem comprovante</t>
        </is>
      </c>
      <c r="G767" s="15" t="inlineStr">
        <is>
          <t>Compra no débito - RAIA373</t>
        </is>
      </c>
    </row>
    <row r="768">
      <c r="A768" s="15" t="inlineStr">
        <is>
          <t>Contas Variáveis</t>
        </is>
      </c>
      <c r="B768" s="15" t="inlineStr">
        <is>
          <t>Compra no débito</t>
        </is>
      </c>
      <c r="C768" s="16" t="n">
        <v>-32</v>
      </c>
      <c r="D768" s="17" t="n">
        <v>46172</v>
      </c>
      <c r="E768" s="15" t="inlineStr"/>
      <c r="F768" s="15" t="inlineStr">
        <is>
          <t>Sem comprovante</t>
        </is>
      </c>
      <c r="G768" s="15" t="inlineStr">
        <is>
          <t>Compra no débito - Ticketmais</t>
        </is>
      </c>
    </row>
    <row r="769">
      <c r="A769" s="15" t="inlineStr">
        <is>
          <t>Contas Variáveis</t>
        </is>
      </c>
      <c r="B769" s="15" t="inlineStr">
        <is>
          <t>Compra no débito</t>
        </is>
      </c>
      <c r="C769" s="16" t="n">
        <v>-6</v>
      </c>
      <c r="D769" s="17" t="n">
        <v>46172</v>
      </c>
      <c r="E769" s="15" t="inlineStr"/>
      <c r="F769" s="15" t="inlineStr">
        <is>
          <t>Sem comprovante</t>
        </is>
      </c>
      <c r="G769" s="15" t="inlineStr">
        <is>
          <t>Compra no débito - Ticketmais</t>
        </is>
      </c>
    </row>
    <row r="770">
      <c r="A770" s="15" t="inlineStr">
        <is>
          <t>Contas Variáveis</t>
        </is>
      </c>
      <c r="B770" s="15" t="inlineStr">
        <is>
          <t>Compra no débito</t>
        </is>
      </c>
      <c r="C770" s="16" t="n">
        <v>-10</v>
      </c>
      <c r="D770" s="17" t="n">
        <v>46172</v>
      </c>
      <c r="E770" s="15" t="inlineStr"/>
      <c r="F770" s="15" t="inlineStr">
        <is>
          <t>Sem comprovante</t>
        </is>
      </c>
      <c r="G770" s="15" t="inlineStr">
        <is>
          <t>Compra no débito - Ticketmais</t>
        </is>
      </c>
    </row>
    <row r="771">
      <c r="A771" s="15" t="inlineStr">
        <is>
          <t>Contas Variáveis</t>
        </is>
      </c>
      <c r="B771" s="15" t="inlineStr">
        <is>
          <t>Compra no débito</t>
        </is>
      </c>
      <c r="C771" s="16" t="n">
        <v>-16</v>
      </c>
      <c r="D771" s="17" t="n">
        <v>46172</v>
      </c>
      <c r="E771" s="15" t="inlineStr"/>
      <c r="F771" s="15" t="inlineStr">
        <is>
          <t>Sem comprovante</t>
        </is>
      </c>
      <c r="G771" s="15" t="inlineStr">
        <is>
          <t>Compra no débito - Ticketmais</t>
        </is>
      </c>
    </row>
    <row r="772">
      <c r="A772" s="15" t="inlineStr">
        <is>
          <t>Contas Variáveis</t>
        </is>
      </c>
      <c r="B772" s="15" t="inlineStr">
        <is>
          <t>Mercado</t>
        </is>
      </c>
      <c r="C772" s="16" t="n">
        <v>-79.97</v>
      </c>
      <c r="D772" s="17" t="n">
        <v>46172</v>
      </c>
      <c r="E772" s="15" t="inlineStr"/>
      <c r="F772" s="15" t="inlineStr">
        <is>
          <t>Sem comprovante</t>
        </is>
      </c>
      <c r="G772" s="15" t="inlineStr">
        <is>
          <t>Pagamento Mercado Livre</t>
        </is>
      </c>
    </row>
    <row r="773">
      <c r="A773" s="15" t="inlineStr">
        <is>
          <t>Contas Variáveis</t>
        </is>
      </c>
      <c r="B773" s="15" t="inlineStr">
        <is>
          <t>Compras Diversas</t>
        </is>
      </c>
      <c r="C773" s="16" t="n">
        <v>-9.5</v>
      </c>
      <c r="D773" s="17" t="n">
        <v>46173</v>
      </c>
      <c r="E773" s="15" t="inlineStr"/>
      <c r="F773" s="15" t="inlineStr">
        <is>
          <t>Sem comprovante</t>
        </is>
      </c>
      <c r="G773" s="15" t="inlineStr">
        <is>
          <t>Compra no débito - CANAL TERRA</t>
        </is>
      </c>
    </row>
    <row r="774">
      <c r="A774" s="15" t="inlineStr">
        <is>
          <t>Contas Variáveis</t>
        </is>
      </c>
      <c r="B774" s="15" t="inlineStr">
        <is>
          <t>Compra no débito</t>
        </is>
      </c>
      <c r="C774" s="16" t="n">
        <v>-2.85</v>
      </c>
      <c r="D774" s="17" t="n">
        <v>46173</v>
      </c>
      <c r="E774" s="15" t="inlineStr"/>
      <c r="F774" s="15" t="inlineStr">
        <is>
          <t>Sem comprovante</t>
        </is>
      </c>
      <c r="G774" s="15" t="inlineStr">
        <is>
          <t>Compra no débito - PISTA 1</t>
        </is>
      </c>
    </row>
    <row r="775">
      <c r="A775" s="15" t="inlineStr">
        <is>
          <t>Contas Variáveis</t>
        </is>
      </c>
      <c r="B775" s="15" t="inlineStr">
        <is>
          <t>Compra no débito</t>
        </is>
      </c>
      <c r="C775" s="16" t="n">
        <v>-2.85</v>
      </c>
      <c r="D775" s="17" t="n">
        <v>46173</v>
      </c>
      <c r="E775" s="15" t="inlineStr"/>
      <c r="F775" s="15" t="inlineStr">
        <is>
          <t>Sem comprovante</t>
        </is>
      </c>
      <c r="G775" s="15" t="inlineStr">
        <is>
          <t>Compra no débito - PISTA 2</t>
        </is>
      </c>
    </row>
    <row r="776">
      <c r="A776" s="15" t="inlineStr">
        <is>
          <t>Contas Variáveis</t>
        </is>
      </c>
      <c r="B776" s="15" t="inlineStr">
        <is>
          <t>Compras Diversas</t>
        </is>
      </c>
      <c r="C776" s="16" t="n">
        <v>-30.97</v>
      </c>
      <c r="D776" s="17" t="n">
        <v>46173</v>
      </c>
      <c r="E776" s="15" t="inlineStr"/>
      <c r="F776" s="15" t="inlineStr">
        <is>
          <t>Sem comprovante</t>
        </is>
      </c>
      <c r="G776" s="15" t="inlineStr">
        <is>
          <t>Compra no débito - TOALDO TULIO 65</t>
        </is>
      </c>
    </row>
    <row r="777">
      <c r="A777" s="15" t="inlineStr">
        <is>
          <t>Contas Variáveis</t>
        </is>
      </c>
      <c r="B777" s="15" t="inlineStr">
        <is>
          <t>iFood</t>
        </is>
      </c>
      <c r="C777" s="16" t="n">
        <v>-58.34</v>
      </c>
      <c r="D777" s="17" t="n">
        <v>46173</v>
      </c>
      <c r="E777" s="15" t="inlineStr"/>
      <c r="F777" s="15" t="inlineStr">
        <is>
          <t>Sem comprovante</t>
        </is>
      </c>
      <c r="G777" s="15" t="inlineStr">
        <is>
          <t>Pagamento com QR Pix IFOOD.COM AGENCIA DE RESTAURANTES ONLINE S.A.</t>
        </is>
      </c>
    </row>
    <row r="778">
      <c r="A778" s="18" t="inlineStr">
        <is>
          <t>Subtotal Contas Variáveis</t>
        </is>
      </c>
      <c r="B778" s="19" t="n"/>
      <c r="C778" s="20">
        <f>SUM(C712:C777)</f>
        <v/>
      </c>
      <c r="D778" s="19" t="n"/>
      <c r="E778" s="19" t="n"/>
      <c r="F778" s="19" t="n"/>
      <c r="G778" s="19" t="n"/>
    </row>
    <row r="779">
      <c r="A779" s="12" t="inlineStr">
        <is>
          <t>Pessoal</t>
        </is>
      </c>
      <c r="B779" s="23" t="n"/>
      <c r="C779" s="23" t="n"/>
      <c r="D779" s="23" t="n"/>
      <c r="E779" s="23" t="n"/>
      <c r="F779" s="23" t="n"/>
      <c r="G779" s="23" t="n"/>
    </row>
    <row r="780">
      <c r="A780" s="15" t="inlineStr">
        <is>
          <t>Pessoal</t>
        </is>
      </c>
      <c r="B780" s="15" t="inlineStr">
        <is>
          <t>Bruno Luiz (familiar)</t>
        </is>
      </c>
      <c r="C780" s="16" t="n">
        <v>-200</v>
      </c>
      <c r="D780" s="17" t="n">
        <v>46143</v>
      </c>
      <c r="E780" s="15" t="inlineStr"/>
      <c r="F780" s="15" t="inlineStr">
        <is>
          <t>Sem comprovante</t>
        </is>
      </c>
      <c r="G780" s="15" t="inlineStr">
        <is>
          <t>Transferência enviada pelo Pix - BRUNO LUIZ SASTRE SEUS JUNIOR - •••.516.739-•• - BCO BRADESCO S.A. (0237) Agência: 3925 Conta: 165900-6</t>
        </is>
      </c>
    </row>
    <row r="781">
      <c r="A781" s="15" t="inlineStr">
        <is>
          <t>Pessoal</t>
        </is>
      </c>
      <c r="B781" s="15" t="inlineStr">
        <is>
          <t>Eliane</t>
        </is>
      </c>
      <c r="C781" s="16" t="n">
        <v>-1500</v>
      </c>
      <c r="D781" s="17" t="n">
        <v>46147</v>
      </c>
      <c r="E781" s="15" t="inlineStr"/>
      <c r="F781" s="15" t="inlineStr">
        <is>
          <t>Sem comprovante</t>
        </is>
      </c>
      <c r="G781" s="15" t="inlineStr">
        <is>
          <t>Pix enviado Eliane do Rocio de Lima</t>
        </is>
      </c>
    </row>
    <row r="782">
      <c r="A782" s="15" t="inlineStr">
        <is>
          <t>Pessoal</t>
        </is>
      </c>
      <c r="B782" s="15" t="inlineStr">
        <is>
          <t>Bruno Luiz (familiar)</t>
        </is>
      </c>
      <c r="C782" s="16" t="n">
        <v>-370</v>
      </c>
      <c r="D782" s="17" t="n">
        <v>46149</v>
      </c>
      <c r="E782" s="15" t="inlineStr"/>
      <c r="F782" s="15" t="inlineStr">
        <is>
          <t>Sem comprovante</t>
        </is>
      </c>
      <c r="G782" s="15" t="inlineStr">
        <is>
          <t>Transferência enviada pelo Pix - BRUNO LUIZ SASTRE SEUS JUNIOR - •••.516.739-•• - BCO BRADESCO S.A. (0237) Agência: 3925 Conta: 165900-6</t>
        </is>
      </c>
    </row>
    <row r="783">
      <c r="A783" s="15" t="inlineStr">
        <is>
          <t>Pessoal</t>
        </is>
      </c>
      <c r="B783" s="15" t="inlineStr">
        <is>
          <t>Marco</t>
        </is>
      </c>
      <c r="C783" s="16" t="n">
        <v>-604.77</v>
      </c>
      <c r="D783" s="17" t="n">
        <v>46150</v>
      </c>
      <c r="E783" s="15" t="inlineStr">
        <is>
          <t>Marco/00000101-PHOTO-2026-05-08-11-11-21.jpg</t>
        </is>
      </c>
      <c r="F783" s="15" t="inlineStr">
        <is>
          <t>Pago</t>
        </is>
      </c>
      <c r="G783" s="15" t="inlineStr">
        <is>
          <t>Pix enviado Marco Aurelio de Moura Leite</t>
        </is>
      </c>
    </row>
    <row r="784">
      <c r="A784" s="15" t="inlineStr">
        <is>
          <t>Pessoal</t>
        </is>
      </c>
      <c r="B784" s="15" t="inlineStr">
        <is>
          <t>Marco</t>
        </is>
      </c>
      <c r="C784" s="16" t="n">
        <v>-1335.04</v>
      </c>
      <c r="D784" s="17" t="n">
        <v>46157</v>
      </c>
      <c r="E784" s="15" t="inlineStr"/>
      <c r="F784" s="15" t="inlineStr">
        <is>
          <t>Sem comprovante</t>
        </is>
      </c>
      <c r="G784" s="15" t="inlineStr">
        <is>
          <t>Pix enviado Marco Aurelio de Moura Leite</t>
        </is>
      </c>
    </row>
    <row r="785">
      <c r="A785" s="15" t="inlineStr">
        <is>
          <t>Pessoal</t>
        </is>
      </c>
      <c r="B785" s="15" t="inlineStr">
        <is>
          <t>Bruno Luiz (familiar)</t>
        </is>
      </c>
      <c r="C785" s="16" t="n">
        <v>-150</v>
      </c>
      <c r="D785" s="17" t="n">
        <v>46157</v>
      </c>
      <c r="E785" s="15" t="inlineStr"/>
      <c r="F785" s="15" t="inlineStr">
        <is>
          <t>Sem comprovante</t>
        </is>
      </c>
      <c r="G785" s="15" t="inlineStr">
        <is>
          <t>Transferência enviada pelo Pix - BRUNO LUIZ SASTRE SEUS JUNIOR - •••.516.739-•• - BCO BRADESCO S.A. (0237) Agência: 3925 Conta: 165900-6</t>
        </is>
      </c>
    </row>
    <row r="786">
      <c r="A786" s="15" t="inlineStr">
        <is>
          <t>Pessoal</t>
        </is>
      </c>
      <c r="B786" s="15" t="inlineStr">
        <is>
          <t>Marco</t>
        </is>
      </c>
      <c r="C786" s="16" t="n">
        <v>-1385</v>
      </c>
      <c r="D786" s="17" t="n">
        <v>46163</v>
      </c>
      <c r="E786" s="15" t="inlineStr">
        <is>
          <t>Marco/00000102-PHOTO-2026-05-21-17-36-44.jpg</t>
        </is>
      </c>
      <c r="F786" s="15" t="inlineStr">
        <is>
          <t>Pago</t>
        </is>
      </c>
      <c r="G786" s="15" t="inlineStr">
        <is>
          <t>Pix enviado Marco Aurelio de Moura Leite</t>
        </is>
      </c>
    </row>
    <row r="787">
      <c r="A787" s="15" t="inlineStr">
        <is>
          <t>Pessoal</t>
        </is>
      </c>
      <c r="B787" s="15" t="inlineStr">
        <is>
          <t>Bruno Luiz (familiar)</t>
        </is>
      </c>
      <c r="C787" s="16" t="n">
        <v>-130</v>
      </c>
      <c r="D787" s="17" t="n">
        <v>46163</v>
      </c>
      <c r="E787" s="15" t="inlineStr"/>
      <c r="F787" s="15" t="inlineStr">
        <is>
          <t>Sem comprovante</t>
        </is>
      </c>
      <c r="G787" s="15" t="inlineStr">
        <is>
          <t>Transferência enviada pelo Pix - Bruno Luiz Sastre Seus Junior - •••.516.739-•• - BCO BRADESCO S.A. (0237) Agência: 3925 Conta: 165900-6</t>
        </is>
      </c>
    </row>
    <row r="788">
      <c r="A788" s="15" t="inlineStr">
        <is>
          <t>Pessoal</t>
        </is>
      </c>
      <c r="B788" s="15" t="inlineStr">
        <is>
          <t>Neemias</t>
        </is>
      </c>
      <c r="C788" s="16" t="n">
        <v>-500</v>
      </c>
      <c r="D788" s="17" t="n">
        <v>46169</v>
      </c>
      <c r="E788" s="15" t="inlineStr"/>
      <c r="F788" s="15" t="inlineStr">
        <is>
          <t>Sem comprovante</t>
        </is>
      </c>
      <c r="G788" s="15" t="inlineStr">
        <is>
          <t>Pix enviado Neemias Marques de Oliveira</t>
        </is>
      </c>
    </row>
    <row r="789">
      <c r="A789" s="15" t="inlineStr">
        <is>
          <t>Pessoal</t>
        </is>
      </c>
      <c r="B789" s="15" t="inlineStr">
        <is>
          <t>Marco</t>
        </is>
      </c>
      <c r="C789" s="16" t="n">
        <v>-823.05</v>
      </c>
      <c r="D789" s="17" t="n">
        <v>46171</v>
      </c>
      <c r="E789" s="15" t="inlineStr"/>
      <c r="F789" s="15" t="inlineStr">
        <is>
          <t>Sem comprovante</t>
        </is>
      </c>
      <c r="G789" s="15" t="inlineStr">
        <is>
          <t>Pix enviado Marco Aurelio de Moura Leite</t>
        </is>
      </c>
    </row>
    <row r="790">
      <c r="A790" s="15" t="inlineStr">
        <is>
          <t>Pessoal</t>
        </is>
      </c>
      <c r="B790" s="15" t="inlineStr">
        <is>
          <t>Bruno Luiz (familiar)</t>
        </is>
      </c>
      <c r="C790" s="16" t="n">
        <v>-130</v>
      </c>
      <c r="D790" s="17" t="n">
        <v>46171</v>
      </c>
      <c r="E790" s="15" t="inlineStr"/>
      <c r="F790" s="15" t="inlineStr">
        <is>
          <t>Sem comprovante</t>
        </is>
      </c>
      <c r="G790" s="15" t="inlineStr">
        <is>
          <t>Transferência enviada pelo Pix - Bruno Luiz Sastre Seus Junior - •••.516.739-•• - BCO BRADESCO S.A. (0237) Agência: 3925 Conta: 165900-6</t>
        </is>
      </c>
    </row>
    <row r="791">
      <c r="A791" s="15" t="inlineStr">
        <is>
          <t>Pessoal</t>
        </is>
      </c>
      <c r="B791" s="15" t="inlineStr">
        <is>
          <t>Simone (Casa)</t>
        </is>
      </c>
      <c r="C791" s="16" t="n">
        <v>-250</v>
      </c>
      <c r="D791" s="17" t="n">
        <v>46173</v>
      </c>
      <c r="E791" s="15" t="inlineStr"/>
      <c r="F791" s="15" t="inlineStr">
        <is>
          <t>Sem comprovante</t>
        </is>
      </c>
      <c r="G791" s="15" t="inlineStr">
        <is>
          <t>Pix enviado Simone Muniz Martins de Moura</t>
        </is>
      </c>
    </row>
    <row r="792">
      <c r="A792" s="18" t="inlineStr">
        <is>
          <t>Subtotal Pessoal</t>
        </is>
      </c>
      <c r="B792" s="19" t="n"/>
      <c r="C792" s="20">
        <f>SUM(C780:C791)</f>
        <v/>
      </c>
      <c r="D792" s="19" t="n"/>
      <c r="E792" s="19" t="n"/>
      <c r="F792" s="19" t="n"/>
      <c r="G792" s="19" t="n"/>
    </row>
    <row r="793">
      <c r="A793" s="12" t="inlineStr">
        <is>
          <t>Outros</t>
        </is>
      </c>
      <c r="B793" s="23" t="n"/>
      <c r="C793" s="23" t="n"/>
      <c r="D793" s="23" t="n"/>
      <c r="E793" s="23" t="n"/>
      <c r="F793" s="23" t="n"/>
      <c r="G793" s="23" t="n"/>
    </row>
    <row r="794">
      <c r="A794" s="15" t="inlineStr">
        <is>
          <t>Outros</t>
        </is>
      </c>
      <c r="B794" s="15" t="inlineStr">
        <is>
          <t>Pagamento Cartão Nubank</t>
        </is>
      </c>
      <c r="C794" s="16" t="n">
        <v>-2516.57</v>
      </c>
      <c r="D794" s="17" t="n">
        <v>46144</v>
      </c>
      <c r="E794" s="15" t="inlineStr"/>
      <c r="F794" s="15" t="inlineStr">
        <is>
          <t>Sem comprovante</t>
        </is>
      </c>
      <c r="G794" s="15" t="inlineStr">
        <is>
          <t>Pagamento com QR Pix NU PAGAMENTOS SA</t>
        </is>
      </c>
    </row>
    <row r="795">
      <c r="A795" s="15" t="inlineStr">
        <is>
          <t>Outros</t>
        </is>
      </c>
      <c r="B795" s="15" t="inlineStr">
        <is>
          <t>Pagamento Caixa</t>
        </is>
      </c>
      <c r="C795" s="16" t="n">
        <v>-2341.29</v>
      </c>
      <c r="D795" s="17" t="n">
        <v>46146</v>
      </c>
      <c r="E795" s="15" t="inlineStr"/>
      <c r="F795" s="15" t="inlineStr">
        <is>
          <t>Sem comprovante</t>
        </is>
      </c>
      <c r="G795" s="15" t="inlineStr">
        <is>
          <t>Pagamento de conta Caixa Econômica Federal</t>
        </is>
      </c>
    </row>
    <row r="796">
      <c r="A796" s="15" t="inlineStr">
        <is>
          <t>Outros</t>
        </is>
      </c>
      <c r="B796" s="15" t="inlineStr">
        <is>
          <t>Pagar.me (boleto)</t>
        </is>
      </c>
      <c r="C796" s="16" t="n">
        <v>-109.9</v>
      </c>
      <c r="D796" s="17" t="n">
        <v>46147</v>
      </c>
      <c r="E796" s="15" t="inlineStr"/>
      <c r="F796" s="15" t="inlineStr">
        <is>
          <t>Sem comprovante</t>
        </is>
      </c>
      <c r="G796" s="15" t="inlineStr">
        <is>
          <t>Pagamento com QR Pix Pagar Me Instituicao De Pagamento Sa</t>
        </is>
      </c>
    </row>
    <row r="797">
      <c r="A797" s="15" t="inlineStr">
        <is>
          <t>Outros</t>
        </is>
      </c>
      <c r="B797" s="15" t="inlineStr">
        <is>
          <t>Transferência Pix Enviada</t>
        </is>
      </c>
      <c r="C797" s="16" t="n">
        <v>-1400</v>
      </c>
      <c r="D797" s="17" t="n">
        <v>46147</v>
      </c>
      <c r="E797" s="15" t="inlineStr"/>
      <c r="F797" s="15" t="inlineStr">
        <is>
          <t>Sem comprovante</t>
        </is>
      </c>
      <c r="G797" s="15" t="inlineStr">
        <is>
          <t>Pix enviado 30.442.278 Aurelio Jose Osolinski</t>
        </is>
      </c>
    </row>
    <row r="798">
      <c r="A798" s="15" t="inlineStr">
        <is>
          <t>Outros</t>
        </is>
      </c>
      <c r="B798" s="15" t="inlineStr">
        <is>
          <t>Transferência Pix Enviada</t>
        </is>
      </c>
      <c r="C798" s="16" t="n">
        <v>-800</v>
      </c>
      <c r="D798" s="17" t="n">
        <v>46147</v>
      </c>
      <c r="E798" s="15" t="inlineStr"/>
      <c r="F798" s="15" t="inlineStr">
        <is>
          <t>Sem comprovante</t>
        </is>
      </c>
      <c r="G798" s="15" t="inlineStr">
        <is>
          <t>Pix enviado Allan Libanio Pelissari</t>
        </is>
      </c>
    </row>
    <row r="799">
      <c r="A799" s="15" t="inlineStr">
        <is>
          <t>Outros</t>
        </is>
      </c>
      <c r="B799" s="15" t="inlineStr">
        <is>
          <t>Pagamento Cartão Carrefour</t>
        </is>
      </c>
      <c r="C799" s="16" t="n">
        <v>-9552.74</v>
      </c>
      <c r="D799" s="17" t="n">
        <v>46148</v>
      </c>
      <c r="E799" s="15" t="inlineStr"/>
      <c r="F799" s="15" t="inlineStr">
        <is>
          <t>Sem comprovante</t>
        </is>
      </c>
      <c r="G799" s="15" t="inlineStr">
        <is>
          <t>Pagamento com QR Pix CSF</t>
        </is>
      </c>
    </row>
    <row r="800">
      <c r="A800" s="15" t="inlineStr">
        <is>
          <t>Outros</t>
        </is>
      </c>
      <c r="B800" s="15" t="inlineStr">
        <is>
          <t>Compras Diversas</t>
        </is>
      </c>
      <c r="C800" s="16" t="n">
        <v>-3000</v>
      </c>
      <c r="D800" s="17" t="n">
        <v>46148</v>
      </c>
      <c r="E800" s="15" t="inlineStr"/>
      <c r="F800" s="15" t="inlineStr">
        <is>
          <t>Sem comprovante</t>
        </is>
      </c>
      <c r="G800" s="15" t="inlineStr">
        <is>
          <t>Pagamento com QR Pix RITTER COLCHOES E ESTOFADOS LTDA</t>
        </is>
      </c>
    </row>
    <row r="801">
      <c r="A801" s="15" t="inlineStr">
        <is>
          <t>Outros</t>
        </is>
      </c>
      <c r="B801" s="15" t="inlineStr">
        <is>
          <t>Consórcio</t>
        </is>
      </c>
      <c r="C801" s="16" t="n">
        <v>-348.05</v>
      </c>
      <c r="D801" s="17" t="n">
        <v>46149</v>
      </c>
      <c r="E801" s="15" t="inlineStr"/>
      <c r="F801" s="15" t="inlineStr">
        <is>
          <t>Sem comprovante</t>
        </is>
      </c>
      <c r="G801" s="15" t="inlineStr">
        <is>
          <t>Pagamento com QR Pix CONSORCIO AXS ENERGIA UNIDADE 06</t>
        </is>
      </c>
    </row>
    <row r="802">
      <c r="A802" s="15" t="inlineStr">
        <is>
          <t>Outros</t>
        </is>
      </c>
      <c r="B802" s="15" t="inlineStr">
        <is>
          <t>Maçonaria / Loja Simbólica</t>
        </is>
      </c>
      <c r="C802" s="16" t="n">
        <v>-200</v>
      </c>
      <c r="D802" s="17" t="n">
        <v>46149</v>
      </c>
      <c r="E802" s="15" t="inlineStr"/>
      <c r="F802" s="15" t="inlineStr">
        <is>
          <t>Sem comprovante</t>
        </is>
      </c>
      <c r="G802" s="15" t="inlineStr">
        <is>
          <t>Transferência enviada pelo Pix - AUGUSTA E RESPEITAVEL LOJA SIMBOLICA OBR - 01.361.920/0001-06 - BCO BRADESCO S.A. (0237) Agência: 929 Conta: 45825-2</t>
        </is>
      </c>
    </row>
    <row r="803">
      <c r="A803" s="15" t="inlineStr">
        <is>
          <t>Outros</t>
        </is>
      </c>
      <c r="B803" s="15" t="inlineStr">
        <is>
          <t>Transferência Pix Enviada</t>
        </is>
      </c>
      <c r="C803" s="16" t="n">
        <v>-47</v>
      </c>
      <c r="D803" s="17" t="n">
        <v>46150</v>
      </c>
      <c r="E803" s="15" t="inlineStr"/>
      <c r="F803" s="15" t="inlineStr">
        <is>
          <t>Sem comprovante</t>
        </is>
      </c>
      <c r="G803" s="15" t="inlineStr">
        <is>
          <t>Transferência enviada pelo Pix - HUBLA - 36.062.381/0001-80 - ADYEN DO BRASIL IP LTDA. Agência: 1 Conta: 100000164-3</t>
        </is>
      </c>
    </row>
    <row r="804">
      <c r="A804" s="15" t="inlineStr">
        <is>
          <t>Outros</t>
        </is>
      </c>
      <c r="B804" s="15" t="inlineStr">
        <is>
          <t>Compras Diversas</t>
        </is>
      </c>
      <c r="C804" s="16" t="n">
        <v>-35.39</v>
      </c>
      <c r="D804" s="17" t="n">
        <v>46151</v>
      </c>
      <c r="E804" s="15" t="inlineStr"/>
      <c r="F804" s="15" t="inlineStr">
        <is>
          <t>Sem comprovante</t>
        </is>
      </c>
      <c r="G804" s="15" t="inlineStr">
        <is>
          <t>Pagamento com QR Pix PALACIO COMERCIO DE EMBALAGENS LTDA</t>
        </is>
      </c>
    </row>
    <row r="805">
      <c r="A805" s="15" t="inlineStr">
        <is>
          <t>Outros</t>
        </is>
      </c>
      <c r="B805" s="15" t="inlineStr">
        <is>
          <t>Transferência Pix Enviada</t>
        </is>
      </c>
      <c r="C805" s="16" t="n">
        <v>-350</v>
      </c>
      <c r="D805" s="17" t="n">
        <v>46151</v>
      </c>
      <c r="E805" s="15" t="inlineStr"/>
      <c r="F805" s="15" t="inlineStr">
        <is>
          <t>Sem comprovante</t>
        </is>
      </c>
      <c r="G805" s="15" t="inlineStr">
        <is>
          <t>Pix enviado M P Comercio de Informatica e Transportes Ltda</t>
        </is>
      </c>
    </row>
    <row r="806">
      <c r="A806" s="15" t="inlineStr">
        <is>
          <t>Outros</t>
        </is>
      </c>
      <c r="B806" s="15" t="inlineStr">
        <is>
          <t>Transferência Pix Enviada</t>
        </is>
      </c>
      <c r="C806" s="16" t="n">
        <v>-70</v>
      </c>
      <c r="D806" s="17" t="n">
        <v>46152</v>
      </c>
      <c r="E806" s="15" t="inlineStr"/>
      <c r="F806" s="15" t="inlineStr">
        <is>
          <t>Sem comprovante</t>
        </is>
      </c>
      <c r="G806" s="15" t="inlineStr">
        <is>
          <t>Pix enviado Marlon Fernando da Paixao Furtuoso</t>
        </is>
      </c>
    </row>
    <row r="807">
      <c r="A807" s="15" t="inlineStr">
        <is>
          <t>Outros</t>
        </is>
      </c>
      <c r="B807" s="15" t="inlineStr">
        <is>
          <t>Câmbio / Ebury</t>
        </is>
      </c>
      <c r="C807" s="16" t="n">
        <v>-483.07</v>
      </c>
      <c r="D807" s="17" t="n">
        <v>46153</v>
      </c>
      <c r="E807" s="15" t="inlineStr"/>
      <c r="F807" s="15" t="inlineStr">
        <is>
          <t>Sem comprovante</t>
        </is>
      </c>
      <c r="G807" s="15" t="inlineStr">
        <is>
          <t>Pagamento com QR Pix EBURY SOLUCOES DE PAGAMEN</t>
        </is>
      </c>
    </row>
    <row r="808">
      <c r="A808" s="15" t="inlineStr">
        <is>
          <t>Outros</t>
        </is>
      </c>
      <c r="B808" s="15" t="inlineStr">
        <is>
          <t>Pagamento Cartão Bradesco</t>
        </is>
      </c>
      <c r="C808" s="16" t="n">
        <v>-316.32</v>
      </c>
      <c r="D808" s="17" t="n">
        <v>46153</v>
      </c>
      <c r="E808" s="15" t="inlineStr"/>
      <c r="F808" s="15" t="inlineStr">
        <is>
          <t>Sem comprovante</t>
        </is>
      </c>
      <c r="G808" s="15" t="inlineStr">
        <is>
          <t>Pagamento de conta Banco Bradesco S.A.</t>
        </is>
      </c>
    </row>
    <row r="809">
      <c r="A809" s="15" t="inlineStr">
        <is>
          <t>Outros</t>
        </is>
      </c>
      <c r="B809" s="15" t="inlineStr">
        <is>
          <t>Pagamento Caixa</t>
        </is>
      </c>
      <c r="C809" s="16" t="n">
        <v>-945.37</v>
      </c>
      <c r="D809" s="17" t="n">
        <v>46154</v>
      </c>
      <c r="E809" s="15" t="inlineStr"/>
      <c r="F809" s="15" t="inlineStr">
        <is>
          <t>Sem comprovante</t>
        </is>
      </c>
      <c r="G809" s="15" t="inlineStr">
        <is>
          <t>Pagamento de conta Caixa Econômica Federal</t>
        </is>
      </c>
    </row>
    <row r="810">
      <c r="A810" s="15" t="inlineStr">
        <is>
          <t>Outros</t>
        </is>
      </c>
      <c r="B810" s="15" t="inlineStr">
        <is>
          <t>Pagamento de fatura cartão</t>
        </is>
      </c>
      <c r="C810" s="16" t="n">
        <v>-400</v>
      </c>
      <c r="D810" s="17" t="n">
        <v>46154</v>
      </c>
      <c r="E810" s="15" t="inlineStr"/>
      <c r="F810" s="15" t="inlineStr">
        <is>
          <t>Sem comprovante</t>
        </is>
      </c>
      <c r="G810" s="15" t="inlineStr">
        <is>
          <t>Pagamento de fatura</t>
        </is>
      </c>
    </row>
    <row r="811">
      <c r="A811" s="15" t="inlineStr">
        <is>
          <t>Outros</t>
        </is>
      </c>
      <c r="B811" s="15" t="inlineStr">
        <is>
          <t>Transferência Pix Enviada</t>
        </is>
      </c>
      <c r="C811" s="16" t="n">
        <v>-110.4</v>
      </c>
      <c r="D811" s="17" t="n">
        <v>46154</v>
      </c>
      <c r="E811" s="15" t="inlineStr"/>
      <c r="F811" s="15" t="inlineStr">
        <is>
          <t>Sem comprovante</t>
        </is>
      </c>
      <c r="G811" s="15" t="inlineStr">
        <is>
          <t>Pix enviado Michelly Carvalho de Azevedo Queiroz</t>
        </is>
      </c>
    </row>
    <row r="812">
      <c r="A812" s="15" t="inlineStr">
        <is>
          <t>Outros</t>
        </is>
      </c>
      <c r="B812" s="15" t="inlineStr">
        <is>
          <t>Transferência Pix Enviada</t>
        </is>
      </c>
      <c r="C812" s="16" t="n">
        <v>-75</v>
      </c>
      <c r="D812" s="17" t="n">
        <v>46155</v>
      </c>
      <c r="E812" s="15" t="inlineStr"/>
      <c r="F812" s="15" t="inlineStr">
        <is>
          <t>Sem comprovante</t>
        </is>
      </c>
      <c r="G812" s="15" t="inlineStr">
        <is>
          <t>Transferência enviada pelo Pix - Lucele Kubitzki Farinacio - •••.339.679-•• - NU PAGAMENTOS - IP (0260) Agência: 1 Conta: 91422387-9</t>
        </is>
      </c>
    </row>
    <row r="813">
      <c r="A813" s="15" t="inlineStr">
        <is>
          <t>Outros</t>
        </is>
      </c>
      <c r="B813" s="15" t="inlineStr">
        <is>
          <t>Compras Diversas</t>
        </is>
      </c>
      <c r="C813" s="16" t="n">
        <v>-20</v>
      </c>
      <c r="D813" s="17" t="n">
        <v>46157</v>
      </c>
      <c r="E813" s="15" t="inlineStr"/>
      <c r="F813" s="15" t="inlineStr">
        <is>
          <t>Sem comprovante</t>
        </is>
      </c>
      <c r="G813" s="15" t="inlineStr">
        <is>
          <t>Pagamento com QR Pix MULTIDISPLAY COMERCIO E SERVICOS TECNOLOGICOS LTDA.</t>
        </is>
      </c>
    </row>
    <row r="814">
      <c r="A814" s="15" t="inlineStr">
        <is>
          <t>Outros</t>
        </is>
      </c>
      <c r="B814" s="15" t="inlineStr">
        <is>
          <t>Pagamento de fatura cartão</t>
        </is>
      </c>
      <c r="C814" s="16" t="n">
        <v>-300</v>
      </c>
      <c r="D814" s="17" t="n">
        <v>46157</v>
      </c>
      <c r="E814" s="15" t="inlineStr"/>
      <c r="F814" s="15" t="inlineStr">
        <is>
          <t>Sem comprovante</t>
        </is>
      </c>
      <c r="G814" s="15" t="inlineStr">
        <is>
          <t>Pagamento de fatura</t>
        </is>
      </c>
    </row>
    <row r="815">
      <c r="A815" s="15" t="inlineStr">
        <is>
          <t>Outros</t>
        </is>
      </c>
      <c r="B815" s="15" t="inlineStr">
        <is>
          <t>Transferência Pix Enviada</t>
        </is>
      </c>
      <c r="C815" s="16" t="n">
        <v>-200</v>
      </c>
      <c r="D815" s="17" t="n">
        <v>46157</v>
      </c>
      <c r="E815" s="15" t="inlineStr"/>
      <c r="F815" s="15" t="inlineStr">
        <is>
          <t>Sem comprovante</t>
        </is>
      </c>
      <c r="G815" s="15" t="inlineStr">
        <is>
          <t>Pix enviado Marcio Jose Pereira</t>
        </is>
      </c>
    </row>
    <row r="816">
      <c r="A816" s="15" t="inlineStr">
        <is>
          <t>Outros</t>
        </is>
      </c>
      <c r="B816" s="15" t="inlineStr">
        <is>
          <t>Transferência Pix Enviada</t>
        </is>
      </c>
      <c r="C816" s="16" t="n">
        <v>-50</v>
      </c>
      <c r="D816" s="17" t="n">
        <v>46157</v>
      </c>
      <c r="E816" s="15" t="inlineStr"/>
      <c r="F816" s="15" t="inlineStr">
        <is>
          <t>Sem comprovante</t>
        </is>
      </c>
      <c r="G816" s="15" t="inlineStr">
        <is>
          <t>Transferência enviada pelo Pix - Isabella Souza Lucas - •••.149.805-•• - NEON PAGAMENTOS S.A. IP (0536) Agência: 655 Conta: 15467692-6</t>
        </is>
      </c>
    </row>
    <row r="817">
      <c r="A817" s="15" t="inlineStr">
        <is>
          <t>Outros</t>
        </is>
      </c>
      <c r="B817" s="15" t="inlineStr">
        <is>
          <t>Transferência Pix Enviada</t>
        </is>
      </c>
      <c r="C817" s="16" t="n">
        <v>-18</v>
      </c>
      <c r="D817" s="17" t="n">
        <v>46158</v>
      </c>
      <c r="E817" s="15" t="inlineStr"/>
      <c r="F817" s="15" t="inlineStr">
        <is>
          <t>Sem comprovante</t>
        </is>
      </c>
      <c r="G817" s="15" t="inlineStr">
        <is>
          <t>Transferência enviada pelo Pix - CAIXA INSTANTANEA S.A. - 24.038.490/0001-83 - CAIXA ECONOMICA FEDERAL (0104) Agência: 647 Conta: 9999000309224038490-1</t>
        </is>
      </c>
    </row>
    <row r="818">
      <c r="A818" s="15" t="inlineStr">
        <is>
          <t>Outros</t>
        </is>
      </c>
      <c r="B818" s="15" t="inlineStr">
        <is>
          <t>Compras Diversas</t>
        </is>
      </c>
      <c r="C818" s="16" t="n">
        <v>-81.48999999999999</v>
      </c>
      <c r="D818" s="17" t="n">
        <v>46159</v>
      </c>
      <c r="E818" s="15" t="inlineStr"/>
      <c r="F818" s="15" t="inlineStr">
        <is>
          <t>Sem comprovante</t>
        </is>
      </c>
      <c r="G818" s="15" t="inlineStr">
        <is>
          <t>Pagamento com QR Pix PANATURA INDUSTRIA E COMERCIO DE ALIMENTOS LTDA</t>
        </is>
      </c>
    </row>
    <row r="819">
      <c r="A819" s="15" t="inlineStr">
        <is>
          <t>Outros</t>
        </is>
      </c>
      <c r="B819" s="15" t="inlineStr">
        <is>
          <t>Compras Diversas</t>
        </is>
      </c>
      <c r="C819" s="16" t="n">
        <v>-26.65</v>
      </c>
      <c r="D819" s="17" t="n">
        <v>46159</v>
      </c>
      <c r="E819" s="15" t="inlineStr"/>
      <c r="F819" s="15" t="inlineStr">
        <is>
          <t>Sem comprovante</t>
        </is>
      </c>
      <c r="G819" s="15" t="inlineStr">
        <is>
          <t>Pagamento com QR Pix PANATURA INDUSTRIA E COMERCIO DE ALIMENTOS LTDA</t>
        </is>
      </c>
    </row>
    <row r="820">
      <c r="A820" s="15" t="inlineStr">
        <is>
          <t>Outros</t>
        </is>
      </c>
      <c r="B820" s="15" t="inlineStr">
        <is>
          <t>Transferência Pix Enviada</t>
        </is>
      </c>
      <c r="C820" s="16" t="n">
        <v>-7</v>
      </c>
      <c r="D820" s="17" t="n">
        <v>46159</v>
      </c>
      <c r="E820" s="15" t="inlineStr"/>
      <c r="F820" s="15" t="inlineStr">
        <is>
          <t>Sem comprovante</t>
        </is>
      </c>
      <c r="G820" s="15" t="inlineStr">
        <is>
          <t>Transferência enviada pelo Pix - CAIXA INSTANTANEA S.A. - 24.038.490/0001-83 - CAIXA ECONOMICA FEDERAL (0104) Agência: 647 Conta: 9999000309224038490-1</t>
        </is>
      </c>
    </row>
    <row r="821">
      <c r="A821" s="15" t="inlineStr">
        <is>
          <t>Outros</t>
        </is>
      </c>
      <c r="B821" s="15" t="inlineStr">
        <is>
          <t>Transferência Pix Enviada</t>
        </is>
      </c>
      <c r="C821" s="16" t="n">
        <v>-55</v>
      </c>
      <c r="D821" s="17" t="n">
        <v>46160</v>
      </c>
      <c r="E821" s="15" t="inlineStr"/>
      <c r="F821" s="15" t="inlineStr">
        <is>
          <t>Sem comprovante</t>
        </is>
      </c>
      <c r="G821" s="15" t="inlineStr">
        <is>
          <t>Transferência enviada pelo Pix - Paulo Cesar Rubim - •••.499.909-•• - CAIXA ECONOMICA FEDERAL (0104) Agência: 3915 Conta: 1288000000808698404-2</t>
        </is>
      </c>
    </row>
    <row r="822">
      <c r="A822" s="15" t="inlineStr">
        <is>
          <t>Outros</t>
        </is>
      </c>
      <c r="B822" s="15" t="inlineStr">
        <is>
          <t>Serviços Online / Domínio</t>
        </is>
      </c>
      <c r="C822" s="16" t="n">
        <v>-39.99</v>
      </c>
      <c r="D822" s="17" t="n">
        <v>46161</v>
      </c>
      <c r="E822" s="15" t="inlineStr"/>
      <c r="F822" s="15" t="inlineStr">
        <is>
          <t>Sem comprovante</t>
        </is>
      </c>
      <c r="G822" s="15" t="inlineStr">
        <is>
          <t>Pagamento com QR Pix BYTEDANCE BRASIL TECNOLOGIA LTDA.</t>
        </is>
      </c>
    </row>
    <row r="823">
      <c r="A823" s="15" t="inlineStr">
        <is>
          <t>Outros</t>
        </is>
      </c>
      <c r="B823" s="15" t="inlineStr">
        <is>
          <t>Serviço Médico</t>
        </is>
      </c>
      <c r="C823" s="16" t="n">
        <v>-326.68</v>
      </c>
      <c r="D823" s="17" t="n">
        <v>46161</v>
      </c>
      <c r="E823" s="15" t="inlineStr"/>
      <c r="F823" s="15" t="inlineStr">
        <is>
          <t>Sem comprovante</t>
        </is>
      </c>
      <c r="G823" s="15" t="inlineStr">
        <is>
          <t>Pagamento com QR Pix SALVA SERVICOS MEDICOS DE EMERGENCIA LTDA</t>
        </is>
      </c>
    </row>
    <row r="824">
      <c r="A824" s="15" t="inlineStr">
        <is>
          <t>Outros</t>
        </is>
      </c>
      <c r="B824" s="15" t="inlineStr">
        <is>
          <t>Pagamento de fatura cartão</t>
        </is>
      </c>
      <c r="C824" s="16" t="n">
        <v>-250</v>
      </c>
      <c r="D824" s="17" t="n">
        <v>46161</v>
      </c>
      <c r="E824" s="15" t="inlineStr"/>
      <c r="F824" s="15" t="inlineStr">
        <is>
          <t>Sem comprovante</t>
        </is>
      </c>
      <c r="G824" s="15" t="inlineStr">
        <is>
          <t>Pagamento de fatura</t>
        </is>
      </c>
    </row>
    <row r="825">
      <c r="A825" s="15" t="inlineStr">
        <is>
          <t>Outros</t>
        </is>
      </c>
      <c r="B825" s="15" t="inlineStr">
        <is>
          <t>Transferência Pix Enviada</t>
        </is>
      </c>
      <c r="C825" s="16" t="n">
        <v>-303.12</v>
      </c>
      <c r="D825" s="17" t="n">
        <v>46161</v>
      </c>
      <c r="E825" s="15" t="inlineStr">
        <is>
          <t>Segline/00000022-PHOTO-2026-05-19-15-28-28.jpg</t>
        </is>
      </c>
      <c r="F825" s="15" t="inlineStr">
        <is>
          <t>Pago</t>
        </is>
      </c>
      <c r="G825" s="15" t="inlineStr">
        <is>
          <t>Pix enviado Segline Automacao Predial e Reparacao de Equipamentos de Alarmes Ltda</t>
        </is>
      </c>
    </row>
    <row r="826">
      <c r="A826" s="15" t="inlineStr">
        <is>
          <t>Outros</t>
        </is>
      </c>
      <c r="B826" s="15" t="inlineStr">
        <is>
          <t>Transferência Pix Enviada</t>
        </is>
      </c>
      <c r="C826" s="16" t="n">
        <v>-8</v>
      </c>
      <c r="D826" s="17" t="n">
        <v>46162</v>
      </c>
      <c r="E826" s="15" t="inlineStr"/>
      <c r="F826" s="15" t="inlineStr">
        <is>
          <t>Sem comprovante</t>
        </is>
      </c>
      <c r="G826" s="15" t="inlineStr">
        <is>
          <t>Transferência enviada pelo Pix - DEIVISSON COSTA DA SILVA - •••.652.010-•• - EFÍ S.A. - IP (0364) Agência: 1 Conta: 693619-9</t>
        </is>
      </c>
    </row>
    <row r="827">
      <c r="A827" s="15" t="inlineStr">
        <is>
          <t>Outros</t>
        </is>
      </c>
      <c r="B827" s="15" t="inlineStr">
        <is>
          <t>Não identificado</t>
        </is>
      </c>
      <c r="C827" s="16" t="n">
        <v>-66.90000000000001</v>
      </c>
      <c r="D827" s="17" t="n">
        <v>46163</v>
      </c>
      <c r="E827" s="15" t="inlineStr"/>
      <c r="F827" s="15" t="inlineStr">
        <is>
          <t>Sem comprovante</t>
        </is>
      </c>
      <c r="G827" s="15" t="inlineStr">
        <is>
          <t>Pagamento com QR Pix HIPERZOO PET SHOP LTDA.</t>
        </is>
      </c>
    </row>
    <row r="828">
      <c r="A828" s="15" t="inlineStr">
        <is>
          <t>Outros</t>
        </is>
      </c>
      <c r="B828" s="15" t="inlineStr">
        <is>
          <t>Transferência Pix Enviada</t>
        </is>
      </c>
      <c r="C828" s="16" t="n">
        <v>-193</v>
      </c>
      <c r="D828" s="17" t="n">
        <v>46163</v>
      </c>
      <c r="E828" s="15" t="inlineStr"/>
      <c r="F828" s="15" t="inlineStr">
        <is>
          <t>Sem comprovante</t>
        </is>
      </c>
      <c r="G828" s="15" t="inlineStr">
        <is>
          <t>Pix enviado Michelly Carvalho de Azevedo Queiroz</t>
        </is>
      </c>
    </row>
    <row r="829">
      <c r="A829" s="15" t="inlineStr">
        <is>
          <t>Outros</t>
        </is>
      </c>
      <c r="B829" s="15" t="inlineStr">
        <is>
          <t>Não identificado</t>
        </is>
      </c>
      <c r="C829" s="16" t="n">
        <v>-30</v>
      </c>
      <c r="D829" s="17" t="n">
        <v>46164</v>
      </c>
      <c r="E829" s="15" t="inlineStr"/>
      <c r="F829" s="15" t="inlineStr">
        <is>
          <t>Sem comprovante</t>
        </is>
      </c>
      <c r="G829" s="15" t="inlineStr">
        <is>
          <t>Pagamento com código QR ARMAZEM GARAGEM BAR</t>
        </is>
      </c>
    </row>
    <row r="830">
      <c r="A830" s="15" t="inlineStr">
        <is>
          <t>Outros</t>
        </is>
      </c>
      <c r="B830" s="15" t="inlineStr">
        <is>
          <t>Transferência Pix Enviada</t>
        </is>
      </c>
      <c r="C830" s="16" t="n">
        <v>-30.31</v>
      </c>
      <c r="D830" s="17" t="n">
        <v>46164</v>
      </c>
      <c r="E830" s="15" t="inlineStr"/>
      <c r="F830" s="15" t="inlineStr">
        <is>
          <t>Sem comprovante</t>
        </is>
      </c>
      <c r="G830" s="15" t="inlineStr">
        <is>
          <t>Pix enviado Fertine Imoveis Ltda</t>
        </is>
      </c>
    </row>
    <row r="831">
      <c r="A831" s="15" t="inlineStr">
        <is>
          <t>Outros</t>
        </is>
      </c>
      <c r="B831" s="15" t="inlineStr">
        <is>
          <t>Não identificado</t>
        </is>
      </c>
      <c r="C831" s="16" t="n">
        <v>-13.9</v>
      </c>
      <c r="D831" s="17" t="n">
        <v>46165</v>
      </c>
      <c r="E831" s="15" t="inlineStr"/>
      <c r="F831" s="15" t="inlineStr">
        <is>
          <t>Sem comprovante</t>
        </is>
      </c>
      <c r="G831" s="15" t="inlineStr">
        <is>
          <t>Pagamento com QR Pix ASSB COMERCIO VAREJISTA DE DOCES LTDA.</t>
        </is>
      </c>
    </row>
    <row r="832">
      <c r="A832" s="15" t="inlineStr">
        <is>
          <t>Outros</t>
        </is>
      </c>
      <c r="B832" s="15" t="inlineStr">
        <is>
          <t>Não identificado</t>
        </is>
      </c>
      <c r="C832" s="16" t="n">
        <v>-12</v>
      </c>
      <c r="D832" s="17" t="n">
        <v>46165</v>
      </c>
      <c r="E832" s="15" t="inlineStr"/>
      <c r="F832" s="15" t="inlineStr">
        <is>
          <t>Sem comprovante</t>
        </is>
      </c>
      <c r="G832" s="15" t="inlineStr">
        <is>
          <t>Pagamento com QR Pix ON TECNOLOGIA DE MOBILIDADE URBANA S.A.</t>
        </is>
      </c>
    </row>
    <row r="833">
      <c r="A833" s="15" t="inlineStr">
        <is>
          <t>Outros</t>
        </is>
      </c>
      <c r="B833" s="15" t="inlineStr">
        <is>
          <t>Transferência Pix Enviada</t>
        </is>
      </c>
      <c r="C833" s="16" t="n">
        <v>-500</v>
      </c>
      <c r="D833" s="17" t="n">
        <v>46165</v>
      </c>
      <c r="E833" s="15" t="inlineStr"/>
      <c r="F833" s="15" t="inlineStr">
        <is>
          <t>Sem comprovante</t>
        </is>
      </c>
      <c r="G833" s="15" t="inlineStr">
        <is>
          <t>Pix enviado Maynara Almeida da Cruz</t>
        </is>
      </c>
    </row>
    <row r="834">
      <c r="A834" s="15" t="inlineStr">
        <is>
          <t>Outros</t>
        </is>
      </c>
      <c r="B834" s="15" t="inlineStr">
        <is>
          <t>Transferência Pix Enviada</t>
        </is>
      </c>
      <c r="C834" s="16" t="n">
        <v>-55.42</v>
      </c>
      <c r="D834" s="17" t="n">
        <v>46165</v>
      </c>
      <c r="E834" s="15" t="inlineStr"/>
      <c r="F834" s="15" t="inlineStr">
        <is>
          <t>Sem comprovante</t>
        </is>
      </c>
      <c r="G834" s="15" t="inlineStr">
        <is>
          <t>Transferência enviada pelo Pix - CAIXA INSTANTANEA S.A. - 24.038.490/0001-83 - CAIXA ECONOMICA FEDERAL (0104) Agência: 647 Conta: 9999000309224038490-1</t>
        </is>
      </c>
    </row>
    <row r="835">
      <c r="A835" s="15" t="inlineStr">
        <is>
          <t>Outros</t>
        </is>
      </c>
      <c r="B835" s="15" t="inlineStr">
        <is>
          <t>Pagamento de fatura cartão</t>
        </is>
      </c>
      <c r="C835" s="16" t="n">
        <v>-200</v>
      </c>
      <c r="D835" s="17" t="n">
        <v>46166</v>
      </c>
      <c r="E835" s="15" t="inlineStr"/>
      <c r="F835" s="15" t="inlineStr">
        <is>
          <t>Sem comprovante</t>
        </is>
      </c>
      <c r="G835" s="15" t="inlineStr">
        <is>
          <t>Pagamento de fatura</t>
        </is>
      </c>
    </row>
    <row r="836">
      <c r="A836" s="15" t="inlineStr">
        <is>
          <t>Outros</t>
        </is>
      </c>
      <c r="B836" s="15" t="inlineStr">
        <is>
          <t>Transferência Pix Enviada</t>
        </is>
      </c>
      <c r="C836" s="16" t="n">
        <v>-16.06</v>
      </c>
      <c r="D836" s="17" t="n">
        <v>46166</v>
      </c>
      <c r="E836" s="15" t="inlineStr"/>
      <c r="F836" s="15" t="inlineStr">
        <is>
          <t>Sem comprovante</t>
        </is>
      </c>
      <c r="G836" s="15" t="inlineStr">
        <is>
          <t>Transferência enviada pelo Pix - CAIXA INSTANTANEA S.A. - 24.038.490/0001-83 - CAIXA ECONOMICA FEDERAL (0104) Agência: 647 Conta: 9999000309224038490-1</t>
        </is>
      </c>
    </row>
    <row r="837">
      <c r="A837" s="15" t="inlineStr">
        <is>
          <t>Outros</t>
        </is>
      </c>
      <c r="B837" s="15" t="inlineStr">
        <is>
          <t>Transferência Pix Enviada</t>
        </is>
      </c>
      <c r="C837" s="16" t="n">
        <v>-40.35</v>
      </c>
      <c r="D837" s="17" t="n">
        <v>46166</v>
      </c>
      <c r="E837" s="15" t="inlineStr"/>
      <c r="F837" s="15" t="inlineStr">
        <is>
          <t>Sem comprovante</t>
        </is>
      </c>
      <c r="G837" s="15" t="inlineStr">
        <is>
          <t>Transferência enviada pelo Pix - JUNTA COMERCIAL DO PARANA - 77.968.170/0001-99 - BCO DO BRASIL S.A. (0001) Agência: 3793 Conta: 6654-0</t>
        </is>
      </c>
    </row>
    <row r="838">
      <c r="A838" s="15" t="inlineStr">
        <is>
          <t>Outros</t>
        </is>
      </c>
      <c r="B838" s="15" t="inlineStr">
        <is>
          <t>Maçonaria / Loja Simbólica</t>
        </is>
      </c>
      <c r="C838" s="16" t="n">
        <v>-10</v>
      </c>
      <c r="D838" s="17" t="n">
        <v>46168</v>
      </c>
      <c r="E838" s="15" t="inlineStr"/>
      <c r="F838" s="15" t="inlineStr">
        <is>
          <t>Sem comprovante</t>
        </is>
      </c>
      <c r="G838" s="15" t="inlineStr">
        <is>
          <t>Transferência enviada pelo Pix - Augusta e Respeitavel Loja Simbolica Obr - 01.361.920/0001-06 - BCO BRADESCO S.A. (0237) Agência: 929 Conta: 45825-2</t>
        </is>
      </c>
    </row>
    <row r="839">
      <c r="A839" s="15" t="inlineStr">
        <is>
          <t>Outros</t>
        </is>
      </c>
      <c r="B839" s="15" t="inlineStr">
        <is>
          <t>Transferência Pix Enviada</t>
        </is>
      </c>
      <c r="C839" s="16" t="n">
        <v>-1000</v>
      </c>
      <c r="D839" s="17" t="n">
        <v>46169</v>
      </c>
      <c r="E839" s="15" t="inlineStr"/>
      <c r="F839" s="15" t="inlineStr">
        <is>
          <t>Sem comprovante</t>
        </is>
      </c>
      <c r="G839" s="15" t="inlineStr">
        <is>
          <t>Pix enviado Andressa Dorothea Souza de Paula</t>
        </is>
      </c>
    </row>
    <row r="840">
      <c r="A840" s="15" t="inlineStr">
        <is>
          <t>Outros</t>
        </is>
      </c>
      <c r="B840" s="15" t="inlineStr">
        <is>
          <t>Não identificado</t>
        </is>
      </c>
      <c r="C840" s="16" t="n">
        <v>-135</v>
      </c>
      <c r="D840" s="17" t="n">
        <v>46170</v>
      </c>
      <c r="E840" s="15" t="inlineStr"/>
      <c r="F840" s="15" t="inlineStr">
        <is>
          <t>Sem comprovante</t>
        </is>
      </c>
      <c r="G840" s="15" t="inlineStr">
        <is>
          <t>Pagamento com QR Pix A. GENIOS GAS CONVERTEDORA AUTOMOTIVA GNV LTDA</t>
        </is>
      </c>
    </row>
    <row r="841">
      <c r="A841" s="15" t="inlineStr">
        <is>
          <t>Outros</t>
        </is>
      </c>
      <c r="B841" s="15" t="inlineStr">
        <is>
          <t>Pagamento Cartão Nubank</t>
        </is>
      </c>
      <c r="C841" s="16" t="n">
        <v>-3637.73</v>
      </c>
      <c r="D841" s="17" t="n">
        <v>46171</v>
      </c>
      <c r="E841" s="15" t="inlineStr"/>
      <c r="F841" s="15" t="inlineStr">
        <is>
          <t>Sem comprovante</t>
        </is>
      </c>
      <c r="G841" s="15" t="inlineStr">
        <is>
          <t>Pagamento com QR Pix NU PAGAMENTOS SA</t>
        </is>
      </c>
    </row>
    <row r="842">
      <c r="A842" s="15" t="inlineStr">
        <is>
          <t>Outros</t>
        </is>
      </c>
      <c r="B842" s="15" t="inlineStr">
        <is>
          <t>Serviços Online / Domínio</t>
        </is>
      </c>
      <c r="C842" s="16" t="n">
        <v>-76</v>
      </c>
      <c r="D842" s="17" t="n">
        <v>46171</v>
      </c>
      <c r="E842" s="15" t="inlineStr"/>
      <c r="F842" s="15" t="inlineStr">
        <is>
          <t>Sem comprovante</t>
        </is>
      </c>
      <c r="G842" s="15" t="inlineStr">
        <is>
          <t>Pagamento com QR Pix NUCLEO DE INFORMACAO E COORDENACAO DO PONTO BR - NIC .BR</t>
        </is>
      </c>
    </row>
    <row r="843">
      <c r="A843" s="15" t="inlineStr">
        <is>
          <t>Outros</t>
        </is>
      </c>
      <c r="B843" s="15" t="inlineStr">
        <is>
          <t>Pagamento Cartão Nubank</t>
        </is>
      </c>
      <c r="C843" s="16" t="n">
        <v>3637.73</v>
      </c>
      <c r="D843" s="17" t="n">
        <v>46171</v>
      </c>
      <c r="E843" s="15" t="inlineStr"/>
      <c r="F843" s="15" t="inlineStr">
        <is>
          <t>Recebido</t>
        </is>
      </c>
      <c r="G843" s="15" t="inlineStr">
        <is>
          <t>Pagamento com código QR Pix - Cancelado NU PAGAMENTOS SA</t>
        </is>
      </c>
    </row>
    <row r="844">
      <c r="A844" s="15" t="inlineStr">
        <is>
          <t>Outros</t>
        </is>
      </c>
      <c r="B844" s="15" t="inlineStr">
        <is>
          <t>Pagamento Cartão Bradesco</t>
        </is>
      </c>
      <c r="C844" s="16" t="n">
        <v>-1077.27</v>
      </c>
      <c r="D844" s="17" t="n">
        <v>46171</v>
      </c>
      <c r="E844" s="15" t="inlineStr"/>
      <c r="F844" s="15" t="inlineStr">
        <is>
          <t>Sem comprovante</t>
        </is>
      </c>
      <c r="G844" s="15" t="inlineStr">
        <is>
          <t>Pagamento de conta Banco Bradesco S.A.</t>
        </is>
      </c>
    </row>
    <row r="845">
      <c r="A845" s="15" t="inlineStr">
        <is>
          <t>Outros</t>
        </is>
      </c>
      <c r="B845" s="15" t="inlineStr">
        <is>
          <t>Pagamento de fatura cartão</t>
        </is>
      </c>
      <c r="C845" s="16" t="n">
        <v>-2647.32</v>
      </c>
      <c r="D845" s="17" t="n">
        <v>46171</v>
      </c>
      <c r="E845" s="15" t="inlineStr"/>
      <c r="F845" s="15" t="inlineStr">
        <is>
          <t>Sem comprovante</t>
        </is>
      </c>
      <c r="G845" s="15" t="inlineStr">
        <is>
          <t>Pagamento de fatura</t>
        </is>
      </c>
    </row>
    <row r="846">
      <c r="A846" s="15" t="inlineStr">
        <is>
          <t>Outros</t>
        </is>
      </c>
      <c r="B846" s="15" t="inlineStr">
        <is>
          <t>Transferência Pix Enviada</t>
        </is>
      </c>
      <c r="C846" s="16" t="n">
        <v>-50</v>
      </c>
      <c r="D846" s="17" t="n">
        <v>46171</v>
      </c>
      <c r="E846" s="15" t="inlineStr"/>
      <c r="F846" s="15" t="inlineStr">
        <is>
          <t>Sem comprovante</t>
        </is>
      </c>
      <c r="G846" s="15" t="inlineStr">
        <is>
          <t>Transferência enviada pelo Pix - Isabella Souza Lucas - •••.149.805-•• - NEON PAGAMENTOS S.A. IP (0536) Agência: 655 Conta: 15467692-6</t>
        </is>
      </c>
    </row>
    <row r="847">
      <c r="A847" s="15" t="inlineStr">
        <is>
          <t>Outros</t>
        </is>
      </c>
      <c r="B847" s="15" t="inlineStr">
        <is>
          <t>Transferência Pix Enviada</t>
        </is>
      </c>
      <c r="C847" s="16" t="n">
        <v>-2.17</v>
      </c>
      <c r="D847" s="17" t="n">
        <v>46171</v>
      </c>
      <c r="E847" s="15" t="inlineStr"/>
      <c r="F847" s="15" t="inlineStr">
        <is>
          <t>Sem comprovante</t>
        </is>
      </c>
      <c r="G847" s="15" t="inlineStr">
        <is>
          <t>Transferência enviada pelo Pix - LUCINEIA DA COSTA LOPES - •••.609.039-•• - BCO SANTANDER (BRASIL) S.A. (0033) Agência: 1220 Conta: 1011649-1</t>
        </is>
      </c>
    </row>
    <row r="848">
      <c r="A848" s="15" t="inlineStr">
        <is>
          <t>Outros</t>
        </is>
      </c>
      <c r="B848" s="15" t="inlineStr">
        <is>
          <t>Transferência Pix Enviada</t>
        </is>
      </c>
      <c r="C848" s="16" t="n">
        <v>-125</v>
      </c>
      <c r="D848" s="17" t="n">
        <v>46171</v>
      </c>
      <c r="E848" s="15" t="inlineStr"/>
      <c r="F848" s="15" t="inlineStr">
        <is>
          <t>Sem comprovante</t>
        </is>
      </c>
      <c r="G848" s="15" t="inlineStr">
        <is>
          <t>Transferência enviada pelo Pix - LUCINEIA DA COSTA LOPES - •••.609.039-•• - BCO SANTANDER (BRASIL) S.A. (0033) Agência: 1220 Conta: 1011649-1</t>
        </is>
      </c>
    </row>
    <row r="849">
      <c r="A849" s="15" t="inlineStr">
        <is>
          <t>Outros</t>
        </is>
      </c>
      <c r="B849" s="15" t="inlineStr">
        <is>
          <t>Transferência Pix Enviada</t>
        </is>
      </c>
      <c r="C849" s="16" t="n">
        <v>-92.48999999999999</v>
      </c>
      <c r="D849" s="17" t="n">
        <v>46172</v>
      </c>
      <c r="E849" s="15" t="inlineStr"/>
      <c r="F849" s="15" t="inlineStr">
        <is>
          <t>Sem comprovante</t>
        </is>
      </c>
      <c r="G849" s="15" t="inlineStr">
        <is>
          <t>Transferência enviada pelo Pix - CAIXA INSTANTANEA S.A. - 24.038.490/0001-83 - CAIXA ECONOMICA FEDERAL (0104) Agência: 647 Conta: 9999000309224038490-1</t>
        </is>
      </c>
    </row>
    <row r="850">
      <c r="A850" s="15" t="inlineStr">
        <is>
          <t>Outros</t>
        </is>
      </c>
      <c r="B850" s="15" t="inlineStr">
        <is>
          <t>Transferência Pix Enviada</t>
        </is>
      </c>
      <c r="C850" s="16" t="n">
        <v>-20</v>
      </c>
      <c r="D850" s="17" t="n">
        <v>46172</v>
      </c>
      <c r="E850" s="15" t="inlineStr"/>
      <c r="F850" s="15" t="inlineStr">
        <is>
          <t>Sem comprovante</t>
        </is>
      </c>
      <c r="G850" s="15" t="inlineStr">
        <is>
          <t>Transferência enviada pelo Pix - Heitor Camilo Guimarães - •••.945.006-•• - NU PAGAMENTOS - IP (0260) Agência: 1 Conta: 88491967-5</t>
        </is>
      </c>
    </row>
    <row r="851">
      <c r="A851" s="18" t="inlineStr">
        <is>
          <t>Subtotal Outros</t>
        </is>
      </c>
      <c r="B851" s="19" t="n"/>
      <c r="C851" s="20">
        <f>SUM(C794:C850)</f>
        <v/>
      </c>
      <c r="D851" s="19" t="n"/>
      <c r="E851" s="19" t="n"/>
      <c r="F851" s="19" t="n"/>
      <c r="G851" s="19" t="n"/>
    </row>
    <row r="852">
      <c r="A852" s="12" t="inlineStr">
        <is>
          <t>Transferência - Bruno (própria)</t>
        </is>
      </c>
      <c r="B852" s="23" t="n"/>
      <c r="C852" s="23" t="n"/>
      <c r="D852" s="23" t="n"/>
      <c r="E852" s="23" t="n"/>
      <c r="F852" s="23" t="n"/>
      <c r="G852" s="23" t="n"/>
    </row>
    <row r="853">
      <c r="A853" s="15" t="inlineStr">
        <is>
          <t>Transferência - Bruno (própria)</t>
        </is>
      </c>
      <c r="B853" s="15" t="inlineStr">
        <is>
          <t>Pix Bruno→Bruno (entre contas próprias)</t>
        </is>
      </c>
      <c r="C853" s="16" t="n">
        <v>-500</v>
      </c>
      <c r="D853" s="17" t="n">
        <v>46143</v>
      </c>
      <c r="E853" s="15" t="inlineStr"/>
      <c r="F853" s="15" t="inlineStr">
        <is>
          <t>Sem comprovante</t>
        </is>
      </c>
      <c r="G853" s="15" t="inlineStr">
        <is>
          <t>Pix enviado Bruno Porto Seus</t>
        </is>
      </c>
    </row>
    <row r="854">
      <c r="A854" s="15" t="inlineStr">
        <is>
          <t>Transferência - Bruno (própria)</t>
        </is>
      </c>
      <c r="B854" s="15" t="inlineStr">
        <is>
          <t>Pix Bruno→Bruno (entre contas próprias)</t>
        </is>
      </c>
      <c r="C854" s="16" t="n">
        <v>-500</v>
      </c>
      <c r="D854" s="17" t="n">
        <v>46152</v>
      </c>
      <c r="E854" s="15" t="inlineStr"/>
      <c r="F854" s="15" t="inlineStr">
        <is>
          <t>Sem comprovante</t>
        </is>
      </c>
      <c r="G854" s="15" t="inlineStr">
        <is>
          <t>Pix enviado Bruno Porto Seus</t>
        </is>
      </c>
    </row>
    <row r="855">
      <c r="A855" s="15" t="inlineStr">
        <is>
          <t>Transferência - Bruno (própria)</t>
        </is>
      </c>
      <c r="B855" s="15" t="inlineStr">
        <is>
          <t>Pix Bruno→Bruno (entre contas próprias)</t>
        </is>
      </c>
      <c r="C855" s="16" t="n">
        <v>-50</v>
      </c>
      <c r="D855" s="17" t="n">
        <v>46154</v>
      </c>
      <c r="E855" s="15" t="inlineStr"/>
      <c r="F855" s="15" t="inlineStr">
        <is>
          <t>Sem comprovante</t>
        </is>
      </c>
      <c r="G855" s="15" t="inlineStr">
        <is>
          <t>Pix enviado Bruno Porto Seus</t>
        </is>
      </c>
    </row>
    <row r="856">
      <c r="A856" s="15" t="inlineStr">
        <is>
          <t>Transferência - Bruno (própria)</t>
        </is>
      </c>
      <c r="B856" s="15" t="inlineStr">
        <is>
          <t>Pix Bruno→Bruno (entre contas próprias)</t>
        </is>
      </c>
      <c r="C856" s="16" t="n">
        <v>-500</v>
      </c>
      <c r="D856" s="17" t="n">
        <v>46155</v>
      </c>
      <c r="E856" s="15" t="inlineStr"/>
      <c r="F856" s="15" t="inlineStr">
        <is>
          <t>Sem comprovante</t>
        </is>
      </c>
      <c r="G856" s="15" t="inlineStr">
        <is>
          <t>Pix enviado Bruno Porto Seus</t>
        </is>
      </c>
    </row>
    <row r="857">
      <c r="A857" s="15" t="inlineStr">
        <is>
          <t>Transferência - Bruno (própria)</t>
        </is>
      </c>
      <c r="B857" s="15" t="inlineStr">
        <is>
          <t>Pix Bruno→Bruno (entre contas próprias)</t>
        </is>
      </c>
      <c r="C857" s="16" t="n">
        <v>-100</v>
      </c>
      <c r="D857" s="17" t="n">
        <v>46157</v>
      </c>
      <c r="E857" s="15" t="inlineStr"/>
      <c r="F857" s="15" t="inlineStr">
        <is>
          <t>Sem comprovante</t>
        </is>
      </c>
      <c r="G857" s="15" t="inlineStr">
        <is>
          <t>Pix enviado Bruno Porto Seus</t>
        </is>
      </c>
    </row>
    <row r="858">
      <c r="A858" s="15" t="inlineStr">
        <is>
          <t>Transferência - Bruno (própria)</t>
        </is>
      </c>
      <c r="B858" s="15" t="inlineStr">
        <is>
          <t>Pix Bruno→Bruno (entre contas próprias)</t>
        </is>
      </c>
      <c r="C858" s="16" t="n">
        <v>-500</v>
      </c>
      <c r="D858" s="17" t="n">
        <v>46160</v>
      </c>
      <c r="E858" s="15" t="inlineStr"/>
      <c r="F858" s="15" t="inlineStr">
        <is>
          <t>Sem comprovante</t>
        </is>
      </c>
      <c r="G858" s="15" t="inlineStr">
        <is>
          <t>Pix enviado Bruno Porto Seus</t>
        </is>
      </c>
    </row>
    <row r="859">
      <c r="A859" s="15" t="inlineStr">
        <is>
          <t>Transferência - Bruno (própria)</t>
        </is>
      </c>
      <c r="B859" s="15" t="inlineStr">
        <is>
          <t>Pix Bruno→Bruno (entre contas próprias)</t>
        </is>
      </c>
      <c r="C859" s="16" t="n">
        <v>-100</v>
      </c>
      <c r="D859" s="17" t="n">
        <v>46164</v>
      </c>
      <c r="E859" s="15" t="inlineStr"/>
      <c r="F859" s="15" t="inlineStr">
        <is>
          <t>Sem comprovante</t>
        </is>
      </c>
      <c r="G859" s="15" t="inlineStr">
        <is>
          <t>Pix enviado Bruno Porto Seus</t>
        </is>
      </c>
    </row>
    <row r="860">
      <c r="A860" s="15" t="inlineStr">
        <is>
          <t>Transferência - Bruno (própria)</t>
        </is>
      </c>
      <c r="B860" s="15" t="inlineStr">
        <is>
          <t>Pix Bruno→Bruno (entre contas próprias)</t>
        </is>
      </c>
      <c r="C860" s="16" t="n">
        <v>-300</v>
      </c>
      <c r="D860" s="17" t="n">
        <v>46165</v>
      </c>
      <c r="E860" s="15" t="inlineStr"/>
      <c r="F860" s="15" t="inlineStr">
        <is>
          <t>Sem comprovante</t>
        </is>
      </c>
      <c r="G860" s="15" t="inlineStr">
        <is>
          <t>Pix enviado Bruno Porto Seus</t>
        </is>
      </c>
    </row>
    <row r="861">
      <c r="A861" s="15" t="inlineStr">
        <is>
          <t>Transferência - Bruno (própria)</t>
        </is>
      </c>
      <c r="B861" s="15" t="inlineStr">
        <is>
          <t>Pix Bruno→Bruno (entre contas próprias)</t>
        </is>
      </c>
      <c r="C861" s="16" t="n">
        <v>-50</v>
      </c>
      <c r="D861" s="17" t="n">
        <v>46166</v>
      </c>
      <c r="E861" s="15" t="inlineStr"/>
      <c r="F861" s="15" t="inlineStr">
        <is>
          <t>Sem comprovante</t>
        </is>
      </c>
      <c r="G861" s="15" t="inlineStr">
        <is>
          <t>Pix enviado Bruno Porto Seus</t>
        </is>
      </c>
    </row>
    <row r="862">
      <c r="A862" s="15" t="inlineStr">
        <is>
          <t>Transferência - Bruno (própria)</t>
        </is>
      </c>
      <c r="B862" s="15" t="inlineStr">
        <is>
          <t>Pix Bruno→Bruno (entre contas próprias)</t>
        </is>
      </c>
      <c r="C862" s="16" t="n">
        <v>-300</v>
      </c>
      <c r="D862" s="17" t="n">
        <v>46166</v>
      </c>
      <c r="E862" s="15" t="inlineStr"/>
      <c r="F862" s="15" t="inlineStr">
        <is>
          <t>Sem comprovante</t>
        </is>
      </c>
      <c r="G862" s="15" t="inlineStr">
        <is>
          <t>Pix enviado Bruno Porto Seus</t>
        </is>
      </c>
    </row>
    <row r="863">
      <c r="A863" s="18" t="inlineStr">
        <is>
          <t>Subtotal Transferência - Bruno (própria)</t>
        </is>
      </c>
      <c r="B863" s="19" t="n"/>
      <c r="C863" s="20">
        <f>SUM(C853:C862)</f>
        <v/>
      </c>
      <c r="D863" s="19" t="n"/>
      <c r="E863" s="19" t="n"/>
      <c r="F863" s="19" t="n"/>
      <c r="G863" s="19" t="n"/>
    </row>
    <row r="864">
      <c r="A864" s="12" t="inlineStr">
        <is>
          <t>Transferência - Denise</t>
        </is>
      </c>
      <c r="B864" s="23" t="n"/>
      <c r="C864" s="23" t="n"/>
      <c r="D864" s="23" t="n"/>
      <c r="E864" s="23" t="n"/>
      <c r="F864" s="23" t="n"/>
      <c r="G864" s="23" t="n"/>
    </row>
    <row r="865">
      <c r="A865" s="15" t="inlineStr">
        <is>
          <t>Transferência - Denise</t>
        </is>
      </c>
      <c r="B865" s="15" t="inlineStr">
        <is>
          <t>Pix Bruno→Denise</t>
        </is>
      </c>
      <c r="C865" s="16" t="n">
        <v>-450</v>
      </c>
      <c r="D865" s="17" t="n">
        <v>46149</v>
      </c>
      <c r="E865" s="15" t="inlineStr"/>
      <c r="F865" s="15" t="inlineStr">
        <is>
          <t>Sem comprovante</t>
        </is>
      </c>
      <c r="G865" s="15" t="inlineStr">
        <is>
          <t>Pix enviado Denise De Paula</t>
        </is>
      </c>
    </row>
    <row r="866">
      <c r="A866" s="15" t="inlineStr">
        <is>
          <t>Transferência - Denise</t>
        </is>
      </c>
      <c r="B866" s="15" t="inlineStr">
        <is>
          <t>Pix Bruno→Denise</t>
        </is>
      </c>
      <c r="C866" s="16" t="n">
        <v>-600</v>
      </c>
      <c r="D866" s="17" t="n">
        <v>46160</v>
      </c>
      <c r="E866" s="15" t="inlineStr"/>
      <c r="F866" s="15" t="inlineStr">
        <is>
          <t>Sem comprovante</t>
        </is>
      </c>
      <c r="G866" s="15" t="inlineStr">
        <is>
          <t>Pix enviado Denise De Paula</t>
        </is>
      </c>
    </row>
    <row r="867">
      <c r="A867" s="15" t="inlineStr">
        <is>
          <t>Transferência - Denise</t>
        </is>
      </c>
      <c r="B867" s="15" t="inlineStr">
        <is>
          <t>Pix Bruno→Denise</t>
        </is>
      </c>
      <c r="C867" s="16" t="n">
        <v>-500</v>
      </c>
      <c r="D867" s="17" t="n">
        <v>46161</v>
      </c>
      <c r="E867" s="15" t="inlineStr"/>
      <c r="F867" s="15" t="inlineStr">
        <is>
          <t>Sem comprovante</t>
        </is>
      </c>
      <c r="G867" s="15" t="inlineStr">
        <is>
          <t>Pix enviado Denise De Paula</t>
        </is>
      </c>
    </row>
    <row r="868">
      <c r="A868" s="15" t="inlineStr">
        <is>
          <t>Transferência - Denise</t>
        </is>
      </c>
      <c r="B868" s="15" t="inlineStr">
        <is>
          <t>Pix Bruno→Denise</t>
        </is>
      </c>
      <c r="C868" s="16" t="n">
        <v>-3640</v>
      </c>
      <c r="D868" s="17" t="n">
        <v>46171</v>
      </c>
      <c r="E868" s="15" t="inlineStr"/>
      <c r="F868" s="15" t="inlineStr">
        <is>
          <t>Sem comprovante</t>
        </is>
      </c>
      <c r="G868" s="15" t="inlineStr">
        <is>
          <t>Pix enviado Denise de Paula</t>
        </is>
      </c>
    </row>
    <row r="869">
      <c r="A869" s="18" t="inlineStr">
        <is>
          <t>Subtotal Transferência - Denise</t>
        </is>
      </c>
      <c r="B869" s="19" t="n"/>
      <c r="C869" s="20">
        <f>SUM(C865:C868)</f>
        <v/>
      </c>
      <c r="D869" s="19" t="n"/>
      <c r="E869" s="19" t="n"/>
      <c r="F869" s="19" t="n"/>
      <c r="G869" s="19" t="n"/>
    </row>
    <row r="870">
      <c r="A870" s="6" t="inlineStr">
        <is>
          <t>TOTAL DESPESAS PAGAS</t>
        </is>
      </c>
      <c r="C870" s="24">
        <f>C710+C778+C792+C851</f>
        <v/>
      </c>
    </row>
    <row r="871">
      <c r="A871" s="25" t="inlineStr">
        <is>
          <t>TOTAL RECEITAS</t>
        </is>
      </c>
      <c r="C871" s="26">
        <f>C607+C620+C623+C669+C672+C690</f>
        <v/>
      </c>
    </row>
    <row r="872">
      <c r="A872" s="27" t="inlineStr">
        <is>
          <t xml:space="preserve">  ↳ Midialike (separado)</t>
        </is>
      </c>
      <c r="C872" s="28">
        <f>C607</f>
        <v/>
      </c>
    </row>
    <row r="873">
      <c r="A873" s="27" t="inlineStr">
        <is>
          <t xml:space="preserve">  ↳ Denise / Salão (separado)</t>
        </is>
      </c>
      <c r="C873" s="28">
        <f>C620</f>
        <v/>
      </c>
    </row>
    <row r="874">
      <c r="A874" s="2" t="inlineStr">
        <is>
          <t>SALDO LÍQUIDO DO MÊS</t>
        </is>
      </c>
      <c r="C874" s="5">
        <f>C607+C620+C623+C669+C672+C690+C710+C778+C792+C851</f>
        <v/>
      </c>
    </row>
    <row r="876">
      <c r="A876" s="11" t="inlineStr">
        <is>
          <t>Junho/2026</t>
        </is>
      </c>
    </row>
    <row r="877">
      <c r="A877" s="12" t="inlineStr">
        <is>
          <t>Categoria</t>
        </is>
      </c>
      <c r="B877" s="12" t="inlineStr">
        <is>
          <t>Conta / Despesa</t>
        </is>
      </c>
      <c r="C877" s="12" t="inlineStr">
        <is>
          <t>Valor</t>
        </is>
      </c>
      <c r="D877" s="12" t="inlineStr">
        <is>
          <t>Data de Pagamento</t>
        </is>
      </c>
      <c r="E877" s="12" t="inlineStr">
        <is>
          <t>Recibo / Comprovante</t>
        </is>
      </c>
      <c r="F877" s="12" t="inlineStr">
        <is>
          <t>Status</t>
        </is>
      </c>
      <c r="G877" s="12" t="inlineStr">
        <is>
          <t>Observações</t>
        </is>
      </c>
    </row>
    <row r="878">
      <c r="A878" s="21" t="inlineStr">
        <is>
          <t>Receita - Denise (Salão)</t>
        </is>
      </c>
      <c r="B878" s="22" t="n"/>
      <c r="C878" s="22" t="n"/>
      <c r="D878" s="22" t="n"/>
      <c r="E878" s="22" t="n"/>
      <c r="F878" s="22" t="n"/>
      <c r="G878" s="22" t="n"/>
    </row>
    <row r="879">
      <c r="A879" s="15" t="inlineStr">
        <is>
          <t>Receita - Denise (Salão)</t>
        </is>
      </c>
      <c r="B879" s="15" t="inlineStr">
        <is>
          <t>Depósito recebido de Denise / Salão</t>
        </is>
      </c>
      <c r="C879" s="16" t="n">
        <v>300</v>
      </c>
      <c r="D879" s="17" t="n">
        <v>46177</v>
      </c>
      <c r="E879" s="15" t="inlineStr"/>
      <c r="F879" s="15" t="inlineStr">
        <is>
          <t>Recebido</t>
        </is>
      </c>
      <c r="G879" s="15" t="inlineStr">
        <is>
          <t>Transferência recebida pelo Pix - DENISE DE PAULA CENTRO DE ESTETICA LTDA - 05.823.454/0001-86 - MERCADO PAGO IP LTDA. (0323) Agência: 1 Conta: 8804533771-0</t>
        </is>
      </c>
    </row>
    <row r="880">
      <c r="A880" s="18" t="inlineStr">
        <is>
          <t>Subtotal Receita - Denise (Salão)</t>
        </is>
      </c>
      <c r="B880" s="19" t="n"/>
      <c r="C880" s="20">
        <f>SUM(C879:C879)</f>
        <v/>
      </c>
      <c r="D880" s="19" t="n"/>
      <c r="E880" s="19" t="n"/>
      <c r="F880" s="19" t="n"/>
      <c r="G880" s="19" t="n"/>
    </row>
    <row r="881">
      <c r="A881" s="12" t="inlineStr">
        <is>
          <t>Contas Fixas</t>
        </is>
      </c>
      <c r="B881" s="23" t="n"/>
      <c r="C881" s="23" t="n"/>
      <c r="D881" s="23" t="n"/>
      <c r="E881" s="23" t="n"/>
      <c r="F881" s="23" t="n"/>
      <c r="G881" s="23" t="n"/>
    </row>
    <row r="882">
      <c r="A882" s="15" t="inlineStr">
        <is>
          <t>Contas Fixas</t>
        </is>
      </c>
      <c r="B882" s="15" t="inlineStr">
        <is>
          <t>Estacionamento Studio</t>
        </is>
      </c>
      <c r="C882" s="16" t="n">
        <v>-12.5</v>
      </c>
      <c r="D882" s="17" t="n">
        <v>46174</v>
      </c>
      <c r="E882" s="15" t="inlineStr"/>
      <c r="F882" s="15" t="inlineStr">
        <is>
          <t>Sem comprovante</t>
        </is>
      </c>
      <c r="G882" s="15" t="inlineStr">
        <is>
          <t>Compra no débito - ESTACIONAMENTO NICCO</t>
        </is>
      </c>
    </row>
    <row r="883">
      <c r="A883" s="15" t="inlineStr">
        <is>
          <t>Contas Fixas</t>
        </is>
      </c>
      <c r="B883" s="15" t="inlineStr">
        <is>
          <t>Internet / Telecom</t>
        </is>
      </c>
      <c r="C883" s="16" t="n">
        <v>-269.94</v>
      </c>
      <c r="D883" s="17" t="n">
        <v>46175</v>
      </c>
      <c r="E883" s="15" t="inlineStr"/>
      <c r="F883" s="15" t="inlineStr">
        <is>
          <t>Sem comprovante</t>
        </is>
      </c>
      <c r="G883" s="15" t="inlineStr">
        <is>
          <t>Resgate de empréstimo</t>
        </is>
      </c>
    </row>
    <row r="884">
      <c r="A884" s="15" t="inlineStr">
        <is>
          <t>Contas Fixas</t>
        </is>
      </c>
      <c r="B884" s="15" t="inlineStr">
        <is>
          <t>Luz (Copel)</t>
        </is>
      </c>
      <c r="C884" s="16" t="n">
        <v>-149.61</v>
      </c>
      <c r="D884" s="17" t="n">
        <v>46175</v>
      </c>
      <c r="E884" s="15" t="inlineStr">
        <is>
          <t>Copel Casa/00000037-PHOTO-2026-06-02-12-10-55.jpg</t>
        </is>
      </c>
      <c r="F884" s="15" t="inlineStr">
        <is>
          <t>Pago</t>
        </is>
      </c>
      <c r="G884" s="15" t="inlineStr">
        <is>
          <t>Transferência enviada pelo Pix - COPEL-DIS - 04.368.898/0001-06 - BCO BRADESCO S.A. (0237) Agência: 3099 Conta: 2361-2</t>
        </is>
      </c>
    </row>
    <row r="885">
      <c r="A885" s="15" t="inlineStr">
        <is>
          <t>Contas Fixas</t>
        </is>
      </c>
      <c r="B885" s="15" t="inlineStr">
        <is>
          <t>Estacionamento Studio</t>
        </is>
      </c>
      <c r="C885" s="16" t="n">
        <v>-12.5</v>
      </c>
      <c r="D885" s="17" t="n">
        <v>46176</v>
      </c>
      <c r="E885" s="15" t="inlineStr"/>
      <c r="F885" s="15" t="inlineStr">
        <is>
          <t>Sem comprovante</t>
        </is>
      </c>
      <c r="G885" s="15" t="inlineStr">
        <is>
          <t>Compra no débito - EstacionamentoNic</t>
        </is>
      </c>
    </row>
    <row r="886">
      <c r="A886" s="15" t="inlineStr">
        <is>
          <t>Contas Fixas</t>
        </is>
      </c>
      <c r="B886" s="15" t="inlineStr">
        <is>
          <t>Internet / Telecom</t>
        </is>
      </c>
      <c r="C886" s="16" t="n">
        <v>-54.8</v>
      </c>
      <c r="D886" s="17" t="n">
        <v>46176</v>
      </c>
      <c r="E886" s="15" t="inlineStr"/>
      <c r="F886" s="15" t="inlineStr">
        <is>
          <t>Sem comprovante</t>
        </is>
      </c>
      <c r="G886" s="15" t="inlineStr">
        <is>
          <t>Transferência enviada pelo Pix - CLARO - 40.432.544/0001-47 - ITAÚ UNIBANCO S.A. (0341) Agência: 911 Conta: 6206-5</t>
        </is>
      </c>
    </row>
    <row r="887">
      <c r="A887" s="15" t="inlineStr">
        <is>
          <t>Contas Fixas</t>
        </is>
      </c>
      <c r="B887" s="15" t="inlineStr">
        <is>
          <t>Assinatura Spotify</t>
        </is>
      </c>
      <c r="C887" s="16" t="n">
        <v>-40.9</v>
      </c>
      <c r="D887" s="17" t="n">
        <v>46177</v>
      </c>
      <c r="E887" s="15" t="inlineStr"/>
      <c r="F887" s="15" t="inlineStr">
        <is>
          <t>Sem comprovante</t>
        </is>
      </c>
      <c r="G887" s="15" t="inlineStr">
        <is>
          <t>Compra no débito via NuPay - EBW*Spotify</t>
        </is>
      </c>
    </row>
    <row r="888">
      <c r="A888" s="18" t="inlineStr">
        <is>
          <t>Subtotal Contas Fixas</t>
        </is>
      </c>
      <c r="B888" s="19" t="n"/>
      <c r="C888" s="20">
        <f>SUM(C882:C887)</f>
        <v/>
      </c>
      <c r="D888" s="19" t="n"/>
      <c r="E888" s="19" t="n"/>
      <c r="F888" s="19" t="n"/>
      <c r="G888" s="19" t="n"/>
    </row>
    <row r="889">
      <c r="A889" s="12" t="inlineStr">
        <is>
          <t>Contas Variáveis</t>
        </is>
      </c>
      <c r="B889" s="23" t="n"/>
      <c r="C889" s="23" t="n"/>
      <c r="D889" s="23" t="n"/>
      <c r="E889" s="23" t="n"/>
      <c r="F889" s="23" t="n"/>
      <c r="G889" s="23" t="n"/>
    </row>
    <row r="890">
      <c r="A890" s="15" t="inlineStr">
        <is>
          <t>Contas Variáveis</t>
        </is>
      </c>
      <c r="B890" s="15" t="inlineStr">
        <is>
          <t>Compra no débito</t>
        </is>
      </c>
      <c r="C890" s="16" t="n">
        <v>-9</v>
      </c>
      <c r="D890" s="17" t="n">
        <v>46174</v>
      </c>
      <c r="E890" s="15" t="inlineStr"/>
      <c r="F890" s="15" t="inlineStr">
        <is>
          <t>Sem comprovante</t>
        </is>
      </c>
      <c r="G890" s="15" t="inlineStr">
        <is>
          <t>Compra no débito - pgz*JACANA</t>
        </is>
      </c>
    </row>
    <row r="891">
      <c r="A891" s="15" t="inlineStr">
        <is>
          <t>Contas Variáveis</t>
        </is>
      </c>
      <c r="B891" s="15" t="inlineStr">
        <is>
          <t>Compra no débito</t>
        </is>
      </c>
      <c r="C891" s="16" t="n">
        <v>-31.9</v>
      </c>
      <c r="D891" s="17" t="n">
        <v>46175</v>
      </c>
      <c r="E891" s="15" t="inlineStr"/>
      <c r="F891" s="15" t="inlineStr">
        <is>
          <t>Sem comprovante</t>
        </is>
      </c>
      <c r="G891" s="15" t="inlineStr">
        <is>
          <t>Compra no débito - MP *DAYCLEAN</t>
        </is>
      </c>
    </row>
    <row r="892">
      <c r="A892" s="15" t="inlineStr">
        <is>
          <t>Contas Variáveis</t>
        </is>
      </c>
      <c r="B892" s="15" t="inlineStr">
        <is>
          <t>Combustível</t>
        </is>
      </c>
      <c r="C892" s="16" t="n">
        <v>-166</v>
      </c>
      <c r="D892" s="17" t="n">
        <v>46176</v>
      </c>
      <c r="E892" s="15" t="inlineStr"/>
      <c r="F892" s="15" t="inlineStr">
        <is>
          <t>Sem comprovante</t>
        </is>
      </c>
      <c r="G892" s="15" t="inlineStr">
        <is>
          <t>Compra no débito - AUTO POSTO CAMPINA</t>
        </is>
      </c>
    </row>
    <row r="893">
      <c r="A893" s="15" t="inlineStr">
        <is>
          <t>Contas Variáveis</t>
        </is>
      </c>
      <c r="B893" s="15" t="inlineStr">
        <is>
          <t>Combustível</t>
        </is>
      </c>
      <c r="C893" s="16" t="n">
        <v>-12</v>
      </c>
      <c r="D893" s="17" t="n">
        <v>46176</v>
      </c>
      <c r="E893" s="15" t="inlineStr"/>
      <c r="F893" s="15" t="inlineStr">
        <is>
          <t>Sem comprovante</t>
        </is>
      </c>
      <c r="G893" s="15" t="inlineStr">
        <is>
          <t>Compra no débito - AUTO POSTO CAMPINA</t>
        </is>
      </c>
    </row>
    <row r="894">
      <c r="A894" s="15" t="inlineStr">
        <is>
          <t>Contas Variáveis</t>
        </is>
      </c>
      <c r="B894" s="15" t="inlineStr">
        <is>
          <t>Compra no débito</t>
        </is>
      </c>
      <c r="C894" s="16" t="n">
        <v>-16.23</v>
      </c>
      <c r="D894" s="17" t="n">
        <v>46176</v>
      </c>
      <c r="E894" s="15" t="inlineStr"/>
      <c r="F894" s="15" t="inlineStr">
        <is>
          <t>Sem comprovante</t>
        </is>
      </c>
      <c r="G894" s="15" t="inlineStr">
        <is>
          <t>Compra no débito - PadariaE</t>
        </is>
      </c>
    </row>
    <row r="895">
      <c r="A895" s="15" t="inlineStr">
        <is>
          <t>Contas Variáveis</t>
        </is>
      </c>
      <c r="B895" s="15" t="inlineStr">
        <is>
          <t>Mercado</t>
        </is>
      </c>
      <c r="C895" s="16" t="n">
        <v>-130</v>
      </c>
      <c r="D895" s="17" t="n">
        <v>46176</v>
      </c>
      <c r="E895" s="15" t="inlineStr"/>
      <c r="F895" s="15" t="inlineStr">
        <is>
          <t>Sem comprovante</t>
        </is>
      </c>
      <c r="G895" s="15" t="inlineStr">
        <is>
          <t>Transferência enviada pelo Pix - KARINE MARCELINO POSSATO 08899580928 - 28.610.515/0001-22 - MERCADO PAGO IP LTDA. (0323) Agência: 1 Conta: 7811891935-0</t>
        </is>
      </c>
    </row>
    <row r="896">
      <c r="A896" s="15" t="inlineStr">
        <is>
          <t>Contas Variáveis</t>
        </is>
      </c>
      <c r="B896" s="15" t="inlineStr">
        <is>
          <t>Compra no débito</t>
        </is>
      </c>
      <c r="C896" s="16" t="n">
        <v>-85</v>
      </c>
      <c r="D896" s="17" t="n">
        <v>46177</v>
      </c>
      <c r="E896" s="15" t="inlineStr"/>
      <c r="F896" s="15" t="inlineStr">
        <is>
          <t>Sem comprovante</t>
        </is>
      </c>
      <c r="G896" s="15" t="inlineStr">
        <is>
          <t>Compra no débito - CASA COMPRAS SAO BRAZ</t>
        </is>
      </c>
    </row>
    <row r="897">
      <c r="A897" s="15" t="inlineStr">
        <is>
          <t>Contas Variáveis</t>
        </is>
      </c>
      <c r="B897" s="15" t="inlineStr">
        <is>
          <t>Compras Diversas</t>
        </is>
      </c>
      <c r="C897" s="16" t="n">
        <v>-40.97</v>
      </c>
      <c r="D897" s="17" t="n">
        <v>46177</v>
      </c>
      <c r="E897" s="15" t="inlineStr"/>
      <c r="F897" s="15" t="inlineStr">
        <is>
          <t>Sem comprovante</t>
        </is>
      </c>
      <c r="G897" s="15" t="inlineStr">
        <is>
          <t>Compra no débito - TOALDO TULIO 65</t>
        </is>
      </c>
    </row>
    <row r="898">
      <c r="A898" s="18" t="inlineStr">
        <is>
          <t>Subtotal Contas Variáveis</t>
        </is>
      </c>
      <c r="B898" s="19" t="n"/>
      <c r="C898" s="20">
        <f>SUM(C890:C897)</f>
        <v/>
      </c>
      <c r="D898" s="19" t="n"/>
      <c r="E898" s="19" t="n"/>
      <c r="F898" s="19" t="n"/>
      <c r="G898" s="19" t="n"/>
    </row>
    <row r="899">
      <c r="A899" s="12" t="inlineStr">
        <is>
          <t>Outros</t>
        </is>
      </c>
      <c r="B899" s="23" t="n"/>
      <c r="C899" s="23" t="n"/>
      <c r="D899" s="23" t="n"/>
      <c r="E899" s="23" t="n"/>
      <c r="F899" s="23" t="n"/>
      <c r="G899" s="23" t="n"/>
    </row>
    <row r="900">
      <c r="A900" s="15" t="inlineStr">
        <is>
          <t>Outros</t>
        </is>
      </c>
      <c r="B900" s="15" t="inlineStr">
        <is>
          <t>Pagamento de boleto</t>
        </is>
      </c>
      <c r="C900" s="16" t="n">
        <v>-137.32</v>
      </c>
      <c r="D900" s="17" t="n">
        <v>46175</v>
      </c>
      <c r="E900" s="15" t="inlineStr"/>
      <c r="F900" s="15" t="inlineStr">
        <is>
          <t>Sem comprovante</t>
        </is>
      </c>
      <c r="G900" s="15" t="inlineStr">
        <is>
          <t>Pagamento de boleto efetuado - ITAU UNIBANCO HOLDING S/A</t>
        </is>
      </c>
    </row>
    <row r="901">
      <c r="A901" s="15" t="inlineStr">
        <is>
          <t>Outros</t>
        </is>
      </c>
      <c r="B901" s="15" t="inlineStr">
        <is>
          <t>Consórcio</t>
        </is>
      </c>
      <c r="C901" s="16" t="n">
        <v>-348.05</v>
      </c>
      <c r="D901" s="17" t="n">
        <v>46175</v>
      </c>
      <c r="E901" s="15" t="inlineStr"/>
      <c r="F901" s="15" t="inlineStr">
        <is>
          <t>Sem comprovante</t>
        </is>
      </c>
      <c r="G901" s="15" t="inlineStr">
        <is>
          <t>Transferência enviada pelo Pix - CONSORCIO AXS ENERGIA UNIDADE - 51.533.837/0001-37 - BCO SANTANDER (BRASIL) S.A. (0033) Agência: 2271 Conta: 13013858-9</t>
        </is>
      </c>
    </row>
    <row r="902">
      <c r="A902" s="15" t="inlineStr">
        <is>
          <t>Outros</t>
        </is>
      </c>
      <c r="B902" s="15" t="inlineStr">
        <is>
          <t>Transferência Pix Enviada</t>
        </is>
      </c>
      <c r="C902" s="16" t="n">
        <v>-157.53</v>
      </c>
      <c r="D902" s="17" t="n">
        <v>46175</v>
      </c>
      <c r="E902" s="15" t="inlineStr"/>
      <c r="F902" s="15" t="inlineStr">
        <is>
          <t>Sem comprovante</t>
        </is>
      </c>
      <c r="G902" s="15" t="inlineStr">
        <is>
          <t>Transferência enviada pelo Pix - LEONARDO MUNHOZ LUCIO - •••.391.699-•• - ITAÚ UNIBANCO S.A. (0341) Agência: 7826 Conta: 6114-0</t>
        </is>
      </c>
    </row>
    <row r="903">
      <c r="A903" s="15" t="inlineStr">
        <is>
          <t>Outros</t>
        </is>
      </c>
      <c r="B903" s="15" t="inlineStr">
        <is>
          <t>Pagar.me (boleto)</t>
        </is>
      </c>
      <c r="C903" s="16" t="n">
        <v>-25.44</v>
      </c>
      <c r="D903" s="17" t="n">
        <v>46175</v>
      </c>
      <c r="E903" s="15" t="inlineStr"/>
      <c r="F903" s="15" t="inlineStr">
        <is>
          <t>Sem comprovante</t>
        </is>
      </c>
      <c r="G903" s="15" t="inlineStr">
        <is>
          <t>Transferência enviada pelo Pix - Pagar Me Pagamentos - 18.727.053/0001-74 - STONE IP S.A. (0197) Agência: 1 Conta: 16714636-4</t>
        </is>
      </c>
    </row>
    <row r="904">
      <c r="A904" s="15" t="inlineStr">
        <is>
          <t>Outros</t>
        </is>
      </c>
      <c r="B904" s="15" t="inlineStr">
        <is>
          <t>Transferência Pix Enviada</t>
        </is>
      </c>
      <c r="C904" s="16" t="n">
        <v>-76</v>
      </c>
      <c r="D904" s="17" t="n">
        <v>46176</v>
      </c>
      <c r="E904" s="15" t="inlineStr"/>
      <c r="F904" s="15" t="inlineStr">
        <is>
          <t>Sem comprovante</t>
        </is>
      </c>
      <c r="G904" s="15" t="inlineStr">
        <is>
          <t>Transferência enviada pelo Pix - NIC. BR - 05.506.560/0001-36 - EFÍ S.A. - IP (0364) Agência: 1 Conta: 276784-8</t>
        </is>
      </c>
    </row>
    <row r="905">
      <c r="A905" s="15" t="inlineStr">
        <is>
          <t>Outros</t>
        </is>
      </c>
      <c r="B905" s="15" t="inlineStr">
        <is>
          <t>Transferência Pix Enviada</t>
        </is>
      </c>
      <c r="C905" s="16" t="n">
        <v>-69.98</v>
      </c>
      <c r="D905" s="17" t="n">
        <v>46177</v>
      </c>
      <c r="E905" s="15" t="inlineStr"/>
      <c r="F905" s="15" t="inlineStr">
        <is>
          <t>Sem comprovante</t>
        </is>
      </c>
      <c r="G905" s="15" t="inlineStr">
        <is>
          <t>Transferência enviada pelo Pix - IGUASPORT LTDA - 02.314.041/0001-88 - BCO BRADESCO S.A. (0237) Agência: 3380 Conta: 84964-2</t>
        </is>
      </c>
    </row>
    <row r="906">
      <c r="A906" s="15" t="inlineStr">
        <is>
          <t>Outros</t>
        </is>
      </c>
      <c r="B906" s="15" t="inlineStr">
        <is>
          <t>Transferência Pix Enviada</t>
        </is>
      </c>
      <c r="C906" s="16" t="n">
        <v>-111.14</v>
      </c>
      <c r="D906" s="17" t="n">
        <v>46177</v>
      </c>
      <c r="E906" s="15" t="inlineStr"/>
      <c r="F906" s="15" t="inlineStr">
        <is>
          <t>Sem comprovante</t>
        </is>
      </c>
      <c r="G906" s="15" t="inlineStr">
        <is>
          <t>Transferência enviada pelo Pix - M &amp; S MIARA CAFE E LANCHES LTDA - 21.415.334/0001-04 - FLAGSHIP IP LTDA (0566) Agência: 179 Conta: 56690-0</t>
        </is>
      </c>
    </row>
    <row r="907">
      <c r="A907" s="18" t="inlineStr">
        <is>
          <t>Subtotal Outros</t>
        </is>
      </c>
      <c r="B907" s="19" t="n"/>
      <c r="C907" s="20">
        <f>SUM(C900:C906)</f>
        <v/>
      </c>
      <c r="D907" s="19" t="n"/>
      <c r="E907" s="19" t="n"/>
      <c r="F907" s="19" t="n"/>
      <c r="G907" s="19" t="n"/>
    </row>
    <row r="908">
      <c r="A908" s="6" t="inlineStr">
        <is>
          <t>TOTAL DESPESAS PAGAS</t>
        </is>
      </c>
      <c r="C908" s="24">
        <f>C888+C898+C907</f>
        <v/>
      </c>
    </row>
    <row r="909">
      <c r="A909" s="25" t="inlineStr">
        <is>
          <t>TOTAL RECEITAS</t>
        </is>
      </c>
      <c r="C909" s="26">
        <f>C880</f>
        <v/>
      </c>
    </row>
    <row r="910">
      <c r="A910" s="27" t="inlineStr">
        <is>
          <t xml:space="preserve">  ↳ Midialike (separado)</t>
        </is>
      </c>
      <c r="C910" s="28" t="n">
        <v>0</v>
      </c>
    </row>
    <row r="911">
      <c r="A911" s="27" t="inlineStr">
        <is>
          <t xml:space="preserve">  ↳ Denise / Salão (separado)</t>
        </is>
      </c>
      <c r="C911" s="28">
        <f>C880</f>
        <v/>
      </c>
    </row>
    <row r="912">
      <c r="A912" s="2" t="inlineStr">
        <is>
          <t>SALDO LÍQUIDO DO MÊS</t>
        </is>
      </c>
      <c r="C912" s="5">
        <f>C880+C888+C898+C907</f>
        <v/>
      </c>
    </row>
    <row r="914">
      <c r="A914" s="11" t="inlineStr">
        <is>
          <t>Julho/2026</t>
        </is>
      </c>
    </row>
    <row r="915">
      <c r="A915" s="12" t="inlineStr">
        <is>
          <t>Categoria</t>
        </is>
      </c>
      <c r="B915" s="12" t="inlineStr">
        <is>
          <t>Conta / Despesa</t>
        </is>
      </c>
      <c r="C915" s="12" t="inlineStr">
        <is>
          <t>Valor</t>
        </is>
      </c>
      <c r="D915" s="12" t="inlineStr">
        <is>
          <t>Data de Pagamento</t>
        </is>
      </c>
      <c r="E915" s="12" t="inlineStr">
        <is>
          <t>Recibo / Comprovante</t>
        </is>
      </c>
      <c r="F915" s="12" t="inlineStr">
        <is>
          <t>Status</t>
        </is>
      </c>
      <c r="G915" s="12" t="inlineStr">
        <is>
          <t>Observações</t>
        </is>
      </c>
    </row>
    <row r="916">
      <c r="A916" s="6" t="inlineStr">
        <is>
          <t>TOTAL DESPESAS PAGAS</t>
        </is>
      </c>
      <c r="C916" s="24" t="n">
        <v>0</v>
      </c>
    </row>
    <row r="917">
      <c r="A917" s="25" t="inlineStr">
        <is>
          <t>TOTAL RECEITAS</t>
        </is>
      </c>
      <c r="C917" s="26" t="n">
        <v>0</v>
      </c>
    </row>
    <row r="918">
      <c r="A918" s="27" t="inlineStr">
        <is>
          <t xml:space="preserve">  ↳ Midialike (separado)</t>
        </is>
      </c>
      <c r="C918" s="28" t="n">
        <v>0</v>
      </c>
    </row>
    <row r="919">
      <c r="A919" s="27" t="inlineStr">
        <is>
          <t xml:space="preserve">  ↳ Denise / Salão (separado)</t>
        </is>
      </c>
      <c r="C919" s="28" t="n">
        <v>0</v>
      </c>
    </row>
    <row r="920">
      <c r="A920" s="2" t="inlineStr">
        <is>
          <t>SALDO LÍQUIDO DO MÊS</t>
        </is>
      </c>
      <c r="C920" s="5" t="n">
        <v>0</v>
      </c>
    </row>
    <row r="922">
      <c r="A922" s="11" t="inlineStr">
        <is>
          <t>Agosto/2026</t>
        </is>
      </c>
    </row>
    <row r="923">
      <c r="A923" s="12" t="inlineStr">
        <is>
          <t>Categoria</t>
        </is>
      </c>
      <c r="B923" s="12" t="inlineStr">
        <is>
          <t>Conta / Despesa</t>
        </is>
      </c>
      <c r="C923" s="12" t="inlineStr">
        <is>
          <t>Valor</t>
        </is>
      </c>
      <c r="D923" s="12" t="inlineStr">
        <is>
          <t>Data de Pagamento</t>
        </is>
      </c>
      <c r="E923" s="12" t="inlineStr">
        <is>
          <t>Recibo / Comprovante</t>
        </is>
      </c>
      <c r="F923" s="12" t="inlineStr">
        <is>
          <t>Status</t>
        </is>
      </c>
      <c r="G923" s="12" t="inlineStr">
        <is>
          <t>Observações</t>
        </is>
      </c>
    </row>
    <row r="924">
      <c r="A924" s="6" t="inlineStr">
        <is>
          <t>TOTAL DESPESAS PAGAS</t>
        </is>
      </c>
      <c r="C924" s="24" t="n">
        <v>0</v>
      </c>
    </row>
    <row r="925">
      <c r="A925" s="25" t="inlineStr">
        <is>
          <t>TOTAL RECEITAS</t>
        </is>
      </c>
      <c r="C925" s="26" t="n">
        <v>0</v>
      </c>
    </row>
    <row r="926">
      <c r="A926" s="27" t="inlineStr">
        <is>
          <t xml:space="preserve">  ↳ Midialike (separado)</t>
        </is>
      </c>
      <c r="C926" s="28" t="n">
        <v>0</v>
      </c>
    </row>
    <row r="927">
      <c r="A927" s="27" t="inlineStr">
        <is>
          <t xml:space="preserve">  ↳ Denise / Salão (separado)</t>
        </is>
      </c>
      <c r="C927" s="28" t="n">
        <v>0</v>
      </c>
    </row>
    <row r="928">
      <c r="A928" s="2" t="inlineStr">
        <is>
          <t>SALDO LÍQUIDO DO MÊS</t>
        </is>
      </c>
      <c r="C928" s="5" t="n">
        <v>0</v>
      </c>
    </row>
    <row r="930">
      <c r="A930" s="11" t="inlineStr">
        <is>
          <t>Setembro/2026</t>
        </is>
      </c>
    </row>
    <row r="931">
      <c r="A931" s="12" t="inlineStr">
        <is>
          <t>Categoria</t>
        </is>
      </c>
      <c r="B931" s="12" t="inlineStr">
        <is>
          <t>Conta / Despesa</t>
        </is>
      </c>
      <c r="C931" s="12" t="inlineStr">
        <is>
          <t>Valor</t>
        </is>
      </c>
      <c r="D931" s="12" t="inlineStr">
        <is>
          <t>Data de Pagamento</t>
        </is>
      </c>
      <c r="E931" s="12" t="inlineStr">
        <is>
          <t>Recibo / Comprovante</t>
        </is>
      </c>
      <c r="F931" s="12" t="inlineStr">
        <is>
          <t>Status</t>
        </is>
      </c>
      <c r="G931" s="12" t="inlineStr">
        <is>
          <t>Observações</t>
        </is>
      </c>
    </row>
    <row r="932">
      <c r="A932" s="6" t="inlineStr">
        <is>
          <t>TOTAL DESPESAS PAGAS</t>
        </is>
      </c>
      <c r="C932" s="24" t="n">
        <v>0</v>
      </c>
    </row>
    <row r="933">
      <c r="A933" s="25" t="inlineStr">
        <is>
          <t>TOTAL RECEITAS</t>
        </is>
      </c>
      <c r="C933" s="26" t="n">
        <v>0</v>
      </c>
    </row>
    <row r="934">
      <c r="A934" s="27" t="inlineStr">
        <is>
          <t xml:space="preserve">  ↳ Midialike (separado)</t>
        </is>
      </c>
      <c r="C934" s="28" t="n">
        <v>0</v>
      </c>
    </row>
    <row r="935">
      <c r="A935" s="27" t="inlineStr">
        <is>
          <t xml:space="preserve">  ↳ Denise / Salão (separado)</t>
        </is>
      </c>
      <c r="C935" s="28" t="n">
        <v>0</v>
      </c>
    </row>
    <row r="936">
      <c r="A936" s="2" t="inlineStr">
        <is>
          <t>SALDO LÍQUIDO DO MÊS</t>
        </is>
      </c>
      <c r="C936" s="5" t="n">
        <v>0</v>
      </c>
    </row>
    <row r="938">
      <c r="A938" s="11" t="inlineStr">
        <is>
          <t>Outubro/2026</t>
        </is>
      </c>
    </row>
    <row r="939">
      <c r="A939" s="12" t="inlineStr">
        <is>
          <t>Categoria</t>
        </is>
      </c>
      <c r="B939" s="12" t="inlineStr">
        <is>
          <t>Conta / Despesa</t>
        </is>
      </c>
      <c r="C939" s="12" t="inlineStr">
        <is>
          <t>Valor</t>
        </is>
      </c>
      <c r="D939" s="12" t="inlineStr">
        <is>
          <t>Data de Pagamento</t>
        </is>
      </c>
      <c r="E939" s="12" t="inlineStr">
        <is>
          <t>Recibo / Comprovante</t>
        </is>
      </c>
      <c r="F939" s="12" t="inlineStr">
        <is>
          <t>Status</t>
        </is>
      </c>
      <c r="G939" s="12" t="inlineStr">
        <is>
          <t>Observações</t>
        </is>
      </c>
    </row>
    <row r="940">
      <c r="A940" s="6" t="inlineStr">
        <is>
          <t>TOTAL DESPESAS PAGAS</t>
        </is>
      </c>
      <c r="C940" s="24" t="n">
        <v>0</v>
      </c>
    </row>
    <row r="941">
      <c r="A941" s="25" t="inlineStr">
        <is>
          <t>TOTAL RECEITAS</t>
        </is>
      </c>
      <c r="C941" s="26" t="n">
        <v>0</v>
      </c>
    </row>
    <row r="942">
      <c r="A942" s="27" t="inlineStr">
        <is>
          <t xml:space="preserve">  ↳ Midialike (separado)</t>
        </is>
      </c>
      <c r="C942" s="28" t="n">
        <v>0</v>
      </c>
    </row>
    <row r="943">
      <c r="A943" s="27" t="inlineStr">
        <is>
          <t xml:space="preserve">  ↳ Denise / Salão (separado)</t>
        </is>
      </c>
      <c r="C943" s="28" t="n">
        <v>0</v>
      </c>
    </row>
    <row r="944">
      <c r="A944" s="2" t="inlineStr">
        <is>
          <t>SALDO LÍQUIDO DO MÊS</t>
        </is>
      </c>
      <c r="C944" s="5" t="n">
        <v>0</v>
      </c>
    </row>
    <row r="946">
      <c r="A946" s="11" t="inlineStr">
        <is>
          <t>Novembro/2026</t>
        </is>
      </c>
    </row>
    <row r="947">
      <c r="A947" s="12" t="inlineStr">
        <is>
          <t>Categoria</t>
        </is>
      </c>
      <c r="B947" s="12" t="inlineStr">
        <is>
          <t>Conta / Despesa</t>
        </is>
      </c>
      <c r="C947" s="12" t="inlineStr">
        <is>
          <t>Valor</t>
        </is>
      </c>
      <c r="D947" s="12" t="inlineStr">
        <is>
          <t>Data de Pagamento</t>
        </is>
      </c>
      <c r="E947" s="12" t="inlineStr">
        <is>
          <t>Recibo / Comprovante</t>
        </is>
      </c>
      <c r="F947" s="12" t="inlineStr">
        <is>
          <t>Status</t>
        </is>
      </c>
      <c r="G947" s="12" t="inlineStr">
        <is>
          <t>Observações</t>
        </is>
      </c>
    </row>
    <row r="948">
      <c r="A948" s="6" t="inlineStr">
        <is>
          <t>TOTAL DESPESAS PAGAS</t>
        </is>
      </c>
      <c r="C948" s="24" t="n">
        <v>0</v>
      </c>
    </row>
    <row r="949">
      <c r="A949" s="25" t="inlineStr">
        <is>
          <t>TOTAL RECEITAS</t>
        </is>
      </c>
      <c r="C949" s="26" t="n">
        <v>0</v>
      </c>
    </row>
    <row r="950">
      <c r="A950" s="27" t="inlineStr">
        <is>
          <t xml:space="preserve">  ↳ Midialike (separado)</t>
        </is>
      </c>
      <c r="C950" s="28" t="n">
        <v>0</v>
      </c>
    </row>
    <row r="951">
      <c r="A951" s="27" t="inlineStr">
        <is>
          <t xml:space="preserve">  ↳ Denise / Salão (separado)</t>
        </is>
      </c>
      <c r="C951" s="28" t="n">
        <v>0</v>
      </c>
    </row>
    <row r="952">
      <c r="A952" s="2" t="inlineStr">
        <is>
          <t>SALDO LÍQUIDO DO MÊS</t>
        </is>
      </c>
      <c r="C952" s="5" t="n">
        <v>0</v>
      </c>
    </row>
    <row r="954">
      <c r="A954" s="11" t="inlineStr">
        <is>
          <t>Dezembro/2026</t>
        </is>
      </c>
    </row>
    <row r="955">
      <c r="A955" s="12" t="inlineStr">
        <is>
          <t>Categoria</t>
        </is>
      </c>
      <c r="B955" s="12" t="inlineStr">
        <is>
          <t>Conta / Despesa</t>
        </is>
      </c>
      <c r="C955" s="12" t="inlineStr">
        <is>
          <t>Valor</t>
        </is>
      </c>
      <c r="D955" s="12" t="inlineStr">
        <is>
          <t>Data de Pagamento</t>
        </is>
      </c>
      <c r="E955" s="12" t="inlineStr">
        <is>
          <t>Recibo / Comprovante</t>
        </is>
      </c>
      <c r="F955" s="12" t="inlineStr">
        <is>
          <t>Status</t>
        </is>
      </c>
      <c r="G955" s="12" t="inlineStr">
        <is>
          <t>Observações</t>
        </is>
      </c>
    </row>
    <row r="956">
      <c r="A956" s="6" t="inlineStr">
        <is>
          <t>TOTAL DESPESAS PAGAS</t>
        </is>
      </c>
      <c r="C956" s="24" t="n">
        <v>0</v>
      </c>
    </row>
    <row r="957">
      <c r="A957" s="25" t="inlineStr">
        <is>
          <t>TOTAL RECEITAS</t>
        </is>
      </c>
      <c r="C957" s="26" t="n">
        <v>0</v>
      </c>
    </row>
    <row r="958">
      <c r="A958" s="27" t="inlineStr">
        <is>
          <t xml:space="preserve">  ↳ Midialike (separado)</t>
        </is>
      </c>
      <c r="C958" s="28" t="n">
        <v>0</v>
      </c>
    </row>
    <row r="959">
      <c r="A959" s="27" t="inlineStr">
        <is>
          <t xml:space="preserve">  ↳ Denise / Salão (separado)</t>
        </is>
      </c>
      <c r="C959" s="28" t="n">
        <v>0</v>
      </c>
    </row>
    <row r="960">
      <c r="A960" s="2" t="inlineStr">
        <is>
          <t>SALDO LÍQUIDO DO MÊS</t>
        </is>
      </c>
      <c r="C960" s="5" t="n">
        <v>0</v>
      </c>
    </row>
  </sheetData>
  <mergeCells count="12">
    <mergeCell ref="A930:G930"/>
    <mergeCell ref="A1:G1"/>
    <mergeCell ref="A922:G922"/>
    <mergeCell ref="A938:G938"/>
    <mergeCell ref="A245:G245"/>
    <mergeCell ref="A876:G876"/>
    <mergeCell ref="A512:G512"/>
    <mergeCell ref="A946:G946"/>
    <mergeCell ref="A600:G600"/>
    <mergeCell ref="A954:G954"/>
    <mergeCell ref="A138:G138"/>
    <mergeCell ref="A914:G9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10" customWidth="1" min="4" max="4"/>
    <col width="22" customWidth="1" min="5" max="5"/>
    <col width="32" customWidth="1" min="6" max="6"/>
    <col width="10" customWidth="1" min="7" max="7"/>
    <col width="14" customWidth="1" min="8" max="8"/>
    <col width="14" customWidth="1" min="9" max="9"/>
    <col width="12" customWidth="1" min="10" max="10"/>
    <col width="12" customWidth="1" min="11" max="11"/>
    <col width="36" customWidth="1" min="12" max="12"/>
    <col width="36" customWidth="1" min="13" max="13"/>
    <col width="16" customWidth="1" min="14" max="14"/>
    <col width="56" customWidth="1" min="15" max="15"/>
  </cols>
  <sheetData>
    <row r="1">
      <c r="A1" s="7" t="inlineStr">
        <is>
          <t>Data</t>
        </is>
      </c>
      <c r="B1" s="7" t="inlineStr">
        <is>
          <t>Mês</t>
        </is>
      </c>
      <c r="C1" s="7" t="inlineStr">
        <is>
          <t>Ano</t>
        </is>
      </c>
      <c r="D1" s="7" t="inlineStr">
        <is>
          <t>Esfera</t>
        </is>
      </c>
      <c r="E1" s="7" t="inlineStr">
        <is>
          <t>Categoria</t>
        </is>
      </c>
      <c r="F1" s="7" t="inlineStr">
        <is>
          <t>Conta / Despesa</t>
        </is>
      </c>
      <c r="G1" s="7" t="inlineStr">
        <is>
          <t>Tipo</t>
        </is>
      </c>
      <c r="H1" s="7" t="inlineStr">
        <is>
          <t>Valor</t>
        </is>
      </c>
      <c r="I1" s="7" t="inlineStr">
        <is>
          <t>Forma de Pagamento</t>
        </is>
      </c>
      <c r="J1" s="7" t="inlineStr">
        <is>
          <t>Recorrente?</t>
        </is>
      </c>
      <c r="K1" s="7" t="inlineStr">
        <is>
          <t>Frequência</t>
        </is>
      </c>
      <c r="L1" s="7" t="inlineStr">
        <is>
          <t>Recibo / Comprovante</t>
        </is>
      </c>
      <c r="M1" s="7" t="inlineStr">
        <is>
          <t>Arquivo de Origem</t>
        </is>
      </c>
      <c r="N1" s="7" t="inlineStr">
        <is>
          <t>Status</t>
        </is>
      </c>
      <c r="O1" s="7" t="inlineStr">
        <is>
          <t>Observações</t>
        </is>
      </c>
    </row>
    <row r="2">
      <c r="A2" s="29" t="n">
        <v>46023</v>
      </c>
      <c r="B2" t="n">
        <v>1</v>
      </c>
      <c r="C2" t="n">
        <v>2026</v>
      </c>
      <c r="D2" t="inlineStr">
        <is>
          <t>Geral</t>
        </is>
      </c>
      <c r="E2" t="inlineStr">
        <is>
          <t>Contas Fixas</t>
        </is>
      </c>
      <c r="F2" t="inlineStr">
        <is>
          <t>Assinatura Meli+</t>
        </is>
      </c>
      <c r="G2" t="inlineStr">
        <is>
          <t>Despesa</t>
        </is>
      </c>
      <c r="H2" s="3" t="n">
        <v>-8.9</v>
      </c>
      <c r="I2" t="inlineStr">
        <is>
          <t>Outro</t>
        </is>
      </c>
      <c r="J2" t="inlineStr">
        <is>
          <t>Sim</t>
        </is>
      </c>
      <c r="K2" t="inlineStr">
        <is>
          <t>Mensal</t>
        </is>
      </c>
      <c r="L2" t="inlineStr"/>
      <c r="M2" t="inlineStr">
        <is>
          <t>Mercado Pago account_statement-0c8b26f3-edca-45af-98d4-d8a53ef417b3.xlsx</t>
        </is>
      </c>
      <c r="N2" t="inlineStr">
        <is>
          <t>Sem comprovante</t>
        </is>
      </c>
      <c r="O2" t="inlineStr">
        <is>
          <t>Pagamento de assinatura Meli+</t>
        </is>
      </c>
    </row>
    <row r="3">
      <c r="A3" s="29" t="n">
        <v>46023</v>
      </c>
      <c r="B3" t="n">
        <v>1</v>
      </c>
      <c r="C3" t="n">
        <v>2026</v>
      </c>
      <c r="D3" t="inlineStr">
        <is>
          <t>Geral</t>
        </is>
      </c>
      <c r="E3" t="inlineStr">
        <is>
          <t>Transferência - Bruno (própria)</t>
        </is>
      </c>
      <c r="F3" t="inlineStr">
        <is>
          <t>Pix Bruno→Bruno (entre contas próprias)</t>
        </is>
      </c>
      <c r="G3" t="inlineStr">
        <is>
          <t>Despesa</t>
        </is>
      </c>
      <c r="H3" s="3" t="n">
        <v>-500</v>
      </c>
      <c r="I3" t="inlineStr">
        <is>
          <t>Pix</t>
        </is>
      </c>
      <c r="J3" t="inlineStr">
        <is>
          <t>Não</t>
        </is>
      </c>
      <c r="K3" t="inlineStr">
        <is>
          <t>Eventual</t>
        </is>
      </c>
      <c r="L3" t="inlineStr"/>
      <c r="M3" t="inlineStr">
        <is>
          <t>Mercado Pago account_statement-0c8b26f3-edca-45af-98d4-d8a53ef417b3.xlsx</t>
        </is>
      </c>
      <c r="N3" t="inlineStr">
        <is>
          <t>Sem comprovante</t>
        </is>
      </c>
      <c r="O3" t="inlineStr">
        <is>
          <t>Transferência Pix enviada Bruno Porto Seus</t>
        </is>
      </c>
    </row>
    <row r="4">
      <c r="A4" s="29" t="n">
        <v>46024</v>
      </c>
      <c r="B4" t="n">
        <v>1</v>
      </c>
      <c r="C4" t="n">
        <v>2026</v>
      </c>
      <c r="D4" t="inlineStr">
        <is>
          <t>Pessoal</t>
        </is>
      </c>
      <c r="E4" t="inlineStr">
        <is>
          <t>Outros</t>
        </is>
      </c>
      <c r="F4" t="inlineStr">
        <is>
          <t>Compra / Pix Pessoal</t>
        </is>
      </c>
      <c r="G4" t="inlineStr">
        <is>
          <t>Despesa</t>
        </is>
      </c>
      <c r="H4" s="3" t="n">
        <v>-64.98</v>
      </c>
      <c r="I4" t="inlineStr">
        <is>
          <t>Pix</t>
        </is>
      </c>
      <c r="J4" t="inlineStr">
        <is>
          <t>Não</t>
        </is>
      </c>
      <c r="K4" t="inlineStr">
        <is>
          <t>Eventual</t>
        </is>
      </c>
      <c r="L4" t="inlineStr"/>
      <c r="M4" t="inlineStr">
        <is>
          <t>Mercado Pago account_statement-0c8b26f3-edca-45af-98d4-d8a53ef417b3.xlsx</t>
        </is>
      </c>
      <c r="N4" t="inlineStr">
        <is>
          <t>Sem comprovante</t>
        </is>
      </c>
      <c r="O4" t="inlineStr">
        <is>
          <t>Pagamento com QR Pix D C A ROSSETTI</t>
        </is>
      </c>
    </row>
    <row r="5">
      <c r="A5" s="29" t="n">
        <v>46024</v>
      </c>
      <c r="B5" t="n">
        <v>1</v>
      </c>
      <c r="C5" t="n">
        <v>2026</v>
      </c>
      <c r="D5" t="inlineStr">
        <is>
          <t>Geral</t>
        </is>
      </c>
      <c r="E5" t="inlineStr">
        <is>
          <t>Outros</t>
        </is>
      </c>
      <c r="F5" t="inlineStr">
        <is>
          <t>Transferência Pix Enviada</t>
        </is>
      </c>
      <c r="G5" t="inlineStr">
        <is>
          <t>Despesa</t>
        </is>
      </c>
      <c r="H5" s="3" t="n">
        <v>-23.4</v>
      </c>
      <c r="I5" t="inlineStr">
        <is>
          <t>Pix</t>
        </is>
      </c>
      <c r="J5" t="inlineStr">
        <is>
          <t>Não</t>
        </is>
      </c>
      <c r="K5" t="inlineStr">
        <is>
          <t>Eventual</t>
        </is>
      </c>
      <c r="L5" t="inlineStr"/>
      <c r="M5" t="inlineStr">
        <is>
          <t>Mercado Pago account_statement-0c8b26f3-edca-45af-98d4-d8a53ef417b3.xlsx</t>
        </is>
      </c>
      <c r="N5" t="inlineStr">
        <is>
          <t>Sem comprovante</t>
        </is>
      </c>
      <c r="O5" t="inlineStr">
        <is>
          <t>Transferência Pix enviada Segline - Automacao Predial e Reparacao de Equipamentos ...</t>
        </is>
      </c>
    </row>
    <row r="6">
      <c r="A6" s="29" t="n">
        <v>46024</v>
      </c>
      <c r="B6" t="n">
        <v>1</v>
      </c>
      <c r="C6" t="n">
        <v>2026</v>
      </c>
      <c r="D6" t="inlineStr">
        <is>
          <t>Geral</t>
        </is>
      </c>
      <c r="E6" t="inlineStr">
        <is>
          <t>Transferência - Denise</t>
        </is>
      </c>
      <c r="F6" t="inlineStr">
        <is>
          <t>Pix Bruno→Denise</t>
        </is>
      </c>
      <c r="G6" t="inlineStr">
        <is>
          <t>Despesa</t>
        </is>
      </c>
      <c r="H6" s="3" t="n">
        <v>-200</v>
      </c>
      <c r="I6" t="inlineStr">
        <is>
          <t>Outro</t>
        </is>
      </c>
      <c r="J6" t="inlineStr">
        <is>
          <t>Não</t>
        </is>
      </c>
      <c r="K6" t="inlineStr">
        <is>
          <t>Eventual</t>
        </is>
      </c>
      <c r="L6" t="inlineStr"/>
      <c r="M6" t="inlineStr">
        <is>
          <t>Mercado Pago account_statement-0c8b26f3-edca-45af-98d4-d8a53ef417b3.xlsx</t>
        </is>
      </c>
      <c r="N6" t="inlineStr">
        <is>
          <t>Sem comprovante</t>
        </is>
      </c>
      <c r="O6" t="inlineStr">
        <is>
          <t>Transferência enviada Denise De Paula</t>
        </is>
      </c>
    </row>
    <row r="7">
      <c r="A7" s="29" t="n">
        <v>46025</v>
      </c>
      <c r="B7" t="n">
        <v>1</v>
      </c>
      <c r="C7" t="n">
        <v>2026</v>
      </c>
      <c r="D7" t="inlineStr">
        <is>
          <t>Pessoal</t>
        </is>
      </c>
      <c r="E7" t="inlineStr">
        <is>
          <t>Contas Variáveis</t>
        </is>
      </c>
      <c r="F7" t="inlineStr">
        <is>
          <t>Materiais / Construção</t>
        </is>
      </c>
      <c r="G7" t="inlineStr">
        <is>
          <t>Despesa</t>
        </is>
      </c>
      <c r="H7" s="3" t="n">
        <v>-33.8</v>
      </c>
      <c r="I7" t="inlineStr">
        <is>
          <t>Pix</t>
        </is>
      </c>
      <c r="J7" t="inlineStr">
        <is>
          <t>Não</t>
        </is>
      </c>
      <c r="K7" t="inlineStr">
        <is>
          <t>Eventual</t>
        </is>
      </c>
      <c r="L7" t="inlineStr"/>
      <c r="M7" t="inlineStr">
        <is>
          <t>Mercado Pago account_statement-0c8b26f3-edca-45af-98d4-d8a53ef417b3.xlsx</t>
        </is>
      </c>
      <c r="N7" t="inlineStr">
        <is>
          <t>Sem comprovante</t>
        </is>
      </c>
      <c r="O7" t="inlineStr">
        <is>
          <t>Pagamento com QR Pix M FILIPAK PONTAL POSTES MATERIAIS ELETRICOS</t>
        </is>
      </c>
    </row>
    <row r="8">
      <c r="A8" s="29" t="n">
        <v>46026</v>
      </c>
      <c r="B8" t="n">
        <v>1</v>
      </c>
      <c r="C8" t="n">
        <v>2026</v>
      </c>
      <c r="D8" t="inlineStr">
        <is>
          <t>Pessoal</t>
        </is>
      </c>
      <c r="E8" t="inlineStr">
        <is>
          <t>Contas Variáveis</t>
        </is>
      </c>
      <c r="F8" t="inlineStr">
        <is>
          <t>Mercado</t>
        </is>
      </c>
      <c r="G8" t="inlineStr">
        <is>
          <t>Despesa</t>
        </is>
      </c>
      <c r="H8" s="3" t="n">
        <v>-170.88</v>
      </c>
      <c r="I8" t="inlineStr">
        <is>
          <t>Pix</t>
        </is>
      </c>
      <c r="J8" t="inlineStr">
        <is>
          <t>Não</t>
        </is>
      </c>
      <c r="K8" t="inlineStr">
        <is>
          <t>Eventual</t>
        </is>
      </c>
      <c r="L8" t="inlineStr"/>
      <c r="M8" t="inlineStr">
        <is>
          <t>Mercado Pago account_statement-0c8b26f3-edca-45af-98d4-d8a53ef417b3.xlsx</t>
        </is>
      </c>
      <c r="N8" t="inlineStr">
        <is>
          <t>Sem comprovante</t>
        </is>
      </c>
      <c r="O8" t="inlineStr">
        <is>
          <t>Pagamento com QR Pix IRMAOS MUFFATO CIA LTDA</t>
        </is>
      </c>
    </row>
    <row r="9">
      <c r="A9" s="29" t="n">
        <v>46026</v>
      </c>
      <c r="B9" t="n">
        <v>1</v>
      </c>
      <c r="C9" t="n">
        <v>2026</v>
      </c>
      <c r="D9" t="inlineStr">
        <is>
          <t>Pessoal</t>
        </is>
      </c>
      <c r="E9" t="inlineStr">
        <is>
          <t>Contas Variáveis</t>
        </is>
      </c>
      <c r="F9" t="inlineStr">
        <is>
          <t>Combustível</t>
        </is>
      </c>
      <c r="G9" t="inlineStr">
        <is>
          <t>Despesa</t>
        </is>
      </c>
      <c r="H9" s="3" t="n">
        <v>-71.98999999999999</v>
      </c>
      <c r="I9" t="inlineStr">
        <is>
          <t>Pix</t>
        </is>
      </c>
      <c r="J9" t="inlineStr">
        <is>
          <t>Não</t>
        </is>
      </c>
      <c r="K9" t="inlineStr">
        <is>
          <t>Eventual</t>
        </is>
      </c>
      <c r="L9" t="inlineStr"/>
      <c r="M9" t="inlineStr">
        <is>
          <t>Mercado Pago account_statement-0c8b26f3-edca-45af-98d4-d8a53ef417b3.xlsx</t>
        </is>
      </c>
      <c r="N9" t="inlineStr">
        <is>
          <t>Sem comprovante</t>
        </is>
      </c>
      <c r="O9" t="inlineStr">
        <is>
          <t>Pagamento com QR Pix POSTO ATLANTICO PARANAGUA LTDA</t>
        </is>
      </c>
    </row>
    <row r="10">
      <c r="A10" s="29" t="n">
        <v>46026</v>
      </c>
      <c r="B10" t="n">
        <v>1</v>
      </c>
      <c r="C10" t="n">
        <v>2026</v>
      </c>
      <c r="D10" t="inlineStr">
        <is>
          <t>Geral</t>
        </is>
      </c>
      <c r="E10" t="inlineStr">
        <is>
          <t>Outros</t>
        </is>
      </c>
      <c r="F10" t="inlineStr">
        <is>
          <t>Pagamento Stone</t>
        </is>
      </c>
      <c r="G10" t="inlineStr">
        <is>
          <t>Despesa</t>
        </is>
      </c>
      <c r="H10" s="3" t="n">
        <v>-99.90000000000001</v>
      </c>
      <c r="I10" t="inlineStr">
        <is>
          <t>Boleto</t>
        </is>
      </c>
      <c r="J10" t="inlineStr">
        <is>
          <t>Não</t>
        </is>
      </c>
      <c r="K10" t="inlineStr">
        <is>
          <t>Eventual</t>
        </is>
      </c>
      <c r="L10" t="inlineStr"/>
      <c r="M10" t="inlineStr">
        <is>
          <t>Mercado Pago account_statement-0c8b26f3-edca-45af-98d4-d8a53ef417b3.xlsx</t>
        </is>
      </c>
      <c r="N10" t="inlineStr">
        <is>
          <t>Sem comprovante</t>
        </is>
      </c>
      <c r="O10" t="inlineStr">
        <is>
          <t>Pagamento de conta Stone Pagamentos S.A.</t>
        </is>
      </c>
    </row>
    <row r="11">
      <c r="A11" s="29" t="n">
        <v>46027</v>
      </c>
      <c r="B11" t="n">
        <v>1</v>
      </c>
      <c r="C11" t="n">
        <v>2026</v>
      </c>
      <c r="D11" t="inlineStr">
        <is>
          <t>Studio</t>
        </is>
      </c>
      <c r="E11" t="inlineStr">
        <is>
          <t>Receita - Liberação de Crédito</t>
        </is>
      </c>
      <c r="F11" t="inlineStr">
        <is>
          <t>Liberação de Crédito (Studio)</t>
        </is>
      </c>
      <c r="G11" t="inlineStr">
        <is>
          <t>Receita</t>
        </is>
      </c>
      <c r="H11" s="3" t="n">
        <v>296.67</v>
      </c>
      <c r="I11" t="inlineStr">
        <is>
          <t>Outro</t>
        </is>
      </c>
      <c r="J11" t="inlineStr">
        <is>
          <t>Não</t>
        </is>
      </c>
      <c r="K11" t="inlineStr">
        <is>
          <t>Eventual</t>
        </is>
      </c>
      <c r="L11" t="inlineStr"/>
      <c r="M11" t="inlineStr">
        <is>
          <t>Mercado Pago account_statement-0c8b26f3-edca-45af-98d4-d8a53ef417b3.xlsx</t>
        </is>
      </c>
      <c r="N11" t="inlineStr">
        <is>
          <t>Recebido</t>
        </is>
      </c>
      <c r="O11" t="inlineStr">
        <is>
          <t>Liberação de dinheiro</t>
        </is>
      </c>
    </row>
    <row r="12">
      <c r="A12" s="29" t="n">
        <v>46027</v>
      </c>
      <c r="B12" t="n">
        <v>1</v>
      </c>
      <c r="C12" t="n">
        <v>2026</v>
      </c>
      <c r="D12" t="inlineStr">
        <is>
          <t>Studio</t>
        </is>
      </c>
      <c r="E12" t="inlineStr">
        <is>
          <t>Receita - Liberação de Crédito</t>
        </is>
      </c>
      <c r="F12" t="inlineStr">
        <is>
          <t>Liberação de Crédito (Studio)</t>
        </is>
      </c>
      <c r="G12" t="inlineStr">
        <is>
          <t>Receita</t>
        </is>
      </c>
      <c r="H12" s="3" t="n">
        <v>465.71</v>
      </c>
      <c r="I12" t="inlineStr">
        <is>
          <t>Outro</t>
        </is>
      </c>
      <c r="J12" t="inlineStr">
        <is>
          <t>Não</t>
        </is>
      </c>
      <c r="K12" t="inlineStr">
        <is>
          <t>Eventual</t>
        </is>
      </c>
      <c r="L12" t="inlineStr"/>
      <c r="M12" t="inlineStr">
        <is>
          <t>Mercado Pago account_statement-0c8b26f3-edca-45af-98d4-d8a53ef417b3.xlsx</t>
        </is>
      </c>
      <c r="N12" t="inlineStr">
        <is>
          <t>Recebido</t>
        </is>
      </c>
      <c r="O12" t="inlineStr">
        <is>
          <t>Liberação de dinheiro</t>
        </is>
      </c>
    </row>
    <row r="13">
      <c r="A13" s="29" t="n">
        <v>46027</v>
      </c>
      <c r="B13" t="n">
        <v>1</v>
      </c>
      <c r="C13" t="n">
        <v>2026</v>
      </c>
      <c r="D13" t="inlineStr">
        <is>
          <t>Studio</t>
        </is>
      </c>
      <c r="E13" t="inlineStr">
        <is>
          <t>Receita - Liberação de Crédito</t>
        </is>
      </c>
      <c r="F13" t="inlineStr">
        <is>
          <t>Liberação de Crédito (Studio)</t>
        </is>
      </c>
      <c r="G13" t="inlineStr">
        <is>
          <t>Receita</t>
        </is>
      </c>
      <c r="H13" s="3" t="n">
        <v>148.33</v>
      </c>
      <c r="I13" t="inlineStr">
        <is>
          <t>Outro</t>
        </is>
      </c>
      <c r="J13" t="inlineStr">
        <is>
          <t>Não</t>
        </is>
      </c>
      <c r="K13" t="inlineStr">
        <is>
          <t>Eventual</t>
        </is>
      </c>
      <c r="L13" t="inlineStr"/>
      <c r="M13" t="inlineStr">
        <is>
          <t>Mercado Pago account_statement-0c8b26f3-edca-45af-98d4-d8a53ef417b3.xlsx</t>
        </is>
      </c>
      <c r="N13" t="inlineStr">
        <is>
          <t>Recebido</t>
        </is>
      </c>
      <c r="O13" t="inlineStr">
        <is>
          <t>Liberação de dinheiro</t>
        </is>
      </c>
    </row>
    <row r="14">
      <c r="A14" s="29" t="n">
        <v>46027</v>
      </c>
      <c r="B14" t="n">
        <v>1</v>
      </c>
      <c r="C14" t="n">
        <v>2026</v>
      </c>
      <c r="D14" t="inlineStr">
        <is>
          <t>Studio</t>
        </is>
      </c>
      <c r="E14" t="inlineStr">
        <is>
          <t>Contas Variáveis</t>
        </is>
      </c>
      <c r="F14" t="inlineStr">
        <is>
          <t>Google Ads / Google</t>
        </is>
      </c>
      <c r="G14" t="inlineStr">
        <is>
          <t>Despesa</t>
        </is>
      </c>
      <c r="H14" s="3" t="n">
        <v>-96.98999999999999</v>
      </c>
      <c r="I14" t="inlineStr">
        <is>
          <t>Outro</t>
        </is>
      </c>
      <c r="J14" t="inlineStr">
        <is>
          <t>Não</t>
        </is>
      </c>
      <c r="K14" t="inlineStr">
        <is>
          <t>Eventual</t>
        </is>
      </c>
      <c r="L14" t="inlineStr"/>
      <c r="M14" t="inlineStr">
        <is>
          <t>Mercado Pago account_statement-0c8b26f3-edca-45af-98d4-d8a53ef417b3.xlsx</t>
        </is>
      </c>
      <c r="N14" t="inlineStr">
        <is>
          <t>Sem comprovante</t>
        </is>
      </c>
      <c r="O14" t="inlineStr">
        <is>
          <t>Pagamento GOOGLE BRASIL PAGAMENTOS LTDA.</t>
        </is>
      </c>
    </row>
    <row r="15">
      <c r="A15" s="29" t="n">
        <v>46027</v>
      </c>
      <c r="B15" t="n">
        <v>1</v>
      </c>
      <c r="C15" t="n">
        <v>2026</v>
      </c>
      <c r="D15" t="inlineStr">
        <is>
          <t>Studio</t>
        </is>
      </c>
      <c r="E15" t="inlineStr">
        <is>
          <t>Outros</t>
        </is>
      </c>
      <c r="F15" t="inlineStr">
        <is>
          <t>Pix recebido cliente Studio</t>
        </is>
      </c>
      <c r="G15" t="inlineStr">
        <is>
          <t>Receita</t>
        </is>
      </c>
      <c r="H15" s="3" t="n">
        <v>496.55</v>
      </c>
      <c r="I15" t="inlineStr">
        <is>
          <t>Pix</t>
        </is>
      </c>
      <c r="J15" t="inlineStr">
        <is>
          <t>Não</t>
        </is>
      </c>
      <c r="K15" t="inlineStr">
        <is>
          <t>Eventual</t>
        </is>
      </c>
      <c r="L15" t="inlineStr"/>
      <c r="M15" t="inlineStr">
        <is>
          <t>Mercado Pago account_statement-0c8b26f3-edca-45af-98d4-d8a53ef417b3.xlsx</t>
        </is>
      </c>
      <c r="N15" t="inlineStr">
        <is>
          <t>Recebido</t>
        </is>
      </c>
      <c r="O15" t="inlineStr">
        <is>
          <t>Pagamento com Código QR Pix CECILIA HALLU PALMA</t>
        </is>
      </c>
    </row>
    <row r="16">
      <c r="A16" s="29" t="n">
        <v>46027</v>
      </c>
      <c r="B16" t="n">
        <v>1</v>
      </c>
      <c r="C16" t="n">
        <v>2026</v>
      </c>
      <c r="D16" t="inlineStr">
        <is>
          <t>Studio</t>
        </is>
      </c>
      <c r="E16" t="inlineStr">
        <is>
          <t>Contas Fixas</t>
        </is>
      </c>
      <c r="F16" t="inlineStr">
        <is>
          <t>Hospedagem / Site</t>
        </is>
      </c>
      <c r="G16" t="inlineStr">
        <is>
          <t>Despesa</t>
        </is>
      </c>
      <c r="H16" s="3" t="n">
        <v>-43.29</v>
      </c>
      <c r="I16" t="inlineStr">
        <is>
          <t>Pix</t>
        </is>
      </c>
      <c r="J16" t="inlineStr">
        <is>
          <t>Sim</t>
        </is>
      </c>
      <c r="K16" t="inlineStr">
        <is>
          <t>Mensal</t>
        </is>
      </c>
      <c r="L16" t="inlineStr">
        <is>
          <t>Site/00000013-PHOTO-2026-01-05-16-46-15.jpg</t>
        </is>
      </c>
      <c r="M16" t="inlineStr">
        <is>
          <t>Mercado Pago account_statement-0c8b26f3-edca-45af-98d4-d8a53ef417b3.xlsx</t>
        </is>
      </c>
      <c r="N16" t="inlineStr">
        <is>
          <t>Pago</t>
        </is>
      </c>
      <c r="O16" t="inlineStr">
        <is>
          <t>Pagamento com QR Pix HOSTGATOR BRASIL LTDA.</t>
        </is>
      </c>
    </row>
    <row r="17">
      <c r="A17" s="29" t="n">
        <v>46027</v>
      </c>
      <c r="B17" t="n">
        <v>1</v>
      </c>
      <c r="C17" t="n">
        <v>2026</v>
      </c>
      <c r="D17" t="inlineStr">
        <is>
          <t>Geral</t>
        </is>
      </c>
      <c r="E17" t="inlineStr">
        <is>
          <t>Transferência - Bruno (própria)</t>
        </is>
      </c>
      <c r="F17" t="inlineStr">
        <is>
          <t>Pix Bruno→Bruno (entre contas próprias)</t>
        </is>
      </c>
      <c r="G17" t="inlineStr">
        <is>
          <t>Despesa</t>
        </is>
      </c>
      <c r="H17" s="3" t="n">
        <v>-500</v>
      </c>
      <c r="I17" t="inlineStr">
        <is>
          <t>Pix</t>
        </is>
      </c>
      <c r="J17" t="inlineStr">
        <is>
          <t>Não</t>
        </is>
      </c>
      <c r="K17" t="inlineStr">
        <is>
          <t>Eventual</t>
        </is>
      </c>
      <c r="L17" t="inlineStr"/>
      <c r="M17" t="inlineStr">
        <is>
          <t>Mercado Pago account_statement-0c8b26f3-edca-45af-98d4-d8a53ef417b3.xlsx</t>
        </is>
      </c>
      <c r="N17" t="inlineStr">
        <is>
          <t>Sem comprovante</t>
        </is>
      </c>
      <c r="O17" t="inlineStr">
        <is>
          <t>Transferência Pix enviada Bruno Porto Seus</t>
        </is>
      </c>
    </row>
    <row r="18">
      <c r="A18" s="29" t="n">
        <v>46027</v>
      </c>
      <c r="B18" t="n">
        <v>1</v>
      </c>
      <c r="C18" t="n">
        <v>2026</v>
      </c>
      <c r="D18" t="inlineStr">
        <is>
          <t>Studio</t>
        </is>
      </c>
      <c r="E18" t="inlineStr">
        <is>
          <t>Pessoal</t>
        </is>
      </c>
      <c r="F18" t="inlineStr">
        <is>
          <t>Eliane</t>
        </is>
      </c>
      <c r="G18" t="inlineStr">
        <is>
          <t>Despesa</t>
        </is>
      </c>
      <c r="H18" s="3" t="n">
        <v>-740</v>
      </c>
      <c r="I18" t="inlineStr">
        <is>
          <t>Pix</t>
        </is>
      </c>
      <c r="J18" t="inlineStr">
        <is>
          <t>Não</t>
        </is>
      </c>
      <c r="K18" t="inlineStr">
        <is>
          <t>Eventual</t>
        </is>
      </c>
      <c r="L18" t="inlineStr"/>
      <c r="M18" t="inlineStr">
        <is>
          <t>Mercado Pago account_statement-0c8b26f3-edca-45af-98d4-d8a53ef417b3.xlsx</t>
        </is>
      </c>
      <c r="N18" t="inlineStr">
        <is>
          <t>Sem comprovante</t>
        </is>
      </c>
      <c r="O18" t="inlineStr">
        <is>
          <t>Transferência Pix enviada Eliane do Rocio de Lima</t>
        </is>
      </c>
    </row>
    <row r="19">
      <c r="A19" s="29" t="n">
        <v>46028</v>
      </c>
      <c r="B19" t="n">
        <v>1</v>
      </c>
      <c r="C19" t="n">
        <v>2026</v>
      </c>
      <c r="D19" t="inlineStr">
        <is>
          <t>Pessoal</t>
        </is>
      </c>
      <c r="E19" t="inlineStr">
        <is>
          <t>Contas Variáveis</t>
        </is>
      </c>
      <c r="F19" t="inlineStr">
        <is>
          <t>Mercado</t>
        </is>
      </c>
      <c r="G19" t="inlineStr">
        <is>
          <t>Despesa</t>
        </is>
      </c>
      <c r="H19" s="3" t="n">
        <v>-268.31</v>
      </c>
      <c r="I19" t="inlineStr">
        <is>
          <t>Pix</t>
        </is>
      </c>
      <c r="J19" t="inlineStr">
        <is>
          <t>Não</t>
        </is>
      </c>
      <c r="K19" t="inlineStr">
        <is>
          <t>Eventual</t>
        </is>
      </c>
      <c r="L19" t="inlineStr"/>
      <c r="M19" t="inlineStr">
        <is>
          <t>Mercado Pago account_statement-0c8b26f3-edca-45af-98d4-d8a53ef417b3.xlsx</t>
        </is>
      </c>
      <c r="N19" t="inlineStr">
        <is>
          <t>Sem comprovante</t>
        </is>
      </c>
      <c r="O19" t="inlineStr">
        <is>
          <t>Pagamento com QR Pix Supermercado Cristal De Tibagi Ltda</t>
        </is>
      </c>
    </row>
    <row r="20">
      <c r="A20" s="29" t="n">
        <v>46029</v>
      </c>
      <c r="B20" t="n">
        <v>1</v>
      </c>
      <c r="C20" t="n">
        <v>2026</v>
      </c>
      <c r="D20" t="inlineStr">
        <is>
          <t>Studio</t>
        </is>
      </c>
      <c r="E20" t="inlineStr">
        <is>
          <t>Receita - Liberação de Crédito</t>
        </is>
      </c>
      <c r="F20" t="inlineStr">
        <is>
          <t>Liberação de Crédito (Studio)</t>
        </is>
      </c>
      <c r="G20" t="inlineStr">
        <is>
          <t>Receita</t>
        </is>
      </c>
      <c r="H20" s="3" t="n">
        <v>484.8</v>
      </c>
      <c r="I20" t="inlineStr">
        <is>
          <t>Outro</t>
        </is>
      </c>
      <c r="J20" t="inlineStr">
        <is>
          <t>Não</t>
        </is>
      </c>
      <c r="K20" t="inlineStr">
        <is>
          <t>Eventual</t>
        </is>
      </c>
      <c r="L20" t="inlineStr"/>
      <c r="M20" t="inlineStr">
        <is>
          <t>Mercado Pago account_statement-0c8b26f3-edca-45af-98d4-d8a53ef417b3.xlsx</t>
        </is>
      </c>
      <c r="N20" t="inlineStr">
        <is>
          <t>Recebido</t>
        </is>
      </c>
      <c r="O20" t="inlineStr">
        <is>
          <t>Liberação de dinheiro</t>
        </is>
      </c>
    </row>
    <row r="21">
      <c r="A21" s="29" t="n">
        <v>46029</v>
      </c>
      <c r="B21" t="n">
        <v>1</v>
      </c>
      <c r="C21" t="n">
        <v>2026</v>
      </c>
      <c r="D21" t="inlineStr">
        <is>
          <t>Pessoal</t>
        </is>
      </c>
      <c r="E21" t="inlineStr">
        <is>
          <t>Outros</t>
        </is>
      </c>
      <c r="F21" t="inlineStr">
        <is>
          <t>Compras Diversas</t>
        </is>
      </c>
      <c r="G21" t="inlineStr">
        <is>
          <t>Despesa</t>
        </is>
      </c>
      <c r="H21" s="3" t="n">
        <v>-257.62</v>
      </c>
      <c r="I21" t="inlineStr">
        <is>
          <t>Pix</t>
        </is>
      </c>
      <c r="J21" t="inlineStr">
        <is>
          <t>Não</t>
        </is>
      </c>
      <c r="K21" t="inlineStr">
        <is>
          <t>Eventual</t>
        </is>
      </c>
      <c r="L21" t="inlineStr"/>
      <c r="M21" t="inlineStr">
        <is>
          <t>Mercado Pago account_statement-0c8b26f3-edca-45af-98d4-d8a53ef417b3.xlsx</t>
        </is>
      </c>
      <c r="N21" t="inlineStr">
        <is>
          <t>Sem comprovante</t>
        </is>
      </c>
      <c r="O21" t="inlineStr">
        <is>
          <t>Pagamento com QR Pix IDEAL GUAPO LTDA</t>
        </is>
      </c>
    </row>
    <row r="22">
      <c r="A22" s="29" t="n">
        <v>46029</v>
      </c>
      <c r="B22" t="n">
        <v>1</v>
      </c>
      <c r="C22" t="n">
        <v>2026</v>
      </c>
      <c r="D22" t="inlineStr">
        <is>
          <t>Pessoal</t>
        </is>
      </c>
      <c r="E22" t="inlineStr">
        <is>
          <t>Outros</t>
        </is>
      </c>
      <c r="F22" t="inlineStr">
        <is>
          <t>Compra / Pix Pessoal</t>
        </is>
      </c>
      <c r="G22" t="inlineStr">
        <is>
          <t>Despesa</t>
        </is>
      </c>
      <c r="H22" s="3" t="n">
        <v>-95</v>
      </c>
      <c r="I22" t="inlineStr">
        <is>
          <t>Pix</t>
        </is>
      </c>
      <c r="J22" t="inlineStr">
        <is>
          <t>Não</t>
        </is>
      </c>
      <c r="K22" t="inlineStr">
        <is>
          <t>Eventual</t>
        </is>
      </c>
      <c r="L22" t="inlineStr"/>
      <c r="M22" t="inlineStr">
        <is>
          <t>Mercado Pago account_statement-0c8b26f3-edca-45af-98d4-d8a53ef417b3.xlsx</t>
        </is>
      </c>
      <c r="N22" t="inlineStr">
        <is>
          <t>Sem comprovante</t>
        </is>
      </c>
      <c r="O22" t="inlineStr">
        <is>
          <t>Pagamento com QR Pix MIRAIR IANZ TABORDA CONVENIENCIA</t>
        </is>
      </c>
    </row>
    <row r="23">
      <c r="A23" s="29" t="n">
        <v>46029</v>
      </c>
      <c r="B23" t="n">
        <v>1</v>
      </c>
      <c r="C23" t="n">
        <v>2026</v>
      </c>
      <c r="D23" t="inlineStr">
        <is>
          <t>Studio</t>
        </is>
      </c>
      <c r="E23" t="inlineStr">
        <is>
          <t>Pessoal</t>
        </is>
      </c>
      <c r="F23" t="inlineStr">
        <is>
          <t>Analice</t>
        </is>
      </c>
      <c r="G23" t="inlineStr">
        <is>
          <t>Despesa</t>
        </is>
      </c>
      <c r="H23" s="3" t="n">
        <v>-500</v>
      </c>
      <c r="I23" t="inlineStr">
        <is>
          <t>Pix</t>
        </is>
      </c>
      <c r="J23" t="inlineStr">
        <is>
          <t>Não</t>
        </is>
      </c>
      <c r="K23" t="inlineStr">
        <is>
          <t>Eventual</t>
        </is>
      </c>
      <c r="L23" t="inlineStr"/>
      <c r="M23" t="inlineStr">
        <is>
          <t>Mercado Pago account_statement-0c8b26f3-edca-45af-98d4-d8a53ef417b3.xlsx</t>
        </is>
      </c>
      <c r="N23" t="inlineStr">
        <is>
          <t>Sem comprovante</t>
        </is>
      </c>
      <c r="O23" t="inlineStr">
        <is>
          <t>Transferência Pix enviada Analice Souza Pinheiro</t>
        </is>
      </c>
    </row>
    <row r="24">
      <c r="A24" s="29" t="n">
        <v>46029</v>
      </c>
      <c r="B24" t="n">
        <v>1</v>
      </c>
      <c r="C24" t="n">
        <v>2026</v>
      </c>
      <c r="D24" t="inlineStr">
        <is>
          <t>Studio</t>
        </is>
      </c>
      <c r="E24" t="inlineStr">
        <is>
          <t>Pessoal</t>
        </is>
      </c>
      <c r="F24" t="inlineStr">
        <is>
          <t>Eliane</t>
        </is>
      </c>
      <c r="G24" t="inlineStr">
        <is>
          <t>Despesa</t>
        </is>
      </c>
      <c r="H24" s="3" t="n">
        <v>-402</v>
      </c>
      <c r="I24" t="inlineStr">
        <is>
          <t>Pix</t>
        </is>
      </c>
      <c r="J24" t="inlineStr">
        <is>
          <t>Não</t>
        </is>
      </c>
      <c r="K24" t="inlineStr">
        <is>
          <t>Eventual</t>
        </is>
      </c>
      <c r="L24" t="inlineStr"/>
      <c r="M24" t="inlineStr">
        <is>
          <t>Mercado Pago account_statement-0c8b26f3-edca-45af-98d4-d8a53ef417b3.xlsx</t>
        </is>
      </c>
      <c r="N24" t="inlineStr">
        <is>
          <t>Sem comprovante</t>
        </is>
      </c>
      <c r="O24" t="inlineStr">
        <is>
          <t>Transferência Pix enviada Eliane do Rocio de Lima</t>
        </is>
      </c>
    </row>
    <row r="25">
      <c r="A25" s="29" t="n">
        <v>46030</v>
      </c>
      <c r="B25" t="n">
        <v>1</v>
      </c>
      <c r="C25" t="n">
        <v>2026</v>
      </c>
      <c r="D25" t="inlineStr">
        <is>
          <t>Geral</t>
        </is>
      </c>
      <c r="E25" t="inlineStr">
        <is>
          <t>Outros</t>
        </is>
      </c>
      <c r="F25" t="inlineStr">
        <is>
          <t>Hotel</t>
        </is>
      </c>
      <c r="G25" t="inlineStr">
        <is>
          <t>Despesa</t>
        </is>
      </c>
      <c r="H25" s="3" t="n">
        <v>-474.5</v>
      </c>
      <c r="I25" t="inlineStr">
        <is>
          <t>Pix</t>
        </is>
      </c>
      <c r="J25" t="inlineStr">
        <is>
          <t>Não</t>
        </is>
      </c>
      <c r="K25" t="inlineStr">
        <is>
          <t>Eventual</t>
        </is>
      </c>
      <c r="L25" t="inlineStr"/>
      <c r="M25" t="inlineStr">
        <is>
          <t>Mercado Pago account_statement-0c8b26f3-edca-45af-98d4-d8a53ef417b3.xlsx</t>
        </is>
      </c>
      <c r="N25" t="inlineStr">
        <is>
          <t>Sem comprovante</t>
        </is>
      </c>
      <c r="O25" t="inlineStr">
        <is>
          <t>Pagamento com QR Pix LEFAGUI HOTEL LTDA</t>
        </is>
      </c>
    </row>
    <row r="26">
      <c r="A26" s="29" t="n">
        <v>46031</v>
      </c>
      <c r="B26" t="n">
        <v>1</v>
      </c>
      <c r="C26" t="n">
        <v>2026</v>
      </c>
      <c r="D26" t="inlineStr">
        <is>
          <t>Studio</t>
        </is>
      </c>
      <c r="E26" t="inlineStr">
        <is>
          <t>Outros</t>
        </is>
      </c>
      <c r="F26" t="inlineStr">
        <is>
          <t>Pix recebido cliente Studio</t>
        </is>
      </c>
      <c r="G26" t="inlineStr">
        <is>
          <t>Receita</t>
        </is>
      </c>
      <c r="H26" s="3" t="n">
        <v>746.3200000000001</v>
      </c>
      <c r="I26" t="inlineStr">
        <is>
          <t>Pix</t>
        </is>
      </c>
      <c r="J26" t="inlineStr">
        <is>
          <t>Não</t>
        </is>
      </c>
      <c r="K26" t="inlineStr">
        <is>
          <t>Eventual</t>
        </is>
      </c>
      <c r="L26" t="inlineStr"/>
      <c r="M26" t="inlineStr">
        <is>
          <t>Mercado Pago account_statement-0c8b26f3-edca-45af-98d4-d8a53ef417b3.xlsx</t>
        </is>
      </c>
      <c r="N26" t="inlineStr">
        <is>
          <t>Recebido</t>
        </is>
      </c>
      <c r="O26" t="inlineStr">
        <is>
          <t>Pagamento com Código QR Pix VALERIA CHAVES DE QUEIROZ LEITE</t>
        </is>
      </c>
    </row>
    <row r="27">
      <c r="A27" s="29" t="n">
        <v>46031</v>
      </c>
      <c r="B27" t="n">
        <v>1</v>
      </c>
      <c r="C27" t="n">
        <v>2026</v>
      </c>
      <c r="D27" t="inlineStr">
        <is>
          <t>Geral</t>
        </is>
      </c>
      <c r="E27" t="inlineStr">
        <is>
          <t>Outros</t>
        </is>
      </c>
      <c r="F27" t="inlineStr">
        <is>
          <t>Maçonaria / Loja Simbólica</t>
        </is>
      </c>
      <c r="G27" t="inlineStr">
        <is>
          <t>Despesa</t>
        </is>
      </c>
      <c r="H27" s="3" t="n">
        <v>-76</v>
      </c>
      <c r="I27" t="inlineStr">
        <is>
          <t>Pix</t>
        </is>
      </c>
      <c r="J27" t="inlineStr">
        <is>
          <t>Não</t>
        </is>
      </c>
      <c r="K27" t="inlineStr">
        <is>
          <t>Eventual</t>
        </is>
      </c>
      <c r="L27" t="inlineStr"/>
      <c r="M27" t="inlineStr">
        <is>
          <t>Mercado Pago account_statement-0c8b26f3-edca-45af-98d4-d8a53ef417b3.xlsx</t>
        </is>
      </c>
      <c r="N27" t="inlineStr">
        <is>
          <t>Sem comprovante</t>
        </is>
      </c>
      <c r="O27" t="inlineStr">
        <is>
          <t>Pagamento com QR Pix ANTIGA E MISTICA ORDEM ROSAE CRUCIS,AMORC-GRANDE LOJA DA JURI...</t>
        </is>
      </c>
    </row>
    <row r="28">
      <c r="A28" s="29" t="n">
        <v>46031</v>
      </c>
      <c r="B28" t="n">
        <v>1</v>
      </c>
      <c r="C28" t="n">
        <v>2026</v>
      </c>
      <c r="D28" t="inlineStr">
        <is>
          <t>Pessoal</t>
        </is>
      </c>
      <c r="E28" t="inlineStr">
        <is>
          <t>Contas Variáveis</t>
        </is>
      </c>
      <c r="F28" t="inlineStr">
        <is>
          <t>Restaurante / Alimentação</t>
        </is>
      </c>
      <c r="G28" t="inlineStr">
        <is>
          <t>Despesa</t>
        </is>
      </c>
      <c r="H28" s="3" t="n">
        <v>-51.79</v>
      </c>
      <c r="I28" t="inlineStr">
        <is>
          <t>Pix</t>
        </is>
      </c>
      <c r="J28" t="inlineStr">
        <is>
          <t>Não</t>
        </is>
      </c>
      <c r="K28" t="inlineStr">
        <is>
          <t>Eventual</t>
        </is>
      </c>
      <c r="L28" t="inlineStr"/>
      <c r="M28" t="inlineStr">
        <is>
          <t>Mercado Pago account_statement-0c8b26f3-edca-45af-98d4-d8a53ef417b3.xlsx</t>
        </is>
      </c>
      <c r="N28" t="inlineStr">
        <is>
          <t>Sem comprovante</t>
        </is>
      </c>
      <c r="O28" t="inlineStr">
        <is>
          <t>Pagamento com QR Pix RESTAURANTE LIRIO LTDA</t>
        </is>
      </c>
    </row>
    <row r="29">
      <c r="A29" s="29" t="n">
        <v>46031</v>
      </c>
      <c r="B29" t="n">
        <v>1</v>
      </c>
      <c r="C29" t="n">
        <v>2026</v>
      </c>
      <c r="D29" t="inlineStr">
        <is>
          <t>Geral</t>
        </is>
      </c>
      <c r="E29" t="inlineStr">
        <is>
          <t>Transferência - Bruno (própria)</t>
        </is>
      </c>
      <c r="F29" t="inlineStr">
        <is>
          <t>Pix Bruno→Bruno (entre contas próprias)</t>
        </is>
      </c>
      <c r="G29" t="inlineStr">
        <is>
          <t>Despesa</t>
        </is>
      </c>
      <c r="H29" s="3" t="n">
        <v>-300</v>
      </c>
      <c r="I29" t="inlineStr">
        <is>
          <t>Pix</t>
        </is>
      </c>
      <c r="J29" t="inlineStr">
        <is>
          <t>Não</t>
        </is>
      </c>
      <c r="K29" t="inlineStr">
        <is>
          <t>Eventual</t>
        </is>
      </c>
      <c r="L29" t="inlineStr"/>
      <c r="M29" t="inlineStr">
        <is>
          <t>Mercado Pago account_statement-0c8b26f3-edca-45af-98d4-d8a53ef417b3.xlsx</t>
        </is>
      </c>
      <c r="N29" t="inlineStr">
        <is>
          <t>Sem comprovante</t>
        </is>
      </c>
      <c r="O29" t="inlineStr">
        <is>
          <t>Transferência Pix enviada Bruno Porto Seus</t>
        </is>
      </c>
    </row>
    <row r="30">
      <c r="A30" s="29" t="n">
        <v>46031</v>
      </c>
      <c r="B30" t="n">
        <v>1</v>
      </c>
      <c r="C30" t="n">
        <v>2026</v>
      </c>
      <c r="D30" t="inlineStr">
        <is>
          <t>Pessoal</t>
        </is>
      </c>
      <c r="E30" t="inlineStr">
        <is>
          <t>Outros</t>
        </is>
      </c>
      <c r="F30" t="inlineStr">
        <is>
          <t>Compra / Pix Pessoal</t>
        </is>
      </c>
      <c r="G30" t="inlineStr">
        <is>
          <t>Despesa</t>
        </is>
      </c>
      <c r="H30" s="3" t="n">
        <v>-250</v>
      </c>
      <c r="I30" t="inlineStr">
        <is>
          <t>Pix</t>
        </is>
      </c>
      <c r="J30" t="inlineStr">
        <is>
          <t>Não</t>
        </is>
      </c>
      <c r="K30" t="inlineStr">
        <is>
          <t>Eventual</t>
        </is>
      </c>
      <c r="L30" t="inlineStr"/>
      <c r="M30" t="inlineStr">
        <is>
          <t>Mercado Pago account_statement-0c8b26f3-edca-45af-98d4-d8a53ef417b3.xlsx</t>
        </is>
      </c>
      <c r="N30" t="inlineStr">
        <is>
          <t>Sem comprovante</t>
        </is>
      </c>
      <c r="O30" t="inlineStr">
        <is>
          <t>Transferência Pix enviada Central do Portao Ltda</t>
        </is>
      </c>
    </row>
    <row r="31">
      <c r="A31" s="29" t="n">
        <v>46031</v>
      </c>
      <c r="B31" t="n">
        <v>1</v>
      </c>
      <c r="C31" t="n">
        <v>2026</v>
      </c>
      <c r="D31" t="inlineStr">
        <is>
          <t>Geral</t>
        </is>
      </c>
      <c r="E31" t="inlineStr">
        <is>
          <t>Transferência - Denise</t>
        </is>
      </c>
      <c r="F31" t="inlineStr">
        <is>
          <t>Pix Bruno→Denise</t>
        </is>
      </c>
      <c r="G31" t="inlineStr">
        <is>
          <t>Despesa</t>
        </is>
      </c>
      <c r="H31" s="3" t="n">
        <v>-150</v>
      </c>
      <c r="I31" t="inlineStr">
        <is>
          <t>Outro</t>
        </is>
      </c>
      <c r="J31" t="inlineStr">
        <is>
          <t>Não</t>
        </is>
      </c>
      <c r="K31" t="inlineStr">
        <is>
          <t>Eventual</t>
        </is>
      </c>
      <c r="L31" t="inlineStr"/>
      <c r="M31" t="inlineStr">
        <is>
          <t>Mercado Pago account_statement-0c8b26f3-edca-45af-98d4-d8a53ef417b3.xlsx</t>
        </is>
      </c>
      <c r="N31" t="inlineStr">
        <is>
          <t>Sem comprovante</t>
        </is>
      </c>
      <c r="O31" t="inlineStr">
        <is>
          <t>Transferência enviada Denise De Paula</t>
        </is>
      </c>
    </row>
    <row r="32">
      <c r="A32" s="29" t="n">
        <v>46032</v>
      </c>
      <c r="B32" t="n">
        <v>1</v>
      </c>
      <c r="C32" t="n">
        <v>2026</v>
      </c>
      <c r="D32" t="inlineStr">
        <is>
          <t>Geral</t>
        </is>
      </c>
      <c r="E32" t="inlineStr">
        <is>
          <t>Outros</t>
        </is>
      </c>
      <c r="F32" t="inlineStr">
        <is>
          <t>Estorno / Contestação</t>
        </is>
      </c>
      <c r="G32" t="inlineStr">
        <is>
          <t>Despesa</t>
        </is>
      </c>
      <c r="H32" s="3" t="n">
        <v>-1960</v>
      </c>
      <c r="I32" t="inlineStr">
        <is>
          <t>Débito</t>
        </is>
      </c>
      <c r="J32" t="inlineStr">
        <is>
          <t>Não</t>
        </is>
      </c>
      <c r="K32" t="inlineStr">
        <is>
          <t>Eventual</t>
        </is>
      </c>
      <c r="L32" t="inlineStr"/>
      <c r="M32" t="inlineStr">
        <is>
          <t>Mercado Pago account_statement-0c8b26f3-edca-45af-98d4-d8a53ef417b3.xlsx</t>
        </is>
      </c>
      <c r="N32" t="inlineStr">
        <is>
          <t>Sem comprovante</t>
        </is>
      </c>
      <c r="O32" t="inlineStr">
        <is>
          <t>Débito por dívida Contestação por venda</t>
        </is>
      </c>
    </row>
    <row r="33">
      <c r="A33" s="29" t="n">
        <v>46032</v>
      </c>
      <c r="B33" t="n">
        <v>1</v>
      </c>
      <c r="C33" t="n">
        <v>2026</v>
      </c>
      <c r="D33" t="inlineStr">
        <is>
          <t>Studio</t>
        </is>
      </c>
      <c r="E33" t="inlineStr">
        <is>
          <t>Receita - Liberação de Crédito</t>
        </is>
      </c>
      <c r="F33" t="inlineStr">
        <is>
          <t>Liberação de Crédito (Studio)</t>
        </is>
      </c>
      <c r="G33" t="inlineStr">
        <is>
          <t>Receita</t>
        </is>
      </c>
      <c r="H33" s="3" t="n">
        <v>646.99</v>
      </c>
      <c r="I33" t="inlineStr">
        <is>
          <t>Outro</t>
        </is>
      </c>
      <c r="J33" t="inlineStr">
        <is>
          <t>Não</t>
        </is>
      </c>
      <c r="K33" t="inlineStr">
        <is>
          <t>Eventual</t>
        </is>
      </c>
      <c r="L33" t="inlineStr"/>
      <c r="M33" t="inlineStr">
        <is>
          <t>Mercado Pago account_statement-0c8b26f3-edca-45af-98d4-d8a53ef417b3.xlsx</t>
        </is>
      </c>
      <c r="N33" t="inlineStr">
        <is>
          <t>Recebido</t>
        </is>
      </c>
      <c r="O33" t="inlineStr">
        <is>
          <t>Liberação de dinheiro</t>
        </is>
      </c>
    </row>
    <row r="34">
      <c r="A34" s="29" t="n">
        <v>46032</v>
      </c>
      <c r="B34" t="n">
        <v>1</v>
      </c>
      <c r="C34" t="n">
        <v>2026</v>
      </c>
      <c r="D34" t="inlineStr">
        <is>
          <t>Studio</t>
        </is>
      </c>
      <c r="E34" t="inlineStr">
        <is>
          <t>Outros</t>
        </is>
      </c>
      <c r="F34" t="inlineStr">
        <is>
          <t>Pagamento Cartão Carrefour</t>
        </is>
      </c>
      <c r="G34" t="inlineStr">
        <is>
          <t>Despesa</t>
        </is>
      </c>
      <c r="H34" s="3" t="n">
        <v>-7663.61</v>
      </c>
      <c r="I34" t="inlineStr">
        <is>
          <t>Pix</t>
        </is>
      </c>
      <c r="J34" t="inlineStr">
        <is>
          <t>Não</t>
        </is>
      </c>
      <c r="K34" t="inlineStr">
        <is>
          <t>Eventual</t>
        </is>
      </c>
      <c r="L34" t="inlineStr"/>
      <c r="M34" t="inlineStr">
        <is>
          <t>Mercado Pago account_statement-0c8b26f3-edca-45af-98d4-d8a53ef417b3.xlsx</t>
        </is>
      </c>
      <c r="N34" t="inlineStr">
        <is>
          <t>Sem comprovante</t>
        </is>
      </c>
      <c r="O34" t="inlineStr">
        <is>
          <t>Pagamento com QR Pix CSF</t>
        </is>
      </c>
    </row>
    <row r="35">
      <c r="A35" s="29" t="n">
        <v>46032</v>
      </c>
      <c r="B35" t="n">
        <v>1</v>
      </c>
      <c r="C35" t="n">
        <v>2026</v>
      </c>
      <c r="D35" t="inlineStr">
        <is>
          <t>Studio</t>
        </is>
      </c>
      <c r="E35" t="inlineStr">
        <is>
          <t>Receita - Reembolso</t>
        </is>
      </c>
      <c r="F35" t="inlineStr">
        <is>
          <t>Reembolso recebido</t>
        </is>
      </c>
      <c r="G35" t="inlineStr">
        <is>
          <t>Receita</t>
        </is>
      </c>
      <c r="H35" s="3" t="n">
        <v>107.61</v>
      </c>
      <c r="I35" t="inlineStr">
        <is>
          <t>Outro</t>
        </is>
      </c>
      <c r="J35" t="inlineStr">
        <is>
          <t>Não</t>
        </is>
      </c>
      <c r="K35" t="inlineStr">
        <is>
          <t>Eventual</t>
        </is>
      </c>
      <c r="L35" t="inlineStr"/>
      <c r="M35" t="inlineStr">
        <is>
          <t>Mercado Pago account_statement-0c8b26f3-edca-45af-98d4-d8a53ef417b3.xlsx</t>
        </is>
      </c>
      <c r="N35" t="inlineStr">
        <is>
          <t>Recebido</t>
        </is>
      </c>
      <c r="O35" t="inlineStr">
        <is>
          <t>Reembolso Reembolso de tarifas</t>
        </is>
      </c>
    </row>
    <row r="36">
      <c r="A36" s="29" t="n">
        <v>46032</v>
      </c>
      <c r="B36" t="n">
        <v>1</v>
      </c>
      <c r="C36" t="n">
        <v>2026</v>
      </c>
      <c r="D36" t="inlineStr">
        <is>
          <t>Studio</t>
        </is>
      </c>
      <c r="E36" t="inlineStr">
        <is>
          <t>Pessoal</t>
        </is>
      </c>
      <c r="F36" t="inlineStr">
        <is>
          <t>Marco</t>
        </is>
      </c>
      <c r="G36" t="inlineStr">
        <is>
          <t>Despesa</t>
        </is>
      </c>
      <c r="H36" s="3" t="n">
        <v>-1005.51</v>
      </c>
      <c r="I36" t="inlineStr">
        <is>
          <t>Pix</t>
        </is>
      </c>
      <c r="J36" t="inlineStr">
        <is>
          <t>Não</t>
        </is>
      </c>
      <c r="K36" t="inlineStr">
        <is>
          <t>Eventual</t>
        </is>
      </c>
      <c r="L36" t="inlineStr"/>
      <c r="M36" t="inlineStr">
        <is>
          <t>Mercado Pago account_statement-0c8b26f3-edca-45af-98d4-d8a53ef417b3.xlsx</t>
        </is>
      </c>
      <c r="N36" t="inlineStr">
        <is>
          <t>Sem comprovante</t>
        </is>
      </c>
      <c r="O36" t="inlineStr">
        <is>
          <t>Transferência Pix enviada Marco Aurelio de Moura Leite</t>
        </is>
      </c>
    </row>
    <row r="37">
      <c r="A37" s="29" t="n">
        <v>46032</v>
      </c>
      <c r="B37" t="n">
        <v>1</v>
      </c>
      <c r="C37" t="n">
        <v>2026</v>
      </c>
      <c r="D37" t="inlineStr">
        <is>
          <t>Studio</t>
        </is>
      </c>
      <c r="E37" t="inlineStr">
        <is>
          <t>Receita - Denise (Salão)</t>
        </is>
      </c>
      <c r="F37" t="inlineStr">
        <is>
          <t>Depósito recebido de Denise / Salão</t>
        </is>
      </c>
      <c r="G37" t="inlineStr">
        <is>
          <t>Receita</t>
        </is>
      </c>
      <c r="H37" s="3" t="n">
        <v>1000</v>
      </c>
      <c r="I37" t="inlineStr">
        <is>
          <t>Pix</t>
        </is>
      </c>
      <c r="J37" t="inlineStr">
        <is>
          <t>Não</t>
        </is>
      </c>
      <c r="K37" t="inlineStr">
        <is>
          <t>Eventual</t>
        </is>
      </c>
      <c r="L37" t="inlineStr"/>
      <c r="M37" t="inlineStr">
        <is>
          <t>Mercado Pago account_statement-0c8b26f3-edca-45af-98d4-d8a53ef417b3.xlsx</t>
        </is>
      </c>
      <c r="N37" t="inlineStr">
        <is>
          <t>Recebido</t>
        </is>
      </c>
      <c r="O37" t="inlineStr">
        <is>
          <t>Transferência Pix recebida DENISE DE PAULA</t>
        </is>
      </c>
    </row>
    <row r="38">
      <c r="A38" s="29" t="n">
        <v>46032</v>
      </c>
      <c r="B38" t="n">
        <v>1</v>
      </c>
      <c r="C38" t="n">
        <v>2026</v>
      </c>
      <c r="D38" t="inlineStr">
        <is>
          <t>Studio</t>
        </is>
      </c>
      <c r="E38" t="inlineStr">
        <is>
          <t>Receita - Midialike</t>
        </is>
      </c>
      <c r="F38" t="inlineStr">
        <is>
          <t>Depósito Midialike</t>
        </is>
      </c>
      <c r="G38" t="inlineStr">
        <is>
          <t>Receita</t>
        </is>
      </c>
      <c r="H38" s="3" t="n">
        <v>6000</v>
      </c>
      <c r="I38" t="inlineStr">
        <is>
          <t>Pix</t>
        </is>
      </c>
      <c r="J38" t="inlineStr">
        <is>
          <t>Sim</t>
        </is>
      </c>
      <c r="K38" t="inlineStr">
        <is>
          <t>Mensal</t>
        </is>
      </c>
      <c r="L38" t="inlineStr"/>
      <c r="M38" t="inlineStr">
        <is>
          <t>Mercado Pago account_statement-0c8b26f3-edca-45af-98d4-d8a53ef417b3.xlsx</t>
        </is>
      </c>
      <c r="N38" t="inlineStr">
        <is>
          <t>Recebido</t>
        </is>
      </c>
      <c r="O38" t="inlineStr">
        <is>
          <t>Transferência Pix recebida MIDIA LIKE LTDA</t>
        </is>
      </c>
    </row>
    <row r="39">
      <c r="A39" s="29" t="n">
        <v>46034</v>
      </c>
      <c r="B39" t="n">
        <v>1</v>
      </c>
      <c r="C39" t="n">
        <v>2026</v>
      </c>
      <c r="D39" t="inlineStr">
        <is>
          <t>Studio</t>
        </is>
      </c>
      <c r="E39" t="inlineStr">
        <is>
          <t>Outros</t>
        </is>
      </c>
      <c r="F39" t="inlineStr">
        <is>
          <t>Pagamento Cartão Santander</t>
        </is>
      </c>
      <c r="G39" t="inlineStr">
        <is>
          <t>Despesa</t>
        </is>
      </c>
      <c r="H39" s="3" t="n">
        <v>-1087.36</v>
      </c>
      <c r="I39" t="inlineStr">
        <is>
          <t>Boleto</t>
        </is>
      </c>
      <c r="J39" t="inlineStr">
        <is>
          <t>Não</t>
        </is>
      </c>
      <c r="K39" t="inlineStr">
        <is>
          <t>Eventual</t>
        </is>
      </c>
      <c r="L39" t="inlineStr"/>
      <c r="M39" t="inlineStr">
        <is>
          <t>Mercado Pago account_statement-0c8b26f3-edca-45af-98d4-d8a53ef417b3.xlsx</t>
        </is>
      </c>
      <c r="N39" t="inlineStr">
        <is>
          <t>Sem comprovante</t>
        </is>
      </c>
      <c r="O39" t="inlineStr">
        <is>
          <t>Pagamento de conta Banco Santander (Brasil) S. A.</t>
        </is>
      </c>
    </row>
    <row r="40">
      <c r="A40" s="29" t="n">
        <v>46034</v>
      </c>
      <c r="B40" t="n">
        <v>1</v>
      </c>
      <c r="C40" t="n">
        <v>2026</v>
      </c>
      <c r="D40" t="inlineStr">
        <is>
          <t>Studio</t>
        </is>
      </c>
      <c r="E40" t="inlineStr">
        <is>
          <t>Contas Fixas</t>
        </is>
      </c>
      <c r="F40" t="inlineStr">
        <is>
          <t>Internet / Telecom</t>
        </is>
      </c>
      <c r="G40" t="inlineStr">
        <is>
          <t>Despesa</t>
        </is>
      </c>
      <c r="H40" s="3" t="n">
        <v>-105.95</v>
      </c>
      <c r="I40" t="inlineStr">
        <is>
          <t>Boleto</t>
        </is>
      </c>
      <c r="J40" t="inlineStr">
        <is>
          <t>Sim</t>
        </is>
      </c>
      <c r="K40" t="inlineStr">
        <is>
          <t>Mensal</t>
        </is>
      </c>
      <c r="L40" t="inlineStr"/>
      <c r="M40" t="inlineStr">
        <is>
          <t>Mercado Pago account_statement-0c8b26f3-edca-45af-98d4-d8a53ef417b3.xlsx</t>
        </is>
      </c>
      <c r="N40" t="inlineStr">
        <is>
          <t>Sem comprovante</t>
        </is>
      </c>
      <c r="O40" t="inlineStr">
        <is>
          <t>Pagamento de conta Banco Votorantim S.A.</t>
        </is>
      </c>
    </row>
    <row r="41">
      <c r="A41" s="29" t="n">
        <v>46034</v>
      </c>
      <c r="B41" t="n">
        <v>1</v>
      </c>
      <c r="C41" t="n">
        <v>2026</v>
      </c>
      <c r="D41" t="inlineStr">
        <is>
          <t>Geral</t>
        </is>
      </c>
      <c r="E41" t="inlineStr">
        <is>
          <t>Outros</t>
        </is>
      </c>
      <c r="F41" t="inlineStr">
        <is>
          <t>Pagamento Caixa</t>
        </is>
      </c>
      <c r="G41" t="inlineStr">
        <is>
          <t>Despesa</t>
        </is>
      </c>
      <c r="H41" s="3" t="n">
        <v>-930.12</v>
      </c>
      <c r="I41" t="inlineStr">
        <is>
          <t>Boleto</t>
        </is>
      </c>
      <c r="J41" t="inlineStr">
        <is>
          <t>Não</t>
        </is>
      </c>
      <c r="K41" t="inlineStr">
        <is>
          <t>Eventual</t>
        </is>
      </c>
      <c r="L41" t="inlineStr"/>
      <c r="M41" t="inlineStr">
        <is>
          <t>Mercado Pago account_statement-0c8b26f3-edca-45af-98d4-d8a53ef417b3.xlsx</t>
        </is>
      </c>
      <c r="N41" t="inlineStr">
        <is>
          <t>Sem comprovante</t>
        </is>
      </c>
      <c r="O41" t="inlineStr">
        <is>
          <t>Pagamento de conta Caixa Econômica Federal</t>
        </is>
      </c>
    </row>
    <row r="42">
      <c r="A42" s="29" t="n">
        <v>46034</v>
      </c>
      <c r="B42" t="n">
        <v>1</v>
      </c>
      <c r="C42" t="n">
        <v>2026</v>
      </c>
      <c r="D42" t="inlineStr">
        <is>
          <t>Studio</t>
        </is>
      </c>
      <c r="E42" t="inlineStr">
        <is>
          <t>Receita - Denise (Salão)</t>
        </is>
      </c>
      <c r="F42" t="inlineStr">
        <is>
          <t>Depósito recebido de Denise / Salão</t>
        </is>
      </c>
      <c r="G42" t="inlineStr">
        <is>
          <t>Receita</t>
        </is>
      </c>
      <c r="H42" s="3" t="n">
        <v>3000</v>
      </c>
      <c r="I42" t="inlineStr">
        <is>
          <t>Pix</t>
        </is>
      </c>
      <c r="J42" t="inlineStr">
        <is>
          <t>Não</t>
        </is>
      </c>
      <c r="K42" t="inlineStr">
        <is>
          <t>Eventual</t>
        </is>
      </c>
      <c r="L42" t="inlineStr"/>
      <c r="M42" t="inlineStr">
        <is>
          <t>Mercado Pago account_statement-0c8b26f3-edca-45af-98d4-d8a53ef417b3.xlsx</t>
        </is>
      </c>
      <c r="N42" t="inlineStr">
        <is>
          <t>Recebido</t>
        </is>
      </c>
      <c r="O42" t="inlineStr">
        <is>
          <t>Transferência Pix recebida DENISE DE PAULA CENTRO DE ESTETICA LTDA</t>
        </is>
      </c>
    </row>
    <row r="43">
      <c r="A43" s="29" t="n">
        <v>46034</v>
      </c>
      <c r="B43" t="n">
        <v>1</v>
      </c>
      <c r="C43" t="n">
        <v>2026</v>
      </c>
      <c r="D43" t="inlineStr">
        <is>
          <t>Geral</t>
        </is>
      </c>
      <c r="E43" t="inlineStr">
        <is>
          <t>Transferência - Denise</t>
        </is>
      </c>
      <c r="F43" t="inlineStr">
        <is>
          <t>Pix Bruno→Denise</t>
        </is>
      </c>
      <c r="G43" t="inlineStr">
        <is>
          <t>Despesa</t>
        </is>
      </c>
      <c r="H43" s="3" t="n">
        <v>-1000</v>
      </c>
      <c r="I43" t="inlineStr">
        <is>
          <t>Outro</t>
        </is>
      </c>
      <c r="J43" t="inlineStr">
        <is>
          <t>Não</t>
        </is>
      </c>
      <c r="K43" t="inlineStr">
        <is>
          <t>Eventual</t>
        </is>
      </c>
      <c r="L43" t="inlineStr"/>
      <c r="M43" t="inlineStr">
        <is>
          <t>Mercado Pago account_statement-0c8b26f3-edca-45af-98d4-d8a53ef417b3.xlsx</t>
        </is>
      </c>
      <c r="N43" t="inlineStr">
        <is>
          <t>Sem comprovante</t>
        </is>
      </c>
      <c r="O43" t="inlineStr">
        <is>
          <t>Transferência enviada Denise De Paula</t>
        </is>
      </c>
    </row>
    <row r="44">
      <c r="A44" s="29" t="n">
        <v>46035</v>
      </c>
      <c r="B44" t="n">
        <v>1</v>
      </c>
      <c r="C44" t="n">
        <v>2026</v>
      </c>
      <c r="D44" t="inlineStr">
        <is>
          <t>Studio</t>
        </is>
      </c>
      <c r="E44" t="inlineStr">
        <is>
          <t>Receita - Liberação de Crédito</t>
        </is>
      </c>
      <c r="F44" t="inlineStr">
        <is>
          <t>Liberação de Crédito (Studio)</t>
        </is>
      </c>
      <c r="G44" t="inlineStr">
        <is>
          <t>Receita</t>
        </is>
      </c>
      <c r="H44" s="3" t="n">
        <v>487.6</v>
      </c>
      <c r="I44" t="inlineStr">
        <is>
          <t>Outro</t>
        </is>
      </c>
      <c r="J44" t="inlineStr">
        <is>
          <t>Não</t>
        </is>
      </c>
      <c r="K44" t="inlineStr">
        <is>
          <t>Eventual</t>
        </is>
      </c>
      <c r="L44" t="inlineStr"/>
      <c r="M44" t="inlineStr">
        <is>
          <t>Mercado Pago account_statement-0c8b26f3-edca-45af-98d4-d8a53ef417b3.xlsx</t>
        </is>
      </c>
      <c r="N44" t="inlineStr">
        <is>
          <t>Recebido</t>
        </is>
      </c>
      <c r="O44" t="inlineStr">
        <is>
          <t>Liberação de dinheiro</t>
        </is>
      </c>
    </row>
    <row r="45">
      <c r="A45" s="29" t="n">
        <v>46035</v>
      </c>
      <c r="B45" t="n">
        <v>1</v>
      </c>
      <c r="C45" t="n">
        <v>2026</v>
      </c>
      <c r="D45" t="inlineStr">
        <is>
          <t>Studio</t>
        </is>
      </c>
      <c r="E45" t="inlineStr">
        <is>
          <t>Outros</t>
        </is>
      </c>
      <c r="F45" t="inlineStr">
        <is>
          <t>Pix recebido cliente Studio</t>
        </is>
      </c>
      <c r="G45" t="inlineStr">
        <is>
          <t>Receita</t>
        </is>
      </c>
      <c r="H45" s="3" t="n">
        <v>447.79</v>
      </c>
      <c r="I45" t="inlineStr">
        <is>
          <t>Pix</t>
        </is>
      </c>
      <c r="J45" t="inlineStr">
        <is>
          <t>Não</t>
        </is>
      </c>
      <c r="K45" t="inlineStr">
        <is>
          <t>Eventual</t>
        </is>
      </c>
      <c r="L45" t="inlineStr"/>
      <c r="M45" t="inlineStr">
        <is>
          <t>Mercado Pago account_statement-0c8b26f3-edca-45af-98d4-d8a53ef417b3.xlsx</t>
        </is>
      </c>
      <c r="N45" t="inlineStr">
        <is>
          <t>Recebido</t>
        </is>
      </c>
      <c r="O45" t="inlineStr">
        <is>
          <t>Pagamento com Código QR Pix ROSELI DO ROCIO MOCELIN DRA</t>
        </is>
      </c>
    </row>
    <row r="46">
      <c r="A46" s="29" t="n">
        <v>46036</v>
      </c>
      <c r="B46" t="n">
        <v>1</v>
      </c>
      <c r="C46" t="n">
        <v>2026</v>
      </c>
      <c r="D46" t="inlineStr">
        <is>
          <t>Studio</t>
        </is>
      </c>
      <c r="E46" t="inlineStr">
        <is>
          <t>Receita - Liberação de Crédito</t>
        </is>
      </c>
      <c r="F46" t="inlineStr">
        <is>
          <t>Liberação de Crédito (Studio)</t>
        </is>
      </c>
      <c r="G46" t="inlineStr">
        <is>
          <t>Receita</t>
        </is>
      </c>
      <c r="H46" s="3" t="n">
        <v>983.96</v>
      </c>
      <c r="I46" t="inlineStr">
        <is>
          <t>Outro</t>
        </is>
      </c>
      <c r="J46" t="inlineStr">
        <is>
          <t>Não</t>
        </is>
      </c>
      <c r="K46" t="inlineStr">
        <is>
          <t>Eventual</t>
        </is>
      </c>
      <c r="L46" t="inlineStr"/>
      <c r="M46" t="inlineStr">
        <is>
          <t>Mercado Pago account_statement-0c8b26f3-edca-45af-98d4-d8a53ef417b3.xlsx</t>
        </is>
      </c>
      <c r="N46" t="inlineStr">
        <is>
          <t>Recebido</t>
        </is>
      </c>
      <c r="O46" t="inlineStr">
        <is>
          <t>Liberação de dinheiro</t>
        </is>
      </c>
    </row>
    <row r="47">
      <c r="A47" s="29" t="n">
        <v>46036</v>
      </c>
      <c r="B47" t="n">
        <v>1</v>
      </c>
      <c r="C47" t="n">
        <v>2026</v>
      </c>
      <c r="D47" t="inlineStr">
        <is>
          <t>Studio</t>
        </is>
      </c>
      <c r="E47" t="inlineStr">
        <is>
          <t>Outros</t>
        </is>
      </c>
      <c r="F47" t="inlineStr">
        <is>
          <t>Pix recebido cliente Studio</t>
        </is>
      </c>
      <c r="G47" t="inlineStr">
        <is>
          <t>Receita</t>
        </is>
      </c>
      <c r="H47" s="3" t="n">
        <v>59.71</v>
      </c>
      <c r="I47" t="inlineStr">
        <is>
          <t>Pix</t>
        </is>
      </c>
      <c r="J47" t="inlineStr">
        <is>
          <t>Não</t>
        </is>
      </c>
      <c r="K47" t="inlineStr">
        <is>
          <t>Eventual</t>
        </is>
      </c>
      <c r="L47" t="inlineStr"/>
      <c r="M47" t="inlineStr">
        <is>
          <t>Mercado Pago account_statement-0c8b26f3-edca-45af-98d4-d8a53ef417b3.xlsx</t>
        </is>
      </c>
      <c r="N47" t="inlineStr">
        <is>
          <t>Recebido</t>
        </is>
      </c>
      <c r="O47" t="inlineStr">
        <is>
          <t>Pagamento com Código QR Pix SOULI TEREZINHA BASTOS DE BARROS</t>
        </is>
      </c>
    </row>
    <row r="48">
      <c r="A48" s="29" t="n">
        <v>46036</v>
      </c>
      <c r="B48" t="n">
        <v>1</v>
      </c>
      <c r="C48" t="n">
        <v>2026</v>
      </c>
      <c r="D48" t="inlineStr">
        <is>
          <t>Studio</t>
        </is>
      </c>
      <c r="E48" t="inlineStr">
        <is>
          <t>Outros</t>
        </is>
      </c>
      <c r="F48" t="inlineStr">
        <is>
          <t>Pix recebido cliente Studio</t>
        </is>
      </c>
      <c r="G48" t="inlineStr">
        <is>
          <t>Receita</t>
        </is>
      </c>
      <c r="H48" s="3" t="n">
        <v>1164.27</v>
      </c>
      <c r="I48" t="inlineStr">
        <is>
          <t>Pix</t>
        </is>
      </c>
      <c r="J48" t="inlineStr">
        <is>
          <t>Não</t>
        </is>
      </c>
      <c r="K48" t="inlineStr">
        <is>
          <t>Eventual</t>
        </is>
      </c>
      <c r="L48" t="inlineStr"/>
      <c r="M48" t="inlineStr">
        <is>
          <t>Mercado Pago account_statement-0c8b26f3-edca-45af-98d4-d8a53ef417b3.xlsx</t>
        </is>
      </c>
      <c r="N48" t="inlineStr">
        <is>
          <t>Recebido</t>
        </is>
      </c>
      <c r="O48" t="inlineStr">
        <is>
          <t>Pagamento com Código QR Pix TEREZINHA DI MITO</t>
        </is>
      </c>
    </row>
    <row r="49">
      <c r="A49" s="29" t="n">
        <v>46036</v>
      </c>
      <c r="B49" t="n">
        <v>1</v>
      </c>
      <c r="C49" t="n">
        <v>2026</v>
      </c>
      <c r="D49" t="inlineStr">
        <is>
          <t>Geral</t>
        </is>
      </c>
      <c r="E49" t="inlineStr">
        <is>
          <t>Pessoal</t>
        </is>
      </c>
      <c r="F49" t="inlineStr">
        <is>
          <t>Fernanda</t>
        </is>
      </c>
      <c r="G49" t="inlineStr">
        <is>
          <t>Despesa</t>
        </is>
      </c>
      <c r="H49" s="3" t="n">
        <v>-30</v>
      </c>
      <c r="I49" t="inlineStr">
        <is>
          <t>Pix</t>
        </is>
      </c>
      <c r="J49" t="inlineStr">
        <is>
          <t>Não</t>
        </is>
      </c>
      <c r="K49" t="inlineStr">
        <is>
          <t>Eventual</t>
        </is>
      </c>
      <c r="L49" t="inlineStr"/>
      <c r="M49" t="inlineStr">
        <is>
          <t>Mercado Pago account_statement-0c8b26f3-edca-45af-98d4-d8a53ef417b3.xlsx</t>
        </is>
      </c>
      <c r="N49" t="inlineStr">
        <is>
          <t>Sem comprovante</t>
        </is>
      </c>
      <c r="O49" t="inlineStr">
        <is>
          <t>Transferência Pix enviada Fernanda Angeline dos Santos Manoel</t>
        </is>
      </c>
    </row>
    <row r="50">
      <c r="A50" s="29" t="n">
        <v>46037</v>
      </c>
      <c r="B50" t="n">
        <v>1</v>
      </c>
      <c r="C50" t="n">
        <v>2026</v>
      </c>
      <c r="D50" t="inlineStr">
        <is>
          <t>Studio</t>
        </is>
      </c>
      <c r="E50" t="inlineStr">
        <is>
          <t>Receita - Liberação de Crédito</t>
        </is>
      </c>
      <c r="F50" t="inlineStr">
        <is>
          <t>Liberação de Crédito (Studio)</t>
        </is>
      </c>
      <c r="G50" t="inlineStr">
        <is>
          <t>Receita</t>
        </is>
      </c>
      <c r="H50" s="3" t="n">
        <v>652.37</v>
      </c>
      <c r="I50" t="inlineStr">
        <is>
          <t>Outro</t>
        </is>
      </c>
      <c r="J50" t="inlineStr">
        <is>
          <t>Não</t>
        </is>
      </c>
      <c r="K50" t="inlineStr">
        <is>
          <t>Eventual</t>
        </is>
      </c>
      <c r="L50" t="inlineStr"/>
      <c r="M50" t="inlineStr">
        <is>
          <t>Mercado Pago account_statement-0c8b26f3-edca-45af-98d4-d8a53ef417b3.xlsx</t>
        </is>
      </c>
      <c r="N50" t="inlineStr">
        <is>
          <t>Recebido</t>
        </is>
      </c>
      <c r="O50" t="inlineStr">
        <is>
          <t>Liberação de dinheiro</t>
        </is>
      </c>
    </row>
    <row r="51">
      <c r="A51" s="29" t="n">
        <v>46037</v>
      </c>
      <c r="B51" t="n">
        <v>1</v>
      </c>
      <c r="C51" t="n">
        <v>2026</v>
      </c>
      <c r="D51" t="inlineStr">
        <is>
          <t>Pessoal</t>
        </is>
      </c>
      <c r="E51" t="inlineStr">
        <is>
          <t>Contas Variáveis</t>
        </is>
      </c>
      <c r="F51" t="inlineStr">
        <is>
          <t>Lazer / Compras</t>
        </is>
      </c>
      <c r="G51" t="inlineStr">
        <is>
          <t>Despesa</t>
        </is>
      </c>
      <c r="H51" s="3" t="n">
        <v>-115.49</v>
      </c>
      <c r="I51" t="inlineStr">
        <is>
          <t>Pix</t>
        </is>
      </c>
      <c r="J51" t="inlineStr">
        <is>
          <t>Não</t>
        </is>
      </c>
      <c r="K51" t="inlineStr">
        <is>
          <t>Eventual</t>
        </is>
      </c>
      <c r="L51" t="inlineStr"/>
      <c r="M51" t="inlineStr">
        <is>
          <t>Mercado Pago account_statement-0c8b26f3-edca-45af-98d4-d8a53ef417b3.xlsx</t>
        </is>
      </c>
      <c r="N51" t="inlineStr">
        <is>
          <t>Sem comprovante</t>
        </is>
      </c>
      <c r="O51" t="inlineStr">
        <is>
          <t>Pagamento com QR Pix ODP - OUTLET DE PASSAGENS LTDA</t>
        </is>
      </c>
    </row>
    <row r="52">
      <c r="A52" s="29" t="n">
        <v>46037</v>
      </c>
      <c r="B52" t="n">
        <v>1</v>
      </c>
      <c r="C52" t="n">
        <v>2026</v>
      </c>
      <c r="D52" t="inlineStr">
        <is>
          <t>Geral</t>
        </is>
      </c>
      <c r="E52" t="inlineStr">
        <is>
          <t>Outros</t>
        </is>
      </c>
      <c r="F52" t="inlineStr">
        <is>
          <t>Pagamento Efi (Boleto)</t>
        </is>
      </c>
      <c r="G52" t="inlineStr">
        <is>
          <t>Despesa</t>
        </is>
      </c>
      <c r="H52" s="3" t="n">
        <v>-37.43</v>
      </c>
      <c r="I52" t="inlineStr">
        <is>
          <t>Boleto</t>
        </is>
      </c>
      <c r="J52" t="inlineStr">
        <is>
          <t>Não</t>
        </is>
      </c>
      <c r="K52" t="inlineStr">
        <is>
          <t>Eventual</t>
        </is>
      </c>
      <c r="L52" t="inlineStr"/>
      <c r="M52" t="inlineStr">
        <is>
          <t>Mercado Pago account_statement-0c8b26f3-edca-45af-98d4-d8a53ef417b3.xlsx</t>
        </is>
      </c>
      <c r="N52" t="inlineStr">
        <is>
          <t>Sem comprovante</t>
        </is>
      </c>
      <c r="O52" t="inlineStr">
        <is>
          <t>Pagamento de conta Efi S.A. - Instituição de Pagamento</t>
        </is>
      </c>
    </row>
    <row r="53">
      <c r="A53" s="29" t="n">
        <v>46037</v>
      </c>
      <c r="B53" t="n">
        <v>1</v>
      </c>
      <c r="C53" t="n">
        <v>2026</v>
      </c>
      <c r="D53" t="inlineStr">
        <is>
          <t>Studio</t>
        </is>
      </c>
      <c r="E53" t="inlineStr">
        <is>
          <t>Receita - Denise (Salão)</t>
        </is>
      </c>
      <c r="F53" t="inlineStr">
        <is>
          <t>Depósito recebido de Denise / Salão</t>
        </is>
      </c>
      <c r="G53" t="inlineStr">
        <is>
          <t>Receita</t>
        </is>
      </c>
      <c r="H53" s="3" t="n">
        <v>1000</v>
      </c>
      <c r="I53" t="inlineStr">
        <is>
          <t>Pix</t>
        </is>
      </c>
      <c r="J53" t="inlineStr">
        <is>
          <t>Não</t>
        </is>
      </c>
      <c r="K53" t="inlineStr">
        <is>
          <t>Eventual</t>
        </is>
      </c>
      <c r="L53" t="inlineStr"/>
      <c r="M53" t="inlineStr">
        <is>
          <t>Mercado Pago account_statement-0c8b26f3-edca-45af-98d4-d8a53ef417b3.xlsx</t>
        </is>
      </c>
      <c r="N53" t="inlineStr">
        <is>
          <t>Recebido</t>
        </is>
      </c>
      <c r="O53" t="inlineStr">
        <is>
          <t>Transferência Pix recebida DENISE DE PAULA</t>
        </is>
      </c>
    </row>
    <row r="54">
      <c r="A54" s="29" t="n">
        <v>46037</v>
      </c>
      <c r="B54" t="n">
        <v>1</v>
      </c>
      <c r="C54" t="n">
        <v>2026</v>
      </c>
      <c r="D54" t="inlineStr">
        <is>
          <t>Geral</t>
        </is>
      </c>
      <c r="E54" t="inlineStr">
        <is>
          <t>Transferência - Denise</t>
        </is>
      </c>
      <c r="F54" t="inlineStr">
        <is>
          <t>Pix Bruno→Denise</t>
        </is>
      </c>
      <c r="G54" t="inlineStr">
        <is>
          <t>Despesa</t>
        </is>
      </c>
      <c r="H54" s="3" t="n">
        <v>-100</v>
      </c>
      <c r="I54" t="inlineStr">
        <is>
          <t>Outro</t>
        </is>
      </c>
      <c r="J54" t="inlineStr">
        <is>
          <t>Não</t>
        </is>
      </c>
      <c r="K54" t="inlineStr">
        <is>
          <t>Eventual</t>
        </is>
      </c>
      <c r="L54" t="inlineStr"/>
      <c r="M54" t="inlineStr">
        <is>
          <t>Mercado Pago account_statement-0c8b26f3-edca-45af-98d4-d8a53ef417b3.xlsx</t>
        </is>
      </c>
      <c r="N54" t="inlineStr">
        <is>
          <t>Sem comprovante</t>
        </is>
      </c>
      <c r="O54" t="inlineStr">
        <is>
          <t>Transferência enviada Denise De Paula</t>
        </is>
      </c>
    </row>
    <row r="55">
      <c r="A55" s="29" t="n">
        <v>46038</v>
      </c>
      <c r="B55" t="n">
        <v>1</v>
      </c>
      <c r="C55" t="n">
        <v>2026</v>
      </c>
      <c r="D55" t="inlineStr">
        <is>
          <t>Studio</t>
        </is>
      </c>
      <c r="E55" t="inlineStr">
        <is>
          <t>Receita - Liberação de Crédito</t>
        </is>
      </c>
      <c r="F55" t="inlineStr">
        <is>
          <t>Liberação de Crédito (Studio)</t>
        </is>
      </c>
      <c r="G55" t="inlineStr">
        <is>
          <t>Receita</t>
        </is>
      </c>
      <c r="H55" s="3" t="n">
        <v>494.45</v>
      </c>
      <c r="I55" t="inlineStr">
        <is>
          <t>Outro</t>
        </is>
      </c>
      <c r="J55" t="inlineStr">
        <is>
          <t>Não</t>
        </is>
      </c>
      <c r="K55" t="inlineStr">
        <is>
          <t>Eventual</t>
        </is>
      </c>
      <c r="L55" t="inlineStr"/>
      <c r="M55" t="inlineStr">
        <is>
          <t>Mercado Pago account_statement-0c8b26f3-edca-45af-98d4-d8a53ef417b3.xlsx</t>
        </is>
      </c>
      <c r="N55" t="inlineStr">
        <is>
          <t>Recebido</t>
        </is>
      </c>
      <c r="O55" t="inlineStr">
        <is>
          <t>Liberação de dinheiro</t>
        </is>
      </c>
    </row>
    <row r="56">
      <c r="A56" s="29" t="n">
        <v>46038</v>
      </c>
      <c r="B56" t="n">
        <v>1</v>
      </c>
      <c r="C56" t="n">
        <v>2026</v>
      </c>
      <c r="D56" t="inlineStr">
        <is>
          <t>Studio</t>
        </is>
      </c>
      <c r="E56" t="inlineStr">
        <is>
          <t>Receita - Liberação de Crédito</t>
        </is>
      </c>
      <c r="F56" t="inlineStr">
        <is>
          <t>Liberação de Crédito (Studio)</t>
        </is>
      </c>
      <c r="G56" t="inlineStr">
        <is>
          <t>Receita</t>
        </is>
      </c>
      <c r="H56" s="3" t="n">
        <v>245.72</v>
      </c>
      <c r="I56" t="inlineStr">
        <is>
          <t>Outro</t>
        </is>
      </c>
      <c r="J56" t="inlineStr">
        <is>
          <t>Não</t>
        </is>
      </c>
      <c r="K56" t="inlineStr">
        <is>
          <t>Eventual</t>
        </is>
      </c>
      <c r="L56" t="inlineStr"/>
      <c r="M56" t="inlineStr">
        <is>
          <t>Mercado Pago account_statement-0c8b26f3-edca-45af-98d4-d8a53ef417b3.xlsx</t>
        </is>
      </c>
      <c r="N56" t="inlineStr">
        <is>
          <t>Recebido</t>
        </is>
      </c>
      <c r="O56" t="inlineStr">
        <is>
          <t>Liberação de dinheiro</t>
        </is>
      </c>
    </row>
    <row r="57">
      <c r="A57" s="29" t="n">
        <v>46038</v>
      </c>
      <c r="B57" t="n">
        <v>1</v>
      </c>
      <c r="C57" t="n">
        <v>2026</v>
      </c>
      <c r="D57" t="inlineStr">
        <is>
          <t>Geral</t>
        </is>
      </c>
      <c r="E57" t="inlineStr">
        <is>
          <t>Outros</t>
        </is>
      </c>
      <c r="F57" t="inlineStr">
        <is>
          <t>Serviço Médico</t>
        </is>
      </c>
      <c r="G57" t="inlineStr">
        <is>
          <t>Despesa</t>
        </is>
      </c>
      <c r="H57" s="3" t="n">
        <v>-249.9</v>
      </c>
      <c r="I57" t="inlineStr">
        <is>
          <t>Pix</t>
        </is>
      </c>
      <c r="J57" t="inlineStr">
        <is>
          <t>Não</t>
        </is>
      </c>
      <c r="K57" t="inlineStr">
        <is>
          <t>Eventual</t>
        </is>
      </c>
      <c r="L57" t="inlineStr"/>
      <c r="M57" t="inlineStr">
        <is>
          <t>Mercado Pago account_statement-0c8b26f3-edca-45af-98d4-d8a53ef417b3.xlsx</t>
        </is>
      </c>
      <c r="N57" t="inlineStr">
        <is>
          <t>Sem comprovante</t>
        </is>
      </c>
      <c r="O57" t="inlineStr">
        <is>
          <t>Pagamento com QR Pix SALVA SERVICOS MEDICOS DE EMERGENCIA LTDA</t>
        </is>
      </c>
    </row>
    <row r="58">
      <c r="A58" s="29" t="n">
        <v>46038</v>
      </c>
      <c r="B58" t="n">
        <v>1</v>
      </c>
      <c r="C58" t="n">
        <v>2026</v>
      </c>
      <c r="D58" t="inlineStr">
        <is>
          <t>Geral</t>
        </is>
      </c>
      <c r="E58" t="inlineStr">
        <is>
          <t>Transferência - Bruno (própria)</t>
        </is>
      </c>
      <c r="F58" t="inlineStr">
        <is>
          <t>Pix Bruno→Bruno (entre contas próprias)</t>
        </is>
      </c>
      <c r="G58" t="inlineStr">
        <is>
          <t>Despesa</t>
        </is>
      </c>
      <c r="H58" s="3" t="n">
        <v>-1000</v>
      </c>
      <c r="I58" t="inlineStr">
        <is>
          <t>Pix</t>
        </is>
      </c>
      <c r="J58" t="inlineStr">
        <is>
          <t>Não</t>
        </is>
      </c>
      <c r="K58" t="inlineStr">
        <is>
          <t>Eventual</t>
        </is>
      </c>
      <c r="L58" t="inlineStr"/>
      <c r="M58" t="inlineStr">
        <is>
          <t>Mercado Pago account_statement-0c8b26f3-edca-45af-98d4-d8a53ef417b3.xlsx</t>
        </is>
      </c>
      <c r="N58" t="inlineStr">
        <is>
          <t>Sem comprovante</t>
        </is>
      </c>
      <c r="O58" t="inlineStr">
        <is>
          <t>Transferência Pix enviada Bruno Porto Seus</t>
        </is>
      </c>
    </row>
    <row r="59">
      <c r="A59" s="29" t="n">
        <v>46038</v>
      </c>
      <c r="B59" t="n">
        <v>1</v>
      </c>
      <c r="C59" t="n">
        <v>2026</v>
      </c>
      <c r="D59" t="inlineStr">
        <is>
          <t>Pessoal</t>
        </is>
      </c>
      <c r="E59" t="inlineStr">
        <is>
          <t>Outros</t>
        </is>
      </c>
      <c r="F59" t="inlineStr">
        <is>
          <t>Compra / Pix Pessoal</t>
        </is>
      </c>
      <c r="G59" t="inlineStr">
        <is>
          <t>Despesa</t>
        </is>
      </c>
      <c r="H59" s="3" t="n">
        <v>-38.9</v>
      </c>
      <c r="I59" t="inlineStr">
        <is>
          <t>Pix</t>
        </is>
      </c>
      <c r="J59" t="inlineStr">
        <is>
          <t>Não</t>
        </is>
      </c>
      <c r="K59" t="inlineStr">
        <is>
          <t>Eventual</t>
        </is>
      </c>
      <c r="L59" t="inlineStr"/>
      <c r="M59" t="inlineStr">
        <is>
          <t>Mercado Pago account_statement-0c8b26f3-edca-45af-98d4-d8a53ef417b3.xlsx</t>
        </is>
      </c>
      <c r="N59" t="inlineStr">
        <is>
          <t>Sem comprovante</t>
        </is>
      </c>
      <c r="O59" t="inlineStr">
        <is>
          <t>Transferência Pix enviada CIA LATINO AMERICANA DE MEDICAMENTOS</t>
        </is>
      </c>
    </row>
    <row r="60">
      <c r="A60" s="29" t="n">
        <v>46038</v>
      </c>
      <c r="B60" t="n">
        <v>1</v>
      </c>
      <c r="C60" t="n">
        <v>2026</v>
      </c>
      <c r="D60" t="inlineStr">
        <is>
          <t>Geral</t>
        </is>
      </c>
      <c r="E60" t="inlineStr">
        <is>
          <t>Pessoal</t>
        </is>
      </c>
      <c r="F60" t="inlineStr">
        <is>
          <t>Giovanni</t>
        </is>
      </c>
      <c r="G60" t="inlineStr">
        <is>
          <t>Despesa</t>
        </is>
      </c>
      <c r="H60" s="3" t="n">
        <v>-1000</v>
      </c>
      <c r="I60" t="inlineStr">
        <is>
          <t>Pix</t>
        </is>
      </c>
      <c r="J60" t="inlineStr">
        <is>
          <t>Não</t>
        </is>
      </c>
      <c r="K60" t="inlineStr">
        <is>
          <t>Eventual</t>
        </is>
      </c>
      <c r="L60" t="inlineStr"/>
      <c r="M60" t="inlineStr">
        <is>
          <t>Mercado Pago account_statement-0c8b26f3-edca-45af-98d4-d8a53ef417b3.xlsx</t>
        </is>
      </c>
      <c r="N60" t="inlineStr">
        <is>
          <t>Sem comprovante</t>
        </is>
      </c>
      <c r="O60" t="inlineStr">
        <is>
          <t>Transferência Pix enviada GIOVANNI SALVI DA LUZ</t>
        </is>
      </c>
    </row>
    <row r="61">
      <c r="A61" s="29" t="n">
        <v>46038</v>
      </c>
      <c r="B61" t="n">
        <v>1</v>
      </c>
      <c r="C61" t="n">
        <v>2026</v>
      </c>
      <c r="D61" t="inlineStr">
        <is>
          <t>Studio</t>
        </is>
      </c>
      <c r="E61" t="inlineStr">
        <is>
          <t>Pessoal</t>
        </is>
      </c>
      <c r="F61" t="inlineStr">
        <is>
          <t>Marco</t>
        </is>
      </c>
      <c r="G61" t="inlineStr">
        <is>
          <t>Despesa</t>
        </is>
      </c>
      <c r="H61" s="3" t="n">
        <v>-684.87</v>
      </c>
      <c r="I61" t="inlineStr">
        <is>
          <t>Pix</t>
        </is>
      </c>
      <c r="J61" t="inlineStr">
        <is>
          <t>Não</t>
        </is>
      </c>
      <c r="K61" t="inlineStr">
        <is>
          <t>Eventual</t>
        </is>
      </c>
      <c r="L61" t="inlineStr"/>
      <c r="M61" t="inlineStr">
        <is>
          <t>Mercado Pago account_statement-0c8b26f3-edca-45af-98d4-d8a53ef417b3.xlsx</t>
        </is>
      </c>
      <c r="N61" t="inlineStr">
        <is>
          <t>Sem comprovante</t>
        </is>
      </c>
      <c r="O61" t="inlineStr">
        <is>
          <t>Transferência Pix enviada Marco Aurelio de Moura Leite</t>
        </is>
      </c>
    </row>
    <row r="62">
      <c r="A62" s="29" t="n">
        <v>46040</v>
      </c>
      <c r="B62" t="n">
        <v>1</v>
      </c>
      <c r="C62" t="n">
        <v>2026</v>
      </c>
      <c r="D62" t="inlineStr">
        <is>
          <t>Geral</t>
        </is>
      </c>
      <c r="E62" t="inlineStr">
        <is>
          <t>Pessoal</t>
        </is>
      </c>
      <c r="F62" t="inlineStr">
        <is>
          <t>Joseli</t>
        </is>
      </c>
      <c r="G62" t="inlineStr">
        <is>
          <t>Despesa</t>
        </is>
      </c>
      <c r="H62" s="3" t="n">
        <v>-150</v>
      </c>
      <c r="I62" t="inlineStr">
        <is>
          <t>Pix</t>
        </is>
      </c>
      <c r="J62" t="inlineStr">
        <is>
          <t>Não</t>
        </is>
      </c>
      <c r="K62" t="inlineStr">
        <is>
          <t>Eventual</t>
        </is>
      </c>
      <c r="L62" t="inlineStr"/>
      <c r="M62" t="inlineStr">
        <is>
          <t>Mercado Pago account_statement-0c8b26f3-edca-45af-98d4-d8a53ef417b3.xlsx</t>
        </is>
      </c>
      <c r="N62" t="inlineStr">
        <is>
          <t>Sem comprovante</t>
        </is>
      </c>
      <c r="O62" t="inlineStr">
        <is>
          <t>Transferência Pix enviada Joseli de Fuccio Santos</t>
        </is>
      </c>
    </row>
    <row r="63">
      <c r="A63" s="29" t="n">
        <v>46041</v>
      </c>
      <c r="B63" t="n">
        <v>1</v>
      </c>
      <c r="C63" t="n">
        <v>2026</v>
      </c>
      <c r="D63" t="inlineStr">
        <is>
          <t>Studio</t>
        </is>
      </c>
      <c r="E63" t="inlineStr">
        <is>
          <t>Receita - Liberação de Crédito</t>
        </is>
      </c>
      <c r="F63" t="inlineStr">
        <is>
          <t>Liberação de Crédito (Studio)</t>
        </is>
      </c>
      <c r="G63" t="inlineStr">
        <is>
          <t>Receita</t>
        </is>
      </c>
      <c r="H63" s="3" t="n">
        <v>803.33</v>
      </c>
      <c r="I63" t="inlineStr">
        <is>
          <t>Outro</t>
        </is>
      </c>
      <c r="J63" t="inlineStr">
        <is>
          <t>Não</t>
        </is>
      </c>
      <c r="K63" t="inlineStr">
        <is>
          <t>Eventual</t>
        </is>
      </c>
      <c r="L63" t="inlineStr"/>
      <c r="M63" t="inlineStr">
        <is>
          <t>Mercado Pago account_statement-0c8b26f3-edca-45af-98d4-d8a53ef417b3.xlsx</t>
        </is>
      </c>
      <c r="N63" t="inlineStr">
        <is>
          <t>Recebido</t>
        </is>
      </c>
      <c r="O63" t="inlineStr">
        <is>
          <t>Liberação de dinheiro</t>
        </is>
      </c>
    </row>
    <row r="64">
      <c r="A64" s="29" t="n">
        <v>46042</v>
      </c>
      <c r="B64" t="n">
        <v>1</v>
      </c>
      <c r="C64" t="n">
        <v>2026</v>
      </c>
      <c r="D64" t="inlineStr">
        <is>
          <t>Studio</t>
        </is>
      </c>
      <c r="E64" t="inlineStr">
        <is>
          <t>Receita - Liberação de Crédito</t>
        </is>
      </c>
      <c r="F64" t="inlineStr">
        <is>
          <t>Liberação de Crédito (Studio)</t>
        </is>
      </c>
      <c r="G64" t="inlineStr">
        <is>
          <t>Receita</t>
        </is>
      </c>
      <c r="H64" s="3" t="n">
        <v>652.37</v>
      </c>
      <c r="I64" t="inlineStr">
        <is>
          <t>Outro</t>
        </is>
      </c>
      <c r="J64" t="inlineStr">
        <is>
          <t>Não</t>
        </is>
      </c>
      <c r="K64" t="inlineStr">
        <is>
          <t>Eventual</t>
        </is>
      </c>
      <c r="L64" t="inlineStr"/>
      <c r="M64" t="inlineStr">
        <is>
          <t>Mercado Pago account_statement-0c8b26f3-edca-45af-98d4-d8a53ef417b3.xlsx</t>
        </is>
      </c>
      <c r="N64" t="inlineStr">
        <is>
          <t>Recebido</t>
        </is>
      </c>
      <c r="O64" t="inlineStr">
        <is>
          <t>Liberação de dinheiro</t>
        </is>
      </c>
    </row>
    <row r="65">
      <c r="A65" s="29" t="n">
        <v>46042</v>
      </c>
      <c r="B65" t="n">
        <v>1</v>
      </c>
      <c r="C65" t="n">
        <v>2026</v>
      </c>
      <c r="D65" t="inlineStr">
        <is>
          <t>Studio</t>
        </is>
      </c>
      <c r="E65" t="inlineStr">
        <is>
          <t>Receita - Liberação de Crédito</t>
        </is>
      </c>
      <c r="F65" t="inlineStr">
        <is>
          <t>Liberação de Crédito (Studio)</t>
        </is>
      </c>
      <c r="G65" t="inlineStr">
        <is>
          <t>Receita</t>
        </is>
      </c>
      <c r="H65" s="3" t="n">
        <v>145.44</v>
      </c>
      <c r="I65" t="inlineStr">
        <is>
          <t>Outro</t>
        </is>
      </c>
      <c r="J65" t="inlineStr">
        <is>
          <t>Não</t>
        </is>
      </c>
      <c r="K65" t="inlineStr">
        <is>
          <t>Eventual</t>
        </is>
      </c>
      <c r="L65" t="inlineStr"/>
      <c r="M65" t="inlineStr">
        <is>
          <t>Mercado Pago account_statement-0c8b26f3-edca-45af-98d4-d8a53ef417b3.xlsx</t>
        </is>
      </c>
      <c r="N65" t="inlineStr">
        <is>
          <t>Recebido</t>
        </is>
      </c>
      <c r="O65" t="inlineStr">
        <is>
          <t>Liberação de dinheiro</t>
        </is>
      </c>
    </row>
    <row r="66">
      <c r="A66" s="29" t="n">
        <v>46042</v>
      </c>
      <c r="B66" t="n">
        <v>1</v>
      </c>
      <c r="C66" t="n">
        <v>2026</v>
      </c>
      <c r="D66" t="inlineStr">
        <is>
          <t>Studio</t>
        </is>
      </c>
      <c r="E66" t="inlineStr">
        <is>
          <t>Contas Fixas</t>
        </is>
      </c>
      <c r="F66" t="inlineStr">
        <is>
          <t>Internet / Telecom</t>
        </is>
      </c>
      <c r="G66" t="inlineStr">
        <is>
          <t>Despesa</t>
        </is>
      </c>
      <c r="H66" s="3" t="n">
        <v>-167.57</v>
      </c>
      <c r="I66" t="inlineStr">
        <is>
          <t>Pix</t>
        </is>
      </c>
      <c r="J66" t="inlineStr">
        <is>
          <t>Sim</t>
        </is>
      </c>
      <c r="K66" t="inlineStr">
        <is>
          <t>Mensal</t>
        </is>
      </c>
      <c r="L66" t="inlineStr">
        <is>
          <t>Internet Casa/00000035-comprovante-142206638175.pdf</t>
        </is>
      </c>
      <c r="M66" t="inlineStr">
        <is>
          <t>Mercado Pago account_statement-0c8b26f3-edca-45af-98d4-d8a53ef417b3.xlsx</t>
        </is>
      </c>
      <c r="N66" t="inlineStr">
        <is>
          <t>Pago</t>
        </is>
      </c>
      <c r="O66" t="inlineStr">
        <is>
          <t>Pagamento com QR Pix LIGGA TELECOMUNICACOES S.A.</t>
        </is>
      </c>
    </row>
    <row r="67">
      <c r="A67" s="29" t="n">
        <v>46042</v>
      </c>
      <c r="B67" t="n">
        <v>1</v>
      </c>
      <c r="C67" t="n">
        <v>2026</v>
      </c>
      <c r="D67" t="inlineStr">
        <is>
          <t>Studio</t>
        </is>
      </c>
      <c r="E67" t="inlineStr">
        <is>
          <t>Pessoal</t>
        </is>
      </c>
      <c r="F67" t="inlineStr">
        <is>
          <t>Analice</t>
        </is>
      </c>
      <c r="G67" t="inlineStr">
        <is>
          <t>Despesa</t>
        </is>
      </c>
      <c r="H67" s="3" t="n">
        <v>-500</v>
      </c>
      <c r="I67" t="inlineStr">
        <is>
          <t>Pix</t>
        </is>
      </c>
      <c r="J67" t="inlineStr">
        <is>
          <t>Não</t>
        </is>
      </c>
      <c r="K67" t="inlineStr">
        <is>
          <t>Eventual</t>
        </is>
      </c>
      <c r="L67" t="inlineStr"/>
      <c r="M67" t="inlineStr">
        <is>
          <t>Mercado Pago account_statement-0c8b26f3-edca-45af-98d4-d8a53ef417b3.xlsx</t>
        </is>
      </c>
      <c r="N67" t="inlineStr">
        <is>
          <t>Sem comprovante</t>
        </is>
      </c>
      <c r="O67" t="inlineStr">
        <is>
          <t>Transferência Pix enviada Analice Souza Pinheiro</t>
        </is>
      </c>
    </row>
    <row r="68">
      <c r="A68" s="29" t="n">
        <v>46043</v>
      </c>
      <c r="B68" t="n">
        <v>1</v>
      </c>
      <c r="C68" t="n">
        <v>2026</v>
      </c>
      <c r="D68" t="inlineStr">
        <is>
          <t>Studio</t>
        </is>
      </c>
      <c r="E68" t="inlineStr">
        <is>
          <t>Receita - Liberação de Crédito</t>
        </is>
      </c>
      <c r="F68" t="inlineStr">
        <is>
          <t>Liberação de Crédito (Studio)</t>
        </is>
      </c>
      <c r="G68" t="inlineStr">
        <is>
          <t>Receita</t>
        </is>
      </c>
      <c r="H68" s="3" t="n">
        <v>652.37</v>
      </c>
      <c r="I68" t="inlineStr">
        <is>
          <t>Outro</t>
        </is>
      </c>
      <c r="J68" t="inlineStr">
        <is>
          <t>Não</t>
        </is>
      </c>
      <c r="K68" t="inlineStr">
        <is>
          <t>Eventual</t>
        </is>
      </c>
      <c r="L68" t="inlineStr"/>
      <c r="M68" t="inlineStr">
        <is>
          <t>Mercado Pago account_statement-0c8b26f3-edca-45af-98d4-d8a53ef417b3.xlsx</t>
        </is>
      </c>
      <c r="N68" t="inlineStr">
        <is>
          <t>Recebido</t>
        </is>
      </c>
      <c r="O68" t="inlineStr">
        <is>
          <t>Liberação de dinheiro</t>
        </is>
      </c>
    </row>
    <row r="69">
      <c r="A69" s="29" t="n">
        <v>46043</v>
      </c>
      <c r="B69" t="n">
        <v>1</v>
      </c>
      <c r="C69" t="n">
        <v>2026</v>
      </c>
      <c r="D69" t="inlineStr">
        <is>
          <t>Studio</t>
        </is>
      </c>
      <c r="E69" t="inlineStr">
        <is>
          <t>Receita - Liberação de Crédito</t>
        </is>
      </c>
      <c r="F69" t="inlineStr">
        <is>
          <t>Liberação de Crédito (Studio)</t>
        </is>
      </c>
      <c r="G69" t="inlineStr">
        <is>
          <t>Receita</t>
        </is>
      </c>
      <c r="H69" s="3" t="n">
        <v>145.44</v>
      </c>
      <c r="I69" t="inlineStr">
        <is>
          <t>Outro</t>
        </is>
      </c>
      <c r="J69" t="inlineStr">
        <is>
          <t>Não</t>
        </is>
      </c>
      <c r="K69" t="inlineStr">
        <is>
          <t>Eventual</t>
        </is>
      </c>
      <c r="L69" t="inlineStr"/>
      <c r="M69" t="inlineStr">
        <is>
          <t>Mercado Pago account_statement-0c8b26f3-edca-45af-98d4-d8a53ef417b3.xlsx</t>
        </is>
      </c>
      <c r="N69" t="inlineStr">
        <is>
          <t>Recebido</t>
        </is>
      </c>
      <c r="O69" t="inlineStr">
        <is>
          <t>Liberação de dinheiro</t>
        </is>
      </c>
    </row>
    <row r="70">
      <c r="A70" s="29" t="n">
        <v>46043</v>
      </c>
      <c r="B70" t="n">
        <v>1</v>
      </c>
      <c r="C70" t="n">
        <v>2026</v>
      </c>
      <c r="D70" t="inlineStr">
        <is>
          <t>Studio</t>
        </is>
      </c>
      <c r="E70" t="inlineStr">
        <is>
          <t>Outros</t>
        </is>
      </c>
      <c r="F70" t="inlineStr">
        <is>
          <t>Pix recebido cliente Studio</t>
        </is>
      </c>
      <c r="G70" t="inlineStr">
        <is>
          <t>Receita</t>
        </is>
      </c>
      <c r="H70" s="3" t="n">
        <v>496.55</v>
      </c>
      <c r="I70" t="inlineStr">
        <is>
          <t>Pix</t>
        </is>
      </c>
      <c r="J70" t="inlineStr">
        <is>
          <t>Não</t>
        </is>
      </c>
      <c r="K70" t="inlineStr">
        <is>
          <t>Eventual</t>
        </is>
      </c>
      <c r="L70" t="inlineStr"/>
      <c r="M70" t="inlineStr">
        <is>
          <t>Mercado Pago account_statement-0c8b26f3-edca-45af-98d4-d8a53ef417b3.xlsx</t>
        </is>
      </c>
      <c r="N70" t="inlineStr">
        <is>
          <t>Recebido</t>
        </is>
      </c>
      <c r="O70" t="inlineStr">
        <is>
          <t>Pagamento com Código QR Pix DANIELE HOMAN FERST DE MORAES</t>
        </is>
      </c>
    </row>
    <row r="71">
      <c r="A71" s="29" t="n">
        <v>46043</v>
      </c>
      <c r="B71" t="n">
        <v>1</v>
      </c>
      <c r="C71" t="n">
        <v>2026</v>
      </c>
      <c r="D71" t="inlineStr">
        <is>
          <t>Studio</t>
        </is>
      </c>
      <c r="E71" t="inlineStr">
        <is>
          <t>Outros</t>
        </is>
      </c>
      <c r="F71" t="inlineStr">
        <is>
          <t>Pix recebido cliente Studio</t>
        </is>
      </c>
      <c r="G71" t="inlineStr">
        <is>
          <t>Receita</t>
        </is>
      </c>
      <c r="H71" s="3" t="n">
        <v>149.26</v>
      </c>
      <c r="I71" t="inlineStr">
        <is>
          <t>Pix</t>
        </is>
      </c>
      <c r="J71" t="inlineStr">
        <is>
          <t>Não</t>
        </is>
      </c>
      <c r="K71" t="inlineStr">
        <is>
          <t>Eventual</t>
        </is>
      </c>
      <c r="L71" t="inlineStr"/>
      <c r="M71" t="inlineStr">
        <is>
          <t>Mercado Pago account_statement-0c8b26f3-edca-45af-98d4-d8a53ef417b3.xlsx</t>
        </is>
      </c>
      <c r="N71" t="inlineStr">
        <is>
          <t>Recebido</t>
        </is>
      </c>
      <c r="O71" t="inlineStr">
        <is>
          <t>Pagamento com Código QR Pix ROSELI DO ROCIO MOCELIN DRA</t>
        </is>
      </c>
    </row>
    <row r="72">
      <c r="A72" s="29" t="n">
        <v>46043</v>
      </c>
      <c r="B72" t="n">
        <v>1</v>
      </c>
      <c r="C72" t="n">
        <v>2026</v>
      </c>
      <c r="D72" t="inlineStr">
        <is>
          <t>Studio</t>
        </is>
      </c>
      <c r="E72" t="inlineStr">
        <is>
          <t>Contas Variáveis</t>
        </is>
      </c>
      <c r="F72" t="inlineStr">
        <is>
          <t>Facebook / Meta Ads</t>
        </is>
      </c>
      <c r="G72" t="inlineStr">
        <is>
          <t>Despesa</t>
        </is>
      </c>
      <c r="H72" s="3" t="n">
        <v>-70</v>
      </c>
      <c r="I72" t="inlineStr">
        <is>
          <t>Pix</t>
        </is>
      </c>
      <c r="J72" t="inlineStr">
        <is>
          <t>Não</t>
        </is>
      </c>
      <c r="K72" t="inlineStr">
        <is>
          <t>Eventual</t>
        </is>
      </c>
      <c r="L72" t="inlineStr"/>
      <c r="M72" t="inlineStr">
        <is>
          <t>Mercado Pago account_statement-0c8b26f3-edca-45af-98d4-d8a53ef417b3.xlsx</t>
        </is>
      </c>
      <c r="N72" t="inlineStr">
        <is>
          <t>Sem comprovante</t>
        </is>
      </c>
      <c r="O72" t="inlineStr">
        <is>
          <t>Pagamento com QR Pix FACEBOOK SERVICOS ONLINE DO BRASIL LTDA</t>
        </is>
      </c>
    </row>
    <row r="73">
      <c r="A73" s="29" t="n">
        <v>46044</v>
      </c>
      <c r="B73" t="n">
        <v>1</v>
      </c>
      <c r="C73" t="n">
        <v>2026</v>
      </c>
      <c r="D73" t="inlineStr">
        <is>
          <t>Pessoal</t>
        </is>
      </c>
      <c r="E73" t="inlineStr">
        <is>
          <t>Contas Variáveis</t>
        </is>
      </c>
      <c r="F73" t="inlineStr">
        <is>
          <t>Lazer / Ingressos</t>
        </is>
      </c>
      <c r="G73" t="inlineStr">
        <is>
          <t>Despesa</t>
        </is>
      </c>
      <c r="H73" s="3" t="n">
        <v>-126.5</v>
      </c>
      <c r="I73" t="inlineStr">
        <is>
          <t>Pix</t>
        </is>
      </c>
      <c r="J73" t="inlineStr">
        <is>
          <t>Não</t>
        </is>
      </c>
      <c r="K73" t="inlineStr">
        <is>
          <t>Eventual</t>
        </is>
      </c>
      <c r="L73" t="inlineStr"/>
      <c r="M73" t="inlineStr">
        <is>
          <t>Mercado Pago account_statement-0c8b26f3-edca-45af-98d4-d8a53ef417b3.xlsx</t>
        </is>
      </c>
      <c r="N73" t="inlineStr">
        <is>
          <t>Sem comprovante</t>
        </is>
      </c>
      <c r="O73" t="inlineStr">
        <is>
          <t>Pagamento com QR Pix Clube do Ingresso Ltda</t>
        </is>
      </c>
    </row>
    <row r="74">
      <c r="A74" s="29" t="n">
        <v>46044</v>
      </c>
      <c r="B74" t="n">
        <v>1</v>
      </c>
      <c r="C74" t="n">
        <v>2026</v>
      </c>
      <c r="D74" t="inlineStr">
        <is>
          <t>Geral</t>
        </is>
      </c>
      <c r="E74" t="inlineStr">
        <is>
          <t>Transferência - Denise</t>
        </is>
      </c>
      <c r="F74" t="inlineStr">
        <is>
          <t>Pix Bruno→Denise</t>
        </is>
      </c>
      <c r="G74" t="inlineStr">
        <is>
          <t>Despesa</t>
        </is>
      </c>
      <c r="H74" s="3" t="n">
        <v>-200</v>
      </c>
      <c r="I74" t="inlineStr">
        <is>
          <t>Pix</t>
        </is>
      </c>
      <c r="J74" t="inlineStr">
        <is>
          <t>Não</t>
        </is>
      </c>
      <c r="K74" t="inlineStr">
        <is>
          <t>Eventual</t>
        </is>
      </c>
      <c r="L74" t="inlineStr"/>
      <c r="M74" t="inlineStr">
        <is>
          <t>Mercado Pago account_statement-0c8b26f3-edca-45af-98d4-d8a53ef417b3.xlsx</t>
        </is>
      </c>
      <c r="N74" t="inlineStr">
        <is>
          <t>Sem comprovante</t>
        </is>
      </c>
      <c r="O74" t="inlineStr">
        <is>
          <t>Transferência Pix enviada Denise De Paula</t>
        </is>
      </c>
    </row>
    <row r="75">
      <c r="A75" s="29" t="n">
        <v>46045</v>
      </c>
      <c r="B75" t="n">
        <v>1</v>
      </c>
      <c r="C75" t="n">
        <v>2026</v>
      </c>
      <c r="D75" t="inlineStr">
        <is>
          <t>Pessoal</t>
        </is>
      </c>
      <c r="E75" t="inlineStr">
        <is>
          <t>Contas Variáveis</t>
        </is>
      </c>
      <c r="F75" t="inlineStr">
        <is>
          <t>Compra Mercado Livre</t>
        </is>
      </c>
      <c r="G75" t="inlineStr">
        <is>
          <t>Despesa</t>
        </is>
      </c>
      <c r="H75" s="3" t="n">
        <v>-32.41</v>
      </c>
      <c r="I75" t="inlineStr">
        <is>
          <t>Outro</t>
        </is>
      </c>
      <c r="J75" t="inlineStr">
        <is>
          <t>Não</t>
        </is>
      </c>
      <c r="K75" t="inlineStr">
        <is>
          <t>Eventual</t>
        </is>
      </c>
      <c r="L75" t="inlineStr"/>
      <c r="M75" t="inlineStr">
        <is>
          <t>Mercado Pago account_statement-0c8b26f3-edca-45af-98d4-d8a53ef417b3.xlsx</t>
        </is>
      </c>
      <c r="N75" t="inlineStr">
        <is>
          <t>Sem comprovante</t>
        </is>
      </c>
      <c r="O75" t="inlineStr">
        <is>
          <t>Compra de Apoio De Braço De Computador Girado Para Descanso De Pulso Cor Preto Mer...</t>
        </is>
      </c>
    </row>
    <row r="76">
      <c r="A76" s="29" t="n">
        <v>46045</v>
      </c>
      <c r="B76" t="n">
        <v>1</v>
      </c>
      <c r="C76" t="n">
        <v>2026</v>
      </c>
      <c r="D76" t="inlineStr">
        <is>
          <t>Studio</t>
        </is>
      </c>
      <c r="E76" t="inlineStr">
        <is>
          <t>Outros</t>
        </is>
      </c>
      <c r="F76" t="inlineStr">
        <is>
          <t>Pix recebido cliente Studio</t>
        </is>
      </c>
      <c r="G76" t="inlineStr">
        <is>
          <t>Receita</t>
        </is>
      </c>
      <c r="H76" s="3" t="n">
        <v>990.12</v>
      </c>
      <c r="I76" t="inlineStr">
        <is>
          <t>Pix</t>
        </is>
      </c>
      <c r="J76" t="inlineStr">
        <is>
          <t>Não</t>
        </is>
      </c>
      <c r="K76" t="inlineStr">
        <is>
          <t>Eventual</t>
        </is>
      </c>
      <c r="L76" t="inlineStr"/>
      <c r="M76" t="inlineStr">
        <is>
          <t>Mercado Pago account_statement-0c8b26f3-edca-45af-98d4-d8a53ef417b3.xlsx</t>
        </is>
      </c>
      <c r="N76" t="inlineStr">
        <is>
          <t>Recebido</t>
        </is>
      </c>
      <c r="O76" t="inlineStr">
        <is>
          <t>Pagamento com Código QR Pix DULCIMAR DE JESUS</t>
        </is>
      </c>
    </row>
    <row r="77">
      <c r="A77" s="29" t="n">
        <v>46045</v>
      </c>
      <c r="B77" t="n">
        <v>1</v>
      </c>
      <c r="C77" t="n">
        <v>2026</v>
      </c>
      <c r="D77" t="inlineStr">
        <is>
          <t>Geral</t>
        </is>
      </c>
      <c r="E77" t="inlineStr">
        <is>
          <t>Transferência - Bruno (própria)</t>
        </is>
      </c>
      <c r="F77" t="inlineStr">
        <is>
          <t>Pix Bruno→Bruno (entre contas próprias)</t>
        </is>
      </c>
      <c r="G77" t="inlineStr">
        <is>
          <t>Despesa</t>
        </is>
      </c>
      <c r="H77" s="3" t="n">
        <v>-150</v>
      </c>
      <c r="I77" t="inlineStr">
        <is>
          <t>Pix</t>
        </is>
      </c>
      <c r="J77" t="inlineStr">
        <is>
          <t>Não</t>
        </is>
      </c>
      <c r="K77" t="inlineStr">
        <is>
          <t>Eventual</t>
        </is>
      </c>
      <c r="L77" t="inlineStr"/>
      <c r="M77" t="inlineStr">
        <is>
          <t>Mercado Pago account_statement-0c8b26f3-edca-45af-98d4-d8a53ef417b3.xlsx</t>
        </is>
      </c>
      <c r="N77" t="inlineStr">
        <is>
          <t>Sem comprovante</t>
        </is>
      </c>
      <c r="O77" t="inlineStr">
        <is>
          <t>Transferência Pix enviada Bruno Porto Seus</t>
        </is>
      </c>
    </row>
    <row r="78">
      <c r="A78" s="29" t="n">
        <v>46045</v>
      </c>
      <c r="B78" t="n">
        <v>1</v>
      </c>
      <c r="C78" t="n">
        <v>2026</v>
      </c>
      <c r="D78" t="inlineStr">
        <is>
          <t>Pessoal</t>
        </is>
      </c>
      <c r="E78" t="inlineStr">
        <is>
          <t>Outros</t>
        </is>
      </c>
      <c r="F78" t="inlineStr">
        <is>
          <t>Compra / Pix Pessoal</t>
        </is>
      </c>
      <c r="G78" t="inlineStr">
        <is>
          <t>Despesa</t>
        </is>
      </c>
      <c r="H78" s="3" t="n">
        <v>-300</v>
      </c>
      <c r="I78" t="inlineStr">
        <is>
          <t>Pix</t>
        </is>
      </c>
      <c r="J78" t="inlineStr">
        <is>
          <t>Não</t>
        </is>
      </c>
      <c r="K78" t="inlineStr">
        <is>
          <t>Eventual</t>
        </is>
      </c>
      <c r="L78" t="inlineStr"/>
      <c r="M78" t="inlineStr">
        <is>
          <t>Mercado Pago account_statement-0c8b26f3-edca-45af-98d4-d8a53ef417b3.xlsx</t>
        </is>
      </c>
      <c r="N78" t="inlineStr">
        <is>
          <t>Sem comprovante</t>
        </is>
      </c>
      <c r="O78" t="inlineStr">
        <is>
          <t>Transferência Pix enviada Ferencz Keller - Consultorio Odontologico Ss Ltda.</t>
        </is>
      </c>
    </row>
    <row r="79">
      <c r="A79" s="29" t="n">
        <v>46046</v>
      </c>
      <c r="B79" t="n">
        <v>1</v>
      </c>
      <c r="C79" t="n">
        <v>2026</v>
      </c>
      <c r="D79" t="inlineStr">
        <is>
          <t>Geral</t>
        </is>
      </c>
      <c r="E79" t="inlineStr">
        <is>
          <t>Outros</t>
        </is>
      </c>
      <c r="F79" t="inlineStr">
        <is>
          <t>Câmbio / Ebury</t>
        </is>
      </c>
      <c r="G79" t="inlineStr">
        <is>
          <t>Despesa</t>
        </is>
      </c>
      <c r="H79" s="3" t="n">
        <v>-43.64</v>
      </c>
      <c r="I79" t="inlineStr">
        <is>
          <t>Pix</t>
        </is>
      </c>
      <c r="J79" t="inlineStr">
        <is>
          <t>Não</t>
        </is>
      </c>
      <c r="K79" t="inlineStr">
        <is>
          <t>Eventual</t>
        </is>
      </c>
      <c r="L79" t="inlineStr"/>
      <c r="M79" t="inlineStr">
        <is>
          <t>Mercado Pago account_statement-0c8b26f3-edca-45af-98d4-d8a53ef417b3.xlsx</t>
        </is>
      </c>
      <c r="N79" t="inlineStr">
        <is>
          <t>Sem comprovante</t>
        </is>
      </c>
      <c r="O79" t="inlineStr">
        <is>
          <t>Pagamento com QR Pix EBURY SOLUCOES DE PAGAMEN</t>
        </is>
      </c>
    </row>
    <row r="80">
      <c r="A80" s="29" t="n">
        <v>46046</v>
      </c>
      <c r="B80" t="n">
        <v>1</v>
      </c>
      <c r="C80" t="n">
        <v>2026</v>
      </c>
      <c r="D80" t="inlineStr">
        <is>
          <t>Studio</t>
        </is>
      </c>
      <c r="E80" t="inlineStr">
        <is>
          <t>Pessoal</t>
        </is>
      </c>
      <c r="F80" t="inlineStr">
        <is>
          <t>Marco</t>
        </is>
      </c>
      <c r="G80" t="inlineStr">
        <is>
          <t>Despesa</t>
        </is>
      </c>
      <c r="H80" s="3" t="n">
        <v>-200.73</v>
      </c>
      <c r="I80" t="inlineStr">
        <is>
          <t>Pix</t>
        </is>
      </c>
      <c r="J80" t="inlineStr">
        <is>
          <t>Não</t>
        </is>
      </c>
      <c r="K80" t="inlineStr">
        <is>
          <t>Eventual</t>
        </is>
      </c>
      <c r="L80" t="inlineStr"/>
      <c r="M80" t="inlineStr">
        <is>
          <t>Mercado Pago account_statement-0c8b26f3-edca-45af-98d4-d8a53ef417b3.xlsx</t>
        </is>
      </c>
      <c r="N80" t="inlineStr">
        <is>
          <t>Sem comprovante</t>
        </is>
      </c>
      <c r="O80" t="inlineStr">
        <is>
          <t>Transferência Pix enviada Marco Aurelio de Moura Leite</t>
        </is>
      </c>
    </row>
    <row r="81">
      <c r="A81" s="29" t="n">
        <v>46047</v>
      </c>
      <c r="B81" t="n">
        <v>1</v>
      </c>
      <c r="C81" t="n">
        <v>2026</v>
      </c>
      <c r="D81" t="inlineStr">
        <is>
          <t>Pessoal</t>
        </is>
      </c>
      <c r="E81" t="inlineStr">
        <is>
          <t>Pessoal</t>
        </is>
      </c>
      <c r="F81" t="inlineStr">
        <is>
          <t>Simone (Casa)</t>
        </is>
      </c>
      <c r="G81" t="inlineStr">
        <is>
          <t>Despesa</t>
        </is>
      </c>
      <c r="H81" s="3" t="n">
        <v>-250</v>
      </c>
      <c r="I81" t="inlineStr">
        <is>
          <t>Pix</t>
        </is>
      </c>
      <c r="J81" t="inlineStr">
        <is>
          <t>Não</t>
        </is>
      </c>
      <c r="K81" t="inlineStr">
        <is>
          <t>Eventual</t>
        </is>
      </c>
      <c r="L81" t="inlineStr"/>
      <c r="M81" t="inlineStr">
        <is>
          <t>Mercado Pago account_statement-0c8b26f3-edca-45af-98d4-d8a53ef417b3.xlsx</t>
        </is>
      </c>
      <c r="N81" t="inlineStr">
        <is>
          <t>Sem comprovante</t>
        </is>
      </c>
      <c r="O81" t="inlineStr">
        <is>
          <t>Transferência Pix enviada Simone Muniz Martins de Moura</t>
        </is>
      </c>
    </row>
    <row r="82">
      <c r="A82" s="29" t="n">
        <v>46048</v>
      </c>
      <c r="B82" t="n">
        <v>1</v>
      </c>
      <c r="C82" t="n">
        <v>2026</v>
      </c>
      <c r="D82" t="inlineStr">
        <is>
          <t>Studio</t>
        </is>
      </c>
      <c r="E82" t="inlineStr">
        <is>
          <t>Receita - Liberação de Crédito</t>
        </is>
      </c>
      <c r="F82" t="inlineStr">
        <is>
          <t>Liberação de Crédito (Studio)</t>
        </is>
      </c>
      <c r="G82" t="inlineStr">
        <is>
          <t>Receita</t>
        </is>
      </c>
      <c r="H82" s="3" t="n">
        <v>387.84</v>
      </c>
      <c r="I82" t="inlineStr">
        <is>
          <t>Outro</t>
        </is>
      </c>
      <c r="J82" t="inlineStr">
        <is>
          <t>Não</t>
        </is>
      </c>
      <c r="K82" t="inlineStr">
        <is>
          <t>Eventual</t>
        </is>
      </c>
      <c r="L82" t="inlineStr"/>
      <c r="M82" t="inlineStr">
        <is>
          <t>Mercado Pago account_statement-0c8b26f3-edca-45af-98d4-d8a53ef417b3.xlsx</t>
        </is>
      </c>
      <c r="N82" t="inlineStr">
        <is>
          <t>Recebido</t>
        </is>
      </c>
      <c r="O82" t="inlineStr">
        <is>
          <t>Liberação de dinheiro</t>
        </is>
      </c>
    </row>
    <row r="83">
      <c r="A83" s="29" t="n">
        <v>46049</v>
      </c>
      <c r="B83" t="n">
        <v>1</v>
      </c>
      <c r="C83" t="n">
        <v>2026</v>
      </c>
      <c r="D83" t="inlineStr">
        <is>
          <t>Studio</t>
        </is>
      </c>
      <c r="E83" t="inlineStr">
        <is>
          <t>Receita - Liberação de Crédito</t>
        </is>
      </c>
      <c r="F83" t="inlineStr">
        <is>
          <t>Liberação de Crédito (Studio)</t>
        </is>
      </c>
      <c r="G83" t="inlineStr">
        <is>
          <t>Receita</t>
        </is>
      </c>
      <c r="H83" s="3" t="n">
        <v>445</v>
      </c>
      <c r="I83" t="inlineStr">
        <is>
          <t>Outro</t>
        </is>
      </c>
      <c r="J83" t="inlineStr">
        <is>
          <t>Não</t>
        </is>
      </c>
      <c r="K83" t="inlineStr">
        <is>
          <t>Eventual</t>
        </is>
      </c>
      <c r="L83" t="inlineStr"/>
      <c r="M83" t="inlineStr">
        <is>
          <t>Mercado Pago account_statement-0c8b26f3-edca-45af-98d4-d8a53ef417b3.xlsx</t>
        </is>
      </c>
      <c r="N83" t="inlineStr">
        <is>
          <t>Recebido</t>
        </is>
      </c>
      <c r="O83" t="inlineStr">
        <is>
          <t>Liberação de dinheiro</t>
        </is>
      </c>
    </row>
    <row r="84">
      <c r="A84" s="29" t="n">
        <v>46050</v>
      </c>
      <c r="B84" t="n">
        <v>1</v>
      </c>
      <c r="C84" t="n">
        <v>2026</v>
      </c>
      <c r="D84" t="inlineStr">
        <is>
          <t>Studio</t>
        </is>
      </c>
      <c r="E84" t="inlineStr">
        <is>
          <t>Receita - Liberação de Crédito</t>
        </is>
      </c>
      <c r="F84" t="inlineStr">
        <is>
          <t>Liberação de Crédito (Studio)</t>
        </is>
      </c>
      <c r="G84" t="inlineStr">
        <is>
          <t>Receita</t>
        </is>
      </c>
      <c r="H84" s="3" t="n">
        <v>652.37</v>
      </c>
      <c r="I84" t="inlineStr">
        <is>
          <t>Outro</t>
        </is>
      </c>
      <c r="J84" t="inlineStr">
        <is>
          <t>Não</t>
        </is>
      </c>
      <c r="K84" t="inlineStr">
        <is>
          <t>Eventual</t>
        </is>
      </c>
      <c r="L84" t="inlineStr"/>
      <c r="M84" t="inlineStr">
        <is>
          <t>Mercado Pago account_statement-0c8b26f3-edca-45af-98d4-d8a53ef417b3.xlsx</t>
        </is>
      </c>
      <c r="N84" t="inlineStr">
        <is>
          <t>Recebido</t>
        </is>
      </c>
      <c r="O84" t="inlineStr">
        <is>
          <t>Liberação de dinheiro</t>
        </is>
      </c>
    </row>
    <row r="85">
      <c r="A85" s="29" t="n">
        <v>46050</v>
      </c>
      <c r="B85" t="n">
        <v>1</v>
      </c>
      <c r="C85" t="n">
        <v>2026</v>
      </c>
      <c r="D85" t="inlineStr">
        <is>
          <t>Studio</t>
        </is>
      </c>
      <c r="E85" t="inlineStr">
        <is>
          <t>Receita - Liberação de Crédito</t>
        </is>
      </c>
      <c r="F85" t="inlineStr">
        <is>
          <t>Liberação de Crédito (Studio)</t>
        </is>
      </c>
      <c r="G85" t="inlineStr">
        <is>
          <t>Receita</t>
        </is>
      </c>
      <c r="H85" s="3" t="n">
        <v>1026.63</v>
      </c>
      <c r="I85" t="inlineStr">
        <is>
          <t>Outro</t>
        </is>
      </c>
      <c r="J85" t="inlineStr">
        <is>
          <t>Não</t>
        </is>
      </c>
      <c r="K85" t="inlineStr">
        <is>
          <t>Eventual</t>
        </is>
      </c>
      <c r="L85" t="inlineStr"/>
      <c r="M85" t="inlineStr">
        <is>
          <t>Mercado Pago account_statement-0c8b26f3-edca-45af-98d4-d8a53ef417b3.xlsx</t>
        </is>
      </c>
      <c r="N85" t="inlineStr">
        <is>
          <t>Recebido</t>
        </is>
      </c>
      <c r="O85" t="inlineStr">
        <is>
          <t>Liberação de dinheiro</t>
        </is>
      </c>
    </row>
    <row r="86">
      <c r="A86" s="29" t="n">
        <v>46050</v>
      </c>
      <c r="B86" t="n">
        <v>1</v>
      </c>
      <c r="C86" t="n">
        <v>2026</v>
      </c>
      <c r="D86" t="inlineStr">
        <is>
          <t>Studio</t>
        </is>
      </c>
      <c r="E86" t="inlineStr">
        <is>
          <t>Receita - Liberação de Crédito</t>
        </is>
      </c>
      <c r="F86" t="inlineStr">
        <is>
          <t>Liberação de Crédito (Studio)</t>
        </is>
      </c>
      <c r="G86" t="inlineStr">
        <is>
          <t>Receita</t>
        </is>
      </c>
      <c r="H86" s="3" t="n">
        <v>741.67</v>
      </c>
      <c r="I86" t="inlineStr">
        <is>
          <t>Outro</t>
        </is>
      </c>
      <c r="J86" t="inlineStr">
        <is>
          <t>Não</t>
        </is>
      </c>
      <c r="K86" t="inlineStr">
        <is>
          <t>Eventual</t>
        </is>
      </c>
      <c r="L86" t="inlineStr"/>
      <c r="M86" t="inlineStr">
        <is>
          <t>Mercado Pago account_statement-0c8b26f3-edca-45af-98d4-d8a53ef417b3.xlsx</t>
        </is>
      </c>
      <c r="N86" t="inlineStr">
        <is>
          <t>Recebido</t>
        </is>
      </c>
      <c r="O86" t="inlineStr">
        <is>
          <t>Liberação de dinheiro</t>
        </is>
      </c>
    </row>
    <row r="87">
      <c r="A87" s="29" t="n">
        <v>46050</v>
      </c>
      <c r="B87" t="n">
        <v>1</v>
      </c>
      <c r="C87" t="n">
        <v>2026</v>
      </c>
      <c r="D87" t="inlineStr">
        <is>
          <t>Studio</t>
        </is>
      </c>
      <c r="E87" t="inlineStr">
        <is>
          <t>Outros</t>
        </is>
      </c>
      <c r="F87" t="inlineStr">
        <is>
          <t>Pix recebido cliente Studio</t>
        </is>
      </c>
      <c r="G87" t="inlineStr">
        <is>
          <t>Receita</t>
        </is>
      </c>
      <c r="H87" s="3" t="n">
        <v>49.75</v>
      </c>
      <c r="I87" t="inlineStr">
        <is>
          <t>Pix</t>
        </is>
      </c>
      <c r="J87" t="inlineStr">
        <is>
          <t>Não</t>
        </is>
      </c>
      <c r="K87" t="inlineStr">
        <is>
          <t>Eventual</t>
        </is>
      </c>
      <c r="L87" t="inlineStr"/>
      <c r="M87" t="inlineStr">
        <is>
          <t>Mercado Pago account_statement-0c8b26f3-edca-45af-98d4-d8a53ef417b3.xlsx</t>
        </is>
      </c>
      <c r="N87" t="inlineStr">
        <is>
          <t>Recebido</t>
        </is>
      </c>
      <c r="O87" t="inlineStr">
        <is>
          <t>Pagamento com Código QR Pix IVO JOSE VENDRAMIN</t>
        </is>
      </c>
    </row>
    <row r="88">
      <c r="A88" s="29" t="n">
        <v>46050</v>
      </c>
      <c r="B88" t="n">
        <v>1</v>
      </c>
      <c r="C88" t="n">
        <v>2026</v>
      </c>
      <c r="D88" t="inlineStr">
        <is>
          <t>Studio</t>
        </is>
      </c>
      <c r="E88" t="inlineStr">
        <is>
          <t>Outros</t>
        </is>
      </c>
      <c r="F88" t="inlineStr">
        <is>
          <t>Pix recebido cliente Studio</t>
        </is>
      </c>
      <c r="G88" t="inlineStr">
        <is>
          <t>Receita</t>
        </is>
      </c>
      <c r="H88" s="3" t="n">
        <v>298.53</v>
      </c>
      <c r="I88" t="inlineStr">
        <is>
          <t>Pix</t>
        </is>
      </c>
      <c r="J88" t="inlineStr">
        <is>
          <t>Não</t>
        </is>
      </c>
      <c r="K88" t="inlineStr">
        <is>
          <t>Eventual</t>
        </is>
      </c>
      <c r="L88" t="inlineStr"/>
      <c r="M88" t="inlineStr">
        <is>
          <t>Mercado Pago account_statement-0c8b26f3-edca-45af-98d4-d8a53ef417b3.xlsx</t>
        </is>
      </c>
      <c r="N88" t="inlineStr">
        <is>
          <t>Recebido</t>
        </is>
      </c>
      <c r="O88" t="inlineStr">
        <is>
          <t>Pagamento com Código QR Pix JULIANA CAROLINA BORTOLAZ</t>
        </is>
      </c>
    </row>
    <row r="89">
      <c r="A89" s="29" t="n">
        <v>46050</v>
      </c>
      <c r="B89" t="n">
        <v>1</v>
      </c>
      <c r="C89" t="n">
        <v>2026</v>
      </c>
      <c r="D89" t="inlineStr">
        <is>
          <t>Studio</t>
        </is>
      </c>
      <c r="E89" t="inlineStr">
        <is>
          <t>Contas Variáveis</t>
        </is>
      </c>
      <c r="F89" t="inlineStr">
        <is>
          <t>Facebook / Meta Ads</t>
        </is>
      </c>
      <c r="G89" t="inlineStr">
        <is>
          <t>Despesa</t>
        </is>
      </c>
      <c r="H89" s="3" t="n">
        <v>-130</v>
      </c>
      <c r="I89" t="inlineStr">
        <is>
          <t>Pix</t>
        </is>
      </c>
      <c r="J89" t="inlineStr">
        <is>
          <t>Não</t>
        </is>
      </c>
      <c r="K89" t="inlineStr">
        <is>
          <t>Eventual</t>
        </is>
      </c>
      <c r="L89" t="inlineStr"/>
      <c r="M89" t="inlineStr">
        <is>
          <t>Mercado Pago account_statement-0c8b26f3-edca-45af-98d4-d8a53ef417b3.xlsx</t>
        </is>
      </c>
      <c r="N89" t="inlineStr">
        <is>
          <t>Sem comprovante</t>
        </is>
      </c>
      <c r="O89" t="inlineStr">
        <is>
          <t>Pagamento com QR Pix FACEBOOK SERVICOS ONLINE DO BRASIL LTDA.</t>
        </is>
      </c>
    </row>
    <row r="90">
      <c r="A90" s="29" t="n">
        <v>46050</v>
      </c>
      <c r="B90" t="n">
        <v>1</v>
      </c>
      <c r="C90" t="n">
        <v>2026</v>
      </c>
      <c r="D90" t="inlineStr">
        <is>
          <t>Pessoal</t>
        </is>
      </c>
      <c r="E90" t="inlineStr">
        <is>
          <t>Contas Variáveis</t>
        </is>
      </c>
      <c r="F90" t="inlineStr">
        <is>
          <t>iFood</t>
        </is>
      </c>
      <c r="G90" t="inlineStr">
        <is>
          <t>Despesa</t>
        </is>
      </c>
      <c r="H90" s="3" t="n">
        <v>-59.99</v>
      </c>
      <c r="I90" t="inlineStr">
        <is>
          <t>Pix</t>
        </is>
      </c>
      <c r="J90" t="inlineStr">
        <is>
          <t>Não</t>
        </is>
      </c>
      <c r="K90" t="inlineStr">
        <is>
          <t>Eventual</t>
        </is>
      </c>
      <c r="L90" t="inlineStr"/>
      <c r="M90" t="inlineStr">
        <is>
          <t>Mercado Pago account_statement-0c8b26f3-edca-45af-98d4-d8a53ef417b3.xlsx</t>
        </is>
      </c>
      <c r="N90" t="inlineStr">
        <is>
          <t>Sem comprovante</t>
        </is>
      </c>
      <c r="O90" t="inlineStr">
        <is>
          <t>Pagamento com QR Pix IFOOD.COM AGENCIA DE RESTAURANTES ONLINE S.A.</t>
        </is>
      </c>
    </row>
    <row r="91">
      <c r="A91" s="29" t="n">
        <v>46050</v>
      </c>
      <c r="B91" t="n">
        <v>1</v>
      </c>
      <c r="C91" t="n">
        <v>2026</v>
      </c>
      <c r="D91" t="inlineStr">
        <is>
          <t>Geral</t>
        </is>
      </c>
      <c r="E91" t="inlineStr">
        <is>
          <t>Transferência - Denise</t>
        </is>
      </c>
      <c r="F91" t="inlineStr">
        <is>
          <t>Pix Bruno→Denise</t>
        </is>
      </c>
      <c r="G91" t="inlineStr">
        <is>
          <t>Despesa</t>
        </is>
      </c>
      <c r="H91" s="3" t="n">
        <v>-200</v>
      </c>
      <c r="I91" t="inlineStr">
        <is>
          <t>Pix</t>
        </is>
      </c>
      <c r="J91" t="inlineStr">
        <is>
          <t>Não</t>
        </is>
      </c>
      <c r="K91" t="inlineStr">
        <is>
          <t>Eventual</t>
        </is>
      </c>
      <c r="L91" t="inlineStr"/>
      <c r="M91" t="inlineStr">
        <is>
          <t>Mercado Pago account_statement-0c8b26f3-edca-45af-98d4-d8a53ef417b3.xlsx</t>
        </is>
      </c>
      <c r="N91" t="inlineStr">
        <is>
          <t>Sem comprovante</t>
        </is>
      </c>
      <c r="O91" t="inlineStr">
        <is>
          <t>Transferência Pix enviada Denise De Paula</t>
        </is>
      </c>
    </row>
    <row r="92">
      <c r="A92" s="29" t="n">
        <v>46051</v>
      </c>
      <c r="B92" t="n">
        <v>1</v>
      </c>
      <c r="C92" t="n">
        <v>2026</v>
      </c>
      <c r="D92" t="inlineStr">
        <is>
          <t>Pessoal</t>
        </is>
      </c>
      <c r="E92" t="inlineStr">
        <is>
          <t>Contas Variáveis</t>
        </is>
      </c>
      <c r="F92" t="inlineStr">
        <is>
          <t>Compra Mercado Livre</t>
        </is>
      </c>
      <c r="G92" t="inlineStr">
        <is>
          <t>Despesa</t>
        </is>
      </c>
      <c r="H92" s="3" t="n">
        <v>-32.41</v>
      </c>
      <c r="I92" t="inlineStr">
        <is>
          <t>Outro</t>
        </is>
      </c>
      <c r="J92" t="inlineStr">
        <is>
          <t>Não</t>
        </is>
      </c>
      <c r="K92" t="inlineStr">
        <is>
          <t>Eventual</t>
        </is>
      </c>
      <c r="L92" t="inlineStr"/>
      <c r="M92" t="inlineStr">
        <is>
          <t>Mercado Pago account_statement-0c8b26f3-edca-45af-98d4-d8a53ef417b3.xlsx</t>
        </is>
      </c>
      <c r="N92" t="inlineStr">
        <is>
          <t>Sem comprovante</t>
        </is>
      </c>
      <c r="O92" t="inlineStr">
        <is>
          <t>Compra de Apoio De Braço De Computador Girado Para Descanso De Pulso Cor Preto Mer...</t>
        </is>
      </c>
    </row>
    <row r="93">
      <c r="A93" s="29" t="n">
        <v>46051</v>
      </c>
      <c r="B93" t="n">
        <v>1</v>
      </c>
      <c r="C93" t="n">
        <v>2026</v>
      </c>
      <c r="D93" t="inlineStr">
        <is>
          <t>Studio</t>
        </is>
      </c>
      <c r="E93" t="inlineStr">
        <is>
          <t>Receita - Liberação de Crédito</t>
        </is>
      </c>
      <c r="F93" t="inlineStr">
        <is>
          <t>Liberação de Crédito (Studio)</t>
        </is>
      </c>
      <c r="G93" t="inlineStr">
        <is>
          <t>Receita</t>
        </is>
      </c>
      <c r="H93" s="3" t="n">
        <v>592.35</v>
      </c>
      <c r="I93" t="inlineStr">
        <is>
          <t>Outro</t>
        </is>
      </c>
      <c r="J93" t="inlineStr">
        <is>
          <t>Não</t>
        </is>
      </c>
      <c r="K93" t="inlineStr">
        <is>
          <t>Eventual</t>
        </is>
      </c>
      <c r="L93" t="inlineStr"/>
      <c r="M93" t="inlineStr">
        <is>
          <t>Mercado Pago account_statement-0c8b26f3-edca-45af-98d4-d8a53ef417b3.xlsx</t>
        </is>
      </c>
      <c r="N93" t="inlineStr">
        <is>
          <t>Recebido</t>
        </is>
      </c>
      <c r="O93" t="inlineStr">
        <is>
          <t>Liberação de dinheiro</t>
        </is>
      </c>
    </row>
    <row r="94">
      <c r="A94" s="29" t="n">
        <v>46051</v>
      </c>
      <c r="B94" t="n">
        <v>1</v>
      </c>
      <c r="C94" t="n">
        <v>2026</v>
      </c>
      <c r="D94" t="inlineStr">
        <is>
          <t>Studio</t>
        </is>
      </c>
      <c r="E94" t="inlineStr">
        <is>
          <t>Receita - Liberação de Crédito</t>
        </is>
      </c>
      <c r="F94" t="inlineStr">
        <is>
          <t>Liberação de Crédito (Studio)</t>
        </is>
      </c>
      <c r="G94" t="inlineStr">
        <is>
          <t>Receita</t>
        </is>
      </c>
      <c r="H94" s="3" t="n">
        <v>262.06</v>
      </c>
      <c r="I94" t="inlineStr">
        <is>
          <t>Outro</t>
        </is>
      </c>
      <c r="J94" t="inlineStr">
        <is>
          <t>Não</t>
        </is>
      </c>
      <c r="K94" t="inlineStr">
        <is>
          <t>Eventual</t>
        </is>
      </c>
      <c r="L94" t="inlineStr"/>
      <c r="M94" t="inlineStr">
        <is>
          <t>Mercado Pago account_statement-0c8b26f3-edca-45af-98d4-d8a53ef417b3.xlsx</t>
        </is>
      </c>
      <c r="N94" t="inlineStr">
        <is>
          <t>Recebido</t>
        </is>
      </c>
      <c r="O94" t="inlineStr">
        <is>
          <t>Liberação de dinheiro</t>
        </is>
      </c>
    </row>
    <row r="95">
      <c r="A95" s="29" t="n">
        <v>46051</v>
      </c>
      <c r="B95" t="n">
        <v>1</v>
      </c>
      <c r="C95" t="n">
        <v>2026</v>
      </c>
      <c r="D95" t="inlineStr">
        <is>
          <t>Studio</t>
        </is>
      </c>
      <c r="E95" t="inlineStr">
        <is>
          <t>Receita - Liberação de Crédito</t>
        </is>
      </c>
      <c r="F95" t="inlineStr">
        <is>
          <t>Liberação de Crédito (Studio)</t>
        </is>
      </c>
      <c r="G95" t="inlineStr">
        <is>
          <t>Receita</t>
        </is>
      </c>
      <c r="H95" s="3" t="n">
        <v>657.62</v>
      </c>
      <c r="I95" t="inlineStr">
        <is>
          <t>Outro</t>
        </is>
      </c>
      <c r="J95" t="inlineStr">
        <is>
          <t>Não</t>
        </is>
      </c>
      <c r="K95" t="inlineStr">
        <is>
          <t>Eventual</t>
        </is>
      </c>
      <c r="L95" t="inlineStr"/>
      <c r="M95" t="inlineStr">
        <is>
          <t>Mercado Pago account_statement-0c8b26f3-edca-45af-98d4-d8a53ef417b3.xlsx</t>
        </is>
      </c>
      <c r="N95" t="inlineStr">
        <is>
          <t>Recebido</t>
        </is>
      </c>
      <c r="O95" t="inlineStr">
        <is>
          <t>Liberação de dinheiro</t>
        </is>
      </c>
    </row>
    <row r="96">
      <c r="A96" s="29" t="n">
        <v>46051</v>
      </c>
      <c r="B96" t="n">
        <v>1</v>
      </c>
      <c r="C96" t="n">
        <v>2026</v>
      </c>
      <c r="D96" t="inlineStr">
        <is>
          <t>Studio</t>
        </is>
      </c>
      <c r="E96" t="inlineStr">
        <is>
          <t>Impostos</t>
        </is>
      </c>
      <c r="F96" t="inlineStr">
        <is>
          <t>Tributo / Guia</t>
        </is>
      </c>
      <c r="G96" t="inlineStr">
        <is>
          <t>Receita</t>
        </is>
      </c>
      <c r="H96" s="3" t="n">
        <v>149.26</v>
      </c>
      <c r="I96" t="inlineStr">
        <is>
          <t>Pix</t>
        </is>
      </c>
      <c r="J96" t="inlineStr">
        <is>
          <t>Não</t>
        </is>
      </c>
      <c r="K96" t="inlineStr">
        <is>
          <t>Eventual</t>
        </is>
      </c>
      <c r="L96" t="inlineStr"/>
      <c r="M96" t="inlineStr">
        <is>
          <t>Mercado Pago account_statement-0c8b26f3-edca-45af-98d4-d8a53ef417b3.xlsx</t>
        </is>
      </c>
      <c r="N96" t="inlineStr">
        <is>
          <t>Recebido</t>
        </is>
      </c>
      <c r="O96" t="inlineStr">
        <is>
          <t>Pagamento com Código QR Pix MARIA DAS G L R M CARD</t>
        </is>
      </c>
    </row>
    <row r="97">
      <c r="A97" s="29" t="n">
        <v>46051</v>
      </c>
      <c r="B97" t="n">
        <v>1</v>
      </c>
      <c r="C97" t="n">
        <v>2026</v>
      </c>
      <c r="D97" t="inlineStr">
        <is>
          <t>Studio</t>
        </is>
      </c>
      <c r="E97" t="inlineStr">
        <is>
          <t>Contas Fixas</t>
        </is>
      </c>
      <c r="F97" t="inlineStr">
        <is>
          <t>Internet / Telecom</t>
        </is>
      </c>
      <c r="G97" t="inlineStr">
        <is>
          <t>Despesa</t>
        </is>
      </c>
      <c r="H97" s="3" t="n">
        <v>-425.9</v>
      </c>
      <c r="I97" t="inlineStr">
        <is>
          <t>Boleto</t>
        </is>
      </c>
      <c r="J97" t="inlineStr">
        <is>
          <t>Sim</t>
        </is>
      </c>
      <c r="K97" t="inlineStr">
        <is>
          <t>Mensal</t>
        </is>
      </c>
      <c r="L97" t="inlineStr"/>
      <c r="M97" t="inlineStr">
        <is>
          <t>Mercado Pago account_statement-0c8b26f3-edca-45af-98d4-d8a53ef417b3.xlsx</t>
        </is>
      </c>
      <c r="N97" t="inlineStr">
        <is>
          <t>Sem comprovante</t>
        </is>
      </c>
      <c r="O97" t="inlineStr">
        <is>
          <t>Pagamento de conta Sorocred - Crédito, Financiamento e Investimento S/A           ...</t>
        </is>
      </c>
    </row>
    <row r="98">
      <c r="A98" s="29" t="n">
        <v>46051</v>
      </c>
      <c r="B98" t="n">
        <v>1</v>
      </c>
      <c r="C98" t="n">
        <v>2026</v>
      </c>
      <c r="D98" t="inlineStr">
        <is>
          <t>Studio</t>
        </is>
      </c>
      <c r="E98" t="inlineStr">
        <is>
          <t>Receita - Reembolso</t>
        </is>
      </c>
      <c r="F98" t="inlineStr">
        <is>
          <t>Reembolso recebido</t>
        </is>
      </c>
      <c r="G98" t="inlineStr">
        <is>
          <t>Receita</t>
        </is>
      </c>
      <c r="H98" s="3" t="n">
        <v>32.41</v>
      </c>
      <c r="I98" t="inlineStr">
        <is>
          <t>Outro</t>
        </is>
      </c>
      <c r="J98" t="inlineStr">
        <is>
          <t>Não</t>
        </is>
      </c>
      <c r="K98" t="inlineStr">
        <is>
          <t>Eventual</t>
        </is>
      </c>
      <c r="L98" t="inlineStr"/>
      <c r="M98" t="inlineStr">
        <is>
          <t>Mercado Pago account_statement-0c8b26f3-edca-45af-98d4-d8a53ef417b3.xlsx</t>
        </is>
      </c>
      <c r="N98" t="inlineStr">
        <is>
          <t>Recebido</t>
        </is>
      </c>
      <c r="O98" t="inlineStr">
        <is>
          <t>Reembolso Compra garantida</t>
        </is>
      </c>
    </row>
    <row r="99">
      <c r="A99" s="29" t="n">
        <v>46051</v>
      </c>
      <c r="B99" t="n">
        <v>1</v>
      </c>
      <c r="C99" t="n">
        <v>2026</v>
      </c>
      <c r="D99" t="inlineStr">
        <is>
          <t>Geral</t>
        </is>
      </c>
      <c r="E99" t="inlineStr">
        <is>
          <t>Transferência - Bruno (própria)</t>
        </is>
      </c>
      <c r="F99" t="inlineStr">
        <is>
          <t>Pix Bruno→Bruno (entre contas próprias)</t>
        </is>
      </c>
      <c r="G99" t="inlineStr">
        <is>
          <t>Despesa</t>
        </is>
      </c>
      <c r="H99" s="3" t="n">
        <v>-1600</v>
      </c>
      <c r="I99" t="inlineStr">
        <is>
          <t>Pix</t>
        </is>
      </c>
      <c r="J99" t="inlineStr">
        <is>
          <t>Não</t>
        </is>
      </c>
      <c r="K99" t="inlineStr">
        <is>
          <t>Eventual</t>
        </is>
      </c>
      <c r="L99" t="inlineStr"/>
      <c r="M99" t="inlineStr">
        <is>
          <t>Mercado Pago account_statement-0c8b26f3-edca-45af-98d4-d8a53ef417b3.xlsx</t>
        </is>
      </c>
      <c r="N99" t="inlineStr">
        <is>
          <t>Sem comprovante</t>
        </is>
      </c>
      <c r="O99" t="inlineStr">
        <is>
          <t>Transferência Pix enviada Bruno Porto Seus</t>
        </is>
      </c>
    </row>
    <row r="100">
      <c r="A100" s="29" t="n">
        <v>46052</v>
      </c>
      <c r="B100" t="n">
        <v>1</v>
      </c>
      <c r="C100" t="n">
        <v>2026</v>
      </c>
      <c r="D100" t="inlineStr">
        <is>
          <t>Studio</t>
        </is>
      </c>
      <c r="E100" t="inlineStr">
        <is>
          <t>Receita - Liberação de Crédito</t>
        </is>
      </c>
      <c r="F100" t="inlineStr">
        <is>
          <t>Liberação de Crédito (Studio)</t>
        </is>
      </c>
      <c r="G100" t="inlineStr">
        <is>
          <t>Receita</t>
        </is>
      </c>
      <c r="H100" s="3" t="n">
        <v>1837.39</v>
      </c>
      <c r="I100" t="inlineStr">
        <is>
          <t>Outro</t>
        </is>
      </c>
      <c r="J100" t="inlineStr">
        <is>
          <t>Não</t>
        </is>
      </c>
      <c r="K100" t="inlineStr">
        <is>
          <t>Eventual</t>
        </is>
      </c>
      <c r="L100" t="inlineStr"/>
      <c r="M100" t="inlineStr">
        <is>
          <t>Mercado Pago account_statement-0c8b26f3-edca-45af-98d4-d8a53ef417b3.xlsx</t>
        </is>
      </c>
      <c r="N100" t="inlineStr">
        <is>
          <t>Recebido</t>
        </is>
      </c>
      <c r="O100" t="inlineStr">
        <is>
          <t>Liberação de dinheiro</t>
        </is>
      </c>
    </row>
    <row r="101">
      <c r="A101" s="29" t="n">
        <v>46052</v>
      </c>
      <c r="B101" t="n">
        <v>1</v>
      </c>
      <c r="C101" t="n">
        <v>2026</v>
      </c>
      <c r="D101" t="inlineStr">
        <is>
          <t>Studio</t>
        </is>
      </c>
      <c r="E101" t="inlineStr">
        <is>
          <t>Pessoal</t>
        </is>
      </c>
      <c r="F101" t="inlineStr">
        <is>
          <t>Analice</t>
        </is>
      </c>
      <c r="G101" t="inlineStr">
        <is>
          <t>Despesa</t>
        </is>
      </c>
      <c r="H101" s="3" t="n">
        <v>-2000</v>
      </c>
      <c r="I101" t="inlineStr">
        <is>
          <t>Pix</t>
        </is>
      </c>
      <c r="J101" t="inlineStr">
        <is>
          <t>Não</t>
        </is>
      </c>
      <c r="K101" t="inlineStr">
        <is>
          <t>Eventual</t>
        </is>
      </c>
      <c r="L101" t="inlineStr"/>
      <c r="M101" t="inlineStr">
        <is>
          <t>Mercado Pago account_statement-0c8b26f3-edca-45af-98d4-d8a53ef417b3.xlsx</t>
        </is>
      </c>
      <c r="N101" t="inlineStr">
        <is>
          <t>Sem comprovante</t>
        </is>
      </c>
      <c r="O101" t="inlineStr">
        <is>
          <t>Transferência Pix enviada Analice Souza Pinheiro</t>
        </is>
      </c>
    </row>
    <row r="102">
      <c r="A102" s="29" t="n">
        <v>46052</v>
      </c>
      <c r="B102" t="n">
        <v>1</v>
      </c>
      <c r="C102" t="n">
        <v>2026</v>
      </c>
      <c r="D102" t="inlineStr">
        <is>
          <t>Geral</t>
        </is>
      </c>
      <c r="E102" t="inlineStr">
        <is>
          <t>Transferência - Bruno (própria)</t>
        </is>
      </c>
      <c r="F102" t="inlineStr">
        <is>
          <t>Pix Bruno→Bruno (entre contas próprias)</t>
        </is>
      </c>
      <c r="G102" t="inlineStr">
        <is>
          <t>Despesa</t>
        </is>
      </c>
      <c r="H102" s="3" t="n">
        <v>-300</v>
      </c>
      <c r="I102" t="inlineStr">
        <is>
          <t>Pix</t>
        </is>
      </c>
      <c r="J102" t="inlineStr">
        <is>
          <t>Não</t>
        </is>
      </c>
      <c r="K102" t="inlineStr">
        <is>
          <t>Eventual</t>
        </is>
      </c>
      <c r="L102" t="inlineStr"/>
      <c r="M102" t="inlineStr">
        <is>
          <t>Mercado Pago account_statement-0c8b26f3-edca-45af-98d4-d8a53ef417b3.xlsx</t>
        </is>
      </c>
      <c r="N102" t="inlineStr">
        <is>
          <t>Sem comprovante</t>
        </is>
      </c>
      <c r="O102" t="inlineStr">
        <is>
          <t>Transferência Pix enviada Bruno Porto Seus</t>
        </is>
      </c>
    </row>
    <row r="103">
      <c r="A103" s="29" t="n">
        <v>46052</v>
      </c>
      <c r="B103" t="n">
        <v>1</v>
      </c>
      <c r="C103" t="n">
        <v>2026</v>
      </c>
      <c r="D103" t="inlineStr">
        <is>
          <t>Studio</t>
        </is>
      </c>
      <c r="E103" t="inlineStr">
        <is>
          <t>Pessoal</t>
        </is>
      </c>
      <c r="F103" t="inlineStr">
        <is>
          <t>Marco</t>
        </is>
      </c>
      <c r="G103" t="inlineStr">
        <is>
          <t>Despesa</t>
        </is>
      </c>
      <c r="H103" s="3" t="n">
        <v>-200</v>
      </c>
      <c r="I103" t="inlineStr">
        <is>
          <t>Pix</t>
        </is>
      </c>
      <c r="J103" t="inlineStr">
        <is>
          <t>Não</t>
        </is>
      </c>
      <c r="K103" t="inlineStr">
        <is>
          <t>Eventual</t>
        </is>
      </c>
      <c r="L103" t="inlineStr"/>
      <c r="M103" t="inlineStr">
        <is>
          <t>Mercado Pago account_statement-0c8b26f3-edca-45af-98d4-d8a53ef417b3.xlsx</t>
        </is>
      </c>
      <c r="N103" t="inlineStr">
        <is>
          <t>Sem comprovante</t>
        </is>
      </c>
      <c r="O103" t="inlineStr">
        <is>
          <t>Transferência Pix enviada Marco Aurelio de Moura Leite</t>
        </is>
      </c>
    </row>
    <row r="104">
      <c r="A104" s="29" t="n">
        <v>46052</v>
      </c>
      <c r="B104" t="n">
        <v>1</v>
      </c>
      <c r="C104" t="n">
        <v>2026</v>
      </c>
      <c r="D104" t="inlineStr">
        <is>
          <t>Studio</t>
        </is>
      </c>
      <c r="E104" t="inlineStr">
        <is>
          <t>Pessoal</t>
        </is>
      </c>
      <c r="F104" t="inlineStr">
        <is>
          <t>Neemias</t>
        </is>
      </c>
      <c r="G104" t="inlineStr">
        <is>
          <t>Despesa</t>
        </is>
      </c>
      <c r="H104" s="3" t="n">
        <v>-330</v>
      </c>
      <c r="I104" t="inlineStr">
        <is>
          <t>Pix</t>
        </is>
      </c>
      <c r="J104" t="inlineStr">
        <is>
          <t>Não</t>
        </is>
      </c>
      <c r="K104" t="inlineStr">
        <is>
          <t>Eventual</t>
        </is>
      </c>
      <c r="L104" t="inlineStr"/>
      <c r="M104" t="inlineStr">
        <is>
          <t>Mercado Pago account_statement-0c8b26f3-edca-45af-98d4-d8a53ef417b3.xlsx</t>
        </is>
      </c>
      <c r="N104" t="inlineStr">
        <is>
          <t>Sem comprovante</t>
        </is>
      </c>
      <c r="O104" t="inlineStr">
        <is>
          <t>Transferência Pix enviada Neemias Marques de Oliveira</t>
        </is>
      </c>
    </row>
    <row r="105">
      <c r="A105" s="29" t="n">
        <v>46053</v>
      </c>
      <c r="B105" t="n">
        <v>1</v>
      </c>
      <c r="C105" t="n">
        <v>2026</v>
      </c>
      <c r="D105" t="inlineStr">
        <is>
          <t>Studio</t>
        </is>
      </c>
      <c r="E105" t="inlineStr">
        <is>
          <t>Receita - Liberação de Crédito</t>
        </is>
      </c>
      <c r="F105" t="inlineStr">
        <is>
          <t>Liberação de Crédito (Studio)</t>
        </is>
      </c>
      <c r="G105" t="inlineStr">
        <is>
          <t>Receita</t>
        </is>
      </c>
      <c r="H105" s="3" t="n">
        <v>148.33</v>
      </c>
      <c r="I105" t="inlineStr">
        <is>
          <t>Outro</t>
        </is>
      </c>
      <c r="J105" t="inlineStr">
        <is>
          <t>Não</t>
        </is>
      </c>
      <c r="K105" t="inlineStr">
        <is>
          <t>Eventual</t>
        </is>
      </c>
      <c r="L105" t="inlineStr"/>
      <c r="M105" t="inlineStr">
        <is>
          <t>Mercado Pago account_statement-0c8b26f3-edca-45af-98d4-d8a53ef417b3.xlsx</t>
        </is>
      </c>
      <c r="N105" t="inlineStr">
        <is>
          <t>Recebido</t>
        </is>
      </c>
      <c r="O105" t="inlineStr">
        <is>
          <t>Liberação de dinheiro</t>
        </is>
      </c>
    </row>
    <row r="106">
      <c r="A106" s="29" t="n">
        <v>46053</v>
      </c>
      <c r="B106" t="n">
        <v>1</v>
      </c>
      <c r="C106" t="n">
        <v>2026</v>
      </c>
      <c r="D106" t="inlineStr">
        <is>
          <t>Geral</t>
        </is>
      </c>
      <c r="E106" t="inlineStr">
        <is>
          <t>Contas Fixas</t>
        </is>
      </c>
      <c r="F106" t="inlineStr">
        <is>
          <t>Assinatura Meli+</t>
        </is>
      </c>
      <c r="G106" t="inlineStr">
        <is>
          <t>Despesa</t>
        </is>
      </c>
      <c r="H106" s="3" t="n">
        <v>-9.9</v>
      </c>
      <c r="I106" t="inlineStr">
        <is>
          <t>Outro</t>
        </is>
      </c>
      <c r="J106" t="inlineStr">
        <is>
          <t>Sim</t>
        </is>
      </c>
      <c r="K106" t="inlineStr">
        <is>
          <t>Mensal</t>
        </is>
      </c>
      <c r="L106" t="inlineStr"/>
      <c r="M106" t="inlineStr">
        <is>
          <t>Mercado Pago account_statement-0c8b26f3-edca-45af-98d4-d8a53ef417b3.xlsx</t>
        </is>
      </c>
      <c r="N106" t="inlineStr">
        <is>
          <t>Sem comprovante</t>
        </is>
      </c>
      <c r="O106" t="inlineStr">
        <is>
          <t>Pagamento de assinatura Meli+</t>
        </is>
      </c>
    </row>
    <row r="107">
      <c r="A107" s="29" t="n">
        <v>46053</v>
      </c>
      <c r="B107" t="n">
        <v>1</v>
      </c>
      <c r="C107" t="n">
        <v>2026</v>
      </c>
      <c r="D107" t="inlineStr">
        <is>
          <t>Studio</t>
        </is>
      </c>
      <c r="E107" t="inlineStr">
        <is>
          <t>Pessoal</t>
        </is>
      </c>
      <c r="F107" t="inlineStr">
        <is>
          <t>Marco</t>
        </is>
      </c>
      <c r="G107" t="inlineStr">
        <is>
          <t>Despesa</t>
        </is>
      </c>
      <c r="H107" s="3" t="n">
        <v>-472.68</v>
      </c>
      <c r="I107" t="inlineStr">
        <is>
          <t>Pix</t>
        </is>
      </c>
      <c r="J107" t="inlineStr">
        <is>
          <t>Não</t>
        </is>
      </c>
      <c r="K107" t="inlineStr">
        <is>
          <t>Eventual</t>
        </is>
      </c>
      <c r="L107" t="inlineStr"/>
      <c r="M107" t="inlineStr">
        <is>
          <t>Mercado Pago account_statement-0c8b26f3-edca-45af-98d4-d8a53ef417b3.xlsx</t>
        </is>
      </c>
      <c r="N107" t="inlineStr">
        <is>
          <t>Sem comprovante</t>
        </is>
      </c>
      <c r="O107" t="inlineStr">
        <is>
          <t>Transferência Pix enviada Marco Aurelio de Moura Leite</t>
        </is>
      </c>
    </row>
    <row r="108">
      <c r="A108" s="29" t="n">
        <v>46053</v>
      </c>
      <c r="B108" t="n">
        <v>1</v>
      </c>
      <c r="C108" t="n">
        <v>2026</v>
      </c>
      <c r="D108" t="inlineStr">
        <is>
          <t>Pessoal</t>
        </is>
      </c>
      <c r="E108" t="inlineStr">
        <is>
          <t>Pessoal</t>
        </is>
      </c>
      <c r="F108" t="inlineStr">
        <is>
          <t>Simone (Casa)</t>
        </is>
      </c>
      <c r="G108" t="inlineStr">
        <is>
          <t>Despesa</t>
        </is>
      </c>
      <c r="H108" s="3" t="n">
        <v>-100</v>
      </c>
      <c r="I108" t="inlineStr">
        <is>
          <t>Pix</t>
        </is>
      </c>
      <c r="J108" t="inlineStr">
        <is>
          <t>Não</t>
        </is>
      </c>
      <c r="K108" t="inlineStr">
        <is>
          <t>Eventual</t>
        </is>
      </c>
      <c r="L108" t="inlineStr"/>
      <c r="M108" t="inlineStr">
        <is>
          <t>Mercado Pago account_statement-0c8b26f3-edca-45af-98d4-d8a53ef417b3.xlsx</t>
        </is>
      </c>
      <c r="N108" t="inlineStr">
        <is>
          <t>Sem comprovante</t>
        </is>
      </c>
      <c r="O108" t="inlineStr">
        <is>
          <t>Transferência Pix enviada Simone Muniz Martins de Moura</t>
        </is>
      </c>
    </row>
    <row r="109">
      <c r="A109" s="29" t="n">
        <v>46054</v>
      </c>
      <c r="B109" t="n">
        <v>2</v>
      </c>
      <c r="C109" t="n">
        <v>2026</v>
      </c>
      <c r="D109" t="inlineStr">
        <is>
          <t>Pessoal</t>
        </is>
      </c>
      <c r="E109" t="inlineStr">
        <is>
          <t>Contas Variáveis</t>
        </is>
      </c>
      <c r="F109" t="inlineStr">
        <is>
          <t>Compra Mercado Livre</t>
        </is>
      </c>
      <c r="G109" t="inlineStr">
        <is>
          <t>Despesa</t>
        </is>
      </c>
      <c r="H109" s="3" t="n">
        <v>-37</v>
      </c>
      <c r="I109" t="inlineStr">
        <is>
          <t>Outro</t>
        </is>
      </c>
      <c r="J109" t="inlineStr">
        <is>
          <t>Não</t>
        </is>
      </c>
      <c r="K109" t="inlineStr">
        <is>
          <t>Eventual</t>
        </is>
      </c>
      <c r="L109" t="inlineStr"/>
      <c r="M109" t="inlineStr">
        <is>
          <t>Mercado Pago account_statement-d63bf9ec-6c0e-4915-9025-930e0a27c2bb.xlsx</t>
        </is>
      </c>
      <c r="N109" t="inlineStr">
        <is>
          <t>Sem comprovante</t>
        </is>
      </c>
      <c r="O109" t="inlineStr">
        <is>
          <t>Compra de Apoio De Braço De Computador Girado Para Descanso De Pulso Cor Preto Mer...</t>
        </is>
      </c>
    </row>
    <row r="110">
      <c r="A110" s="29" t="n">
        <v>46054</v>
      </c>
      <c r="B110" t="n">
        <v>2</v>
      </c>
      <c r="C110" t="n">
        <v>2026</v>
      </c>
      <c r="D110" t="inlineStr">
        <is>
          <t>Pessoal</t>
        </is>
      </c>
      <c r="E110" t="inlineStr">
        <is>
          <t>Contas Fixas</t>
        </is>
      </c>
      <c r="F110" t="inlineStr">
        <is>
          <t>Luz (Copel)</t>
        </is>
      </c>
      <c r="G110" t="inlineStr">
        <is>
          <t>Despesa</t>
        </is>
      </c>
      <c r="H110" s="3" t="n">
        <v>-171.69</v>
      </c>
      <c r="I110" t="inlineStr">
        <is>
          <t>Pix</t>
        </is>
      </c>
      <c r="J110" t="inlineStr">
        <is>
          <t>Sim</t>
        </is>
      </c>
      <c r="K110" t="inlineStr">
        <is>
          <t>Mensal</t>
        </is>
      </c>
      <c r="L110" t="inlineStr">
        <is>
          <t>Copel Studio/00000023-comprovante-144394819886.pdf</t>
        </is>
      </c>
      <c r="M110" t="inlineStr">
        <is>
          <t>Mercado Pago account_statement-d63bf9ec-6c0e-4915-9025-930e0a27c2bb.xlsx</t>
        </is>
      </c>
      <c r="N110" t="inlineStr">
        <is>
          <t>Pago</t>
        </is>
      </c>
      <c r="O110" t="inlineStr">
        <is>
          <t>Pagamento com QR Pix COPEL DISTRIBUICAO S.A.</t>
        </is>
      </c>
    </row>
    <row r="111">
      <c r="A111" s="29" t="n">
        <v>46054</v>
      </c>
      <c r="B111" t="n">
        <v>2</v>
      </c>
      <c r="C111" t="n">
        <v>2026</v>
      </c>
      <c r="D111" t="inlineStr">
        <is>
          <t>Pessoal</t>
        </is>
      </c>
      <c r="E111" t="inlineStr">
        <is>
          <t>Contas Fixas</t>
        </is>
      </c>
      <c r="F111" t="inlineStr">
        <is>
          <t>Luz (Copel)</t>
        </is>
      </c>
      <c r="G111" t="inlineStr">
        <is>
          <t>Despesa</t>
        </is>
      </c>
      <c r="H111" s="3" t="n">
        <v>-115.18</v>
      </c>
      <c r="I111" t="inlineStr">
        <is>
          <t>Pix</t>
        </is>
      </c>
      <c r="J111" t="inlineStr">
        <is>
          <t>Sim</t>
        </is>
      </c>
      <c r="K111" t="inlineStr">
        <is>
          <t>Mensal</t>
        </is>
      </c>
      <c r="L111" t="inlineStr">
        <is>
          <t>Copel Studio/00000023-comprovante-144394819886.pdf</t>
        </is>
      </c>
      <c r="M111" t="inlineStr">
        <is>
          <t>Mercado Pago account_statement-d63bf9ec-6c0e-4915-9025-930e0a27c2bb.xlsx</t>
        </is>
      </c>
      <c r="N111" t="inlineStr">
        <is>
          <t>Pago</t>
        </is>
      </c>
      <c r="O111" t="inlineStr">
        <is>
          <t>Pagamento com QR Pix COPEL DISTRIBUICAO S.A.</t>
        </is>
      </c>
    </row>
    <row r="112">
      <c r="A112" s="29" t="n">
        <v>46055</v>
      </c>
      <c r="B112" t="n">
        <v>2</v>
      </c>
      <c r="C112" t="n">
        <v>2026</v>
      </c>
      <c r="D112" t="inlineStr">
        <is>
          <t>Studio</t>
        </is>
      </c>
      <c r="E112" t="inlineStr">
        <is>
          <t>Receita - Liberação de Crédito</t>
        </is>
      </c>
      <c r="F112" t="inlineStr">
        <is>
          <t>Liberação de Crédito (Studio)</t>
        </is>
      </c>
      <c r="G112" t="inlineStr">
        <is>
          <t>Receita</t>
        </is>
      </c>
      <c r="H112" s="3" t="n">
        <v>145.07</v>
      </c>
      <c r="I112" t="inlineStr">
        <is>
          <t>Outro</t>
        </is>
      </c>
      <c r="J112" t="inlineStr">
        <is>
          <t>Não</t>
        </is>
      </c>
      <c r="K112" t="inlineStr">
        <is>
          <t>Eventual</t>
        </is>
      </c>
      <c r="L112" t="inlineStr"/>
      <c r="M112" t="inlineStr">
        <is>
          <t>Mercado Pago account_statement-d63bf9ec-6c0e-4915-9025-930e0a27c2bb.xlsx</t>
        </is>
      </c>
      <c r="N112" t="inlineStr">
        <is>
          <t>Recebido</t>
        </is>
      </c>
      <c r="O112" t="inlineStr">
        <is>
          <t>Liberação de dinheiro</t>
        </is>
      </c>
    </row>
    <row r="113">
      <c r="A113" s="29" t="n">
        <v>46055</v>
      </c>
      <c r="B113" t="n">
        <v>2</v>
      </c>
      <c r="C113" t="n">
        <v>2026</v>
      </c>
      <c r="D113" t="inlineStr">
        <is>
          <t>Studio</t>
        </is>
      </c>
      <c r="E113" t="inlineStr">
        <is>
          <t>Outros</t>
        </is>
      </c>
      <c r="F113" t="inlineStr">
        <is>
          <t>Pagamento Cartão Nubank</t>
        </is>
      </c>
      <c r="G113" t="inlineStr">
        <is>
          <t>Despesa</t>
        </is>
      </c>
      <c r="H113" s="3" t="n">
        <v>-3069.49</v>
      </c>
      <c r="I113" t="inlineStr">
        <is>
          <t>Pix</t>
        </is>
      </c>
      <c r="J113" t="inlineStr">
        <is>
          <t>Não</t>
        </is>
      </c>
      <c r="K113" t="inlineStr">
        <is>
          <t>Eventual</t>
        </is>
      </c>
      <c r="L113" t="inlineStr"/>
      <c r="M113" t="inlineStr">
        <is>
          <t>Mercado Pago account_statement-d63bf9ec-6c0e-4915-9025-930e0a27c2bb.xlsx</t>
        </is>
      </c>
      <c r="N113" t="inlineStr">
        <is>
          <t>Sem comprovante</t>
        </is>
      </c>
      <c r="O113" t="inlineStr">
        <is>
          <t>Pagamento com QR Pix NU PAGAMENTOS SA</t>
        </is>
      </c>
    </row>
    <row r="114">
      <c r="A114" s="29" t="n">
        <v>46055</v>
      </c>
      <c r="B114" t="n">
        <v>2</v>
      </c>
      <c r="C114" t="n">
        <v>2026</v>
      </c>
      <c r="D114" t="inlineStr">
        <is>
          <t>Geral</t>
        </is>
      </c>
      <c r="E114" t="inlineStr">
        <is>
          <t>Outros</t>
        </is>
      </c>
      <c r="F114" t="inlineStr">
        <is>
          <t>Pagamento Caixa</t>
        </is>
      </c>
      <c r="G114" t="inlineStr">
        <is>
          <t>Despesa</t>
        </is>
      </c>
      <c r="H114" s="3" t="n">
        <v>-1854.04</v>
      </c>
      <c r="I114" t="inlineStr">
        <is>
          <t>Boleto</t>
        </is>
      </c>
      <c r="J114" t="inlineStr">
        <is>
          <t>Não</t>
        </is>
      </c>
      <c r="K114" t="inlineStr">
        <is>
          <t>Eventual</t>
        </is>
      </c>
      <c r="L114" t="inlineStr"/>
      <c r="M114" t="inlineStr">
        <is>
          <t>Mercado Pago account_statement-d63bf9ec-6c0e-4915-9025-930e0a27c2bb.xlsx</t>
        </is>
      </c>
      <c r="N114" t="inlineStr">
        <is>
          <t>Sem comprovante</t>
        </is>
      </c>
      <c r="O114" t="inlineStr">
        <is>
          <t>Pagamento de conta Caixa Econômica Federal</t>
        </is>
      </c>
    </row>
    <row r="115">
      <c r="A115" s="29" t="n">
        <v>46056</v>
      </c>
      <c r="B115" t="n">
        <v>2</v>
      </c>
      <c r="C115" t="n">
        <v>2026</v>
      </c>
      <c r="D115" t="inlineStr">
        <is>
          <t>Pessoal</t>
        </is>
      </c>
      <c r="E115" t="inlineStr">
        <is>
          <t>Contas Variáveis</t>
        </is>
      </c>
      <c r="F115" t="inlineStr">
        <is>
          <t>Mercado</t>
        </is>
      </c>
      <c r="G115" t="inlineStr">
        <is>
          <t>Despesa</t>
        </is>
      </c>
      <c r="H115" s="3" t="n">
        <v>-39.9</v>
      </c>
      <c r="I115" t="inlineStr">
        <is>
          <t>Outro</t>
        </is>
      </c>
      <c r="J115" t="inlineStr">
        <is>
          <t>Não</t>
        </is>
      </c>
      <c r="K115" t="inlineStr">
        <is>
          <t>Eventual</t>
        </is>
      </c>
      <c r="L115" t="inlineStr"/>
      <c r="M115" t="inlineStr">
        <is>
          <t>Mercado Pago account_statement-d63bf9ec-6c0e-4915-9025-930e0a27c2bb.xlsx</t>
        </is>
      </c>
      <c r="N115" t="inlineStr">
        <is>
          <t>Sem comprovante</t>
        </is>
      </c>
      <c r="O115" t="inlineStr">
        <is>
          <t>Compra de Apoio De Braço De Computador Girado Para Descanso De Pulso Preto Mercado...</t>
        </is>
      </c>
    </row>
    <row r="116">
      <c r="A116" s="29" t="n">
        <v>46056</v>
      </c>
      <c r="B116" t="n">
        <v>2</v>
      </c>
      <c r="C116" t="n">
        <v>2026</v>
      </c>
      <c r="D116" t="inlineStr">
        <is>
          <t>Geral</t>
        </is>
      </c>
      <c r="E116" t="inlineStr">
        <is>
          <t>Outros</t>
        </is>
      </c>
      <c r="F116" t="inlineStr">
        <is>
          <t>Transferência Pix Enviada</t>
        </is>
      </c>
      <c r="G116" t="inlineStr">
        <is>
          <t>Despesa</t>
        </is>
      </c>
      <c r="H116" s="3" t="n">
        <v>-180</v>
      </c>
      <c r="I116" t="inlineStr">
        <is>
          <t>Pix</t>
        </is>
      </c>
      <c r="J116" t="inlineStr">
        <is>
          <t>Não</t>
        </is>
      </c>
      <c r="K116" t="inlineStr">
        <is>
          <t>Eventual</t>
        </is>
      </c>
      <c r="L116" t="inlineStr"/>
      <c r="M116" t="inlineStr">
        <is>
          <t>Mercado Pago account_statement-d63bf9ec-6c0e-4915-9025-930e0a27c2bb.xlsx</t>
        </is>
      </c>
      <c r="N116" t="inlineStr">
        <is>
          <t>Sem comprovante</t>
        </is>
      </c>
      <c r="O116" t="inlineStr">
        <is>
          <t>Transferência Pix enviada Rubens Alves dos Santos</t>
        </is>
      </c>
    </row>
    <row r="117">
      <c r="A117" s="29" t="n">
        <v>46056</v>
      </c>
      <c r="B117" t="n">
        <v>2</v>
      </c>
      <c r="C117" t="n">
        <v>2026</v>
      </c>
      <c r="D117" t="inlineStr">
        <is>
          <t>Studio</t>
        </is>
      </c>
      <c r="E117" t="inlineStr">
        <is>
          <t>Receita - Midialike</t>
        </is>
      </c>
      <c r="F117" t="inlineStr">
        <is>
          <t>Depósito Midialike</t>
        </is>
      </c>
      <c r="G117" t="inlineStr">
        <is>
          <t>Receita</t>
        </is>
      </c>
      <c r="H117" s="3" t="n">
        <v>8000</v>
      </c>
      <c r="I117" t="inlineStr">
        <is>
          <t>Pix</t>
        </is>
      </c>
      <c r="J117" t="inlineStr">
        <is>
          <t>Sim</t>
        </is>
      </c>
      <c r="K117" t="inlineStr">
        <is>
          <t>Mensal</t>
        </is>
      </c>
      <c r="L117" t="inlineStr"/>
      <c r="M117" t="inlineStr">
        <is>
          <t>Mercado Pago account_statement-d63bf9ec-6c0e-4915-9025-930e0a27c2bb.xlsx</t>
        </is>
      </c>
      <c r="N117" t="inlineStr">
        <is>
          <t>Recebido</t>
        </is>
      </c>
      <c r="O117" t="inlineStr">
        <is>
          <t>Transferência Pix recebida MIDIA LIKE LTDA</t>
        </is>
      </c>
    </row>
    <row r="118">
      <c r="A118" s="29" t="n">
        <v>46057</v>
      </c>
      <c r="B118" t="n">
        <v>2</v>
      </c>
      <c r="C118" t="n">
        <v>2026</v>
      </c>
      <c r="D118" t="inlineStr">
        <is>
          <t>Geral</t>
        </is>
      </c>
      <c r="E118" t="inlineStr">
        <is>
          <t>Outros</t>
        </is>
      </c>
      <c r="F118" t="inlineStr">
        <is>
          <t>Não identificado</t>
        </is>
      </c>
      <c r="G118" t="inlineStr">
        <is>
          <t>Despesa</t>
        </is>
      </c>
      <c r="H118" s="3" t="n">
        <v>-1</v>
      </c>
      <c r="I118" t="inlineStr">
        <is>
          <t>Outro</t>
        </is>
      </c>
      <c r="J118" t="inlineStr">
        <is>
          <t>Não</t>
        </is>
      </c>
      <c r="K118" t="inlineStr">
        <is>
          <t>Eventual</t>
        </is>
      </c>
      <c r="L118" t="inlineStr"/>
      <c r="M118" t="inlineStr">
        <is>
          <t>Mercado Pago account_statement-d63bf9ec-6c0e-4915-9025-930e0a27c2bb.xlsx</t>
        </is>
      </c>
      <c r="N118" t="inlineStr">
        <is>
          <t>Sem comprovante</t>
        </is>
      </c>
      <c r="O118" t="inlineStr">
        <is>
          <t>Dinheiro reservado Invest_24</t>
        </is>
      </c>
    </row>
    <row r="119">
      <c r="A119" s="29" t="n">
        <v>46057</v>
      </c>
      <c r="B119" t="n">
        <v>2</v>
      </c>
      <c r="C119" t="n">
        <v>2026</v>
      </c>
      <c r="D119" t="inlineStr">
        <is>
          <t>Studio</t>
        </is>
      </c>
      <c r="E119" t="inlineStr">
        <is>
          <t>Receita - Liberação de Crédito</t>
        </is>
      </c>
      <c r="F119" t="inlineStr">
        <is>
          <t>Liberação de Crédito (Studio)</t>
        </is>
      </c>
      <c r="G119" t="inlineStr">
        <is>
          <t>Receita</t>
        </is>
      </c>
      <c r="H119" s="3" t="n">
        <v>930.2</v>
      </c>
      <c r="I119" t="inlineStr">
        <is>
          <t>Outro</t>
        </is>
      </c>
      <c r="J119" t="inlineStr">
        <is>
          <t>Não</t>
        </is>
      </c>
      <c r="K119" t="inlineStr">
        <is>
          <t>Eventual</t>
        </is>
      </c>
      <c r="L119" t="inlineStr"/>
      <c r="M119" t="inlineStr">
        <is>
          <t>Mercado Pago account_statement-d63bf9ec-6c0e-4915-9025-930e0a27c2bb.xlsx</t>
        </is>
      </c>
      <c r="N119" t="inlineStr">
        <is>
          <t>Recebido</t>
        </is>
      </c>
      <c r="O119" t="inlineStr">
        <is>
          <t>Liberação de dinheiro</t>
        </is>
      </c>
    </row>
    <row r="120">
      <c r="A120" s="29" t="n">
        <v>46057</v>
      </c>
      <c r="B120" t="n">
        <v>2</v>
      </c>
      <c r="C120" t="n">
        <v>2026</v>
      </c>
      <c r="D120" t="inlineStr">
        <is>
          <t>Studio</t>
        </is>
      </c>
      <c r="E120" t="inlineStr">
        <is>
          <t>Receita - Liberação de Crédito</t>
        </is>
      </c>
      <c r="F120" t="inlineStr">
        <is>
          <t>Liberação de Crédito (Studio)</t>
        </is>
      </c>
      <c r="G120" t="inlineStr">
        <is>
          <t>Receita</t>
        </is>
      </c>
      <c r="H120" s="3" t="n">
        <v>118.46</v>
      </c>
      <c r="I120" t="inlineStr">
        <is>
          <t>Outro</t>
        </is>
      </c>
      <c r="J120" t="inlineStr">
        <is>
          <t>Não</t>
        </is>
      </c>
      <c r="K120" t="inlineStr">
        <is>
          <t>Eventual</t>
        </is>
      </c>
      <c r="L120" t="inlineStr"/>
      <c r="M120" t="inlineStr">
        <is>
          <t>Mercado Pago account_statement-d63bf9ec-6c0e-4915-9025-930e0a27c2bb.xlsx</t>
        </is>
      </c>
      <c r="N120" t="inlineStr">
        <is>
          <t>Recebido</t>
        </is>
      </c>
      <c r="O120" t="inlineStr">
        <is>
          <t>Liberação de dinheiro</t>
        </is>
      </c>
    </row>
    <row r="121">
      <c r="A121" s="29" t="n">
        <v>46057</v>
      </c>
      <c r="B121" t="n">
        <v>2</v>
      </c>
      <c r="C121" t="n">
        <v>2026</v>
      </c>
      <c r="D121" t="inlineStr">
        <is>
          <t>Studio</t>
        </is>
      </c>
      <c r="E121" t="inlineStr">
        <is>
          <t>Receita - Liberação de Crédito</t>
        </is>
      </c>
      <c r="F121" t="inlineStr">
        <is>
          <t>Liberação de Crédito (Studio)</t>
        </is>
      </c>
      <c r="G121" t="inlineStr">
        <is>
          <t>Receita</t>
        </is>
      </c>
      <c r="H121" s="3" t="n">
        <v>650.21</v>
      </c>
      <c r="I121" t="inlineStr">
        <is>
          <t>Outro</t>
        </is>
      </c>
      <c r="J121" t="inlineStr">
        <is>
          <t>Não</t>
        </is>
      </c>
      <c r="K121" t="inlineStr">
        <is>
          <t>Eventual</t>
        </is>
      </c>
      <c r="L121" t="inlineStr"/>
      <c r="M121" t="inlineStr">
        <is>
          <t>Mercado Pago account_statement-d63bf9ec-6c0e-4915-9025-930e0a27c2bb.xlsx</t>
        </is>
      </c>
      <c r="N121" t="inlineStr">
        <is>
          <t>Recebido</t>
        </is>
      </c>
      <c r="O121" t="inlineStr">
        <is>
          <t>Liberação de dinheiro</t>
        </is>
      </c>
    </row>
    <row r="122">
      <c r="A122" s="29" t="n">
        <v>46058</v>
      </c>
      <c r="B122" t="n">
        <v>2</v>
      </c>
      <c r="C122" t="n">
        <v>2026</v>
      </c>
      <c r="D122" t="inlineStr">
        <is>
          <t>Studio</t>
        </is>
      </c>
      <c r="E122" t="inlineStr">
        <is>
          <t>Receita - Liberação de Crédito</t>
        </is>
      </c>
      <c r="F122" t="inlineStr">
        <is>
          <t>Liberação de Crédito (Studio)</t>
        </is>
      </c>
      <c r="G122" t="inlineStr">
        <is>
          <t>Receita</t>
        </is>
      </c>
      <c r="H122" s="3" t="n">
        <v>518.15</v>
      </c>
      <c r="I122" t="inlineStr">
        <is>
          <t>Outro</t>
        </is>
      </c>
      <c r="J122" t="inlineStr">
        <is>
          <t>Não</t>
        </is>
      </c>
      <c r="K122" t="inlineStr">
        <is>
          <t>Eventual</t>
        </is>
      </c>
      <c r="L122" t="inlineStr"/>
      <c r="M122" t="inlineStr">
        <is>
          <t>Mercado Pago account_statement-d63bf9ec-6c0e-4915-9025-930e0a27c2bb.xlsx</t>
        </is>
      </c>
      <c r="N122" t="inlineStr">
        <is>
          <t>Recebido</t>
        </is>
      </c>
      <c r="O122" t="inlineStr">
        <is>
          <t>Liberação de dinheiro</t>
        </is>
      </c>
    </row>
    <row r="123">
      <c r="A123" s="29" t="n">
        <v>46058</v>
      </c>
      <c r="B123" t="n">
        <v>2</v>
      </c>
      <c r="C123" t="n">
        <v>2026</v>
      </c>
      <c r="D123" t="inlineStr">
        <is>
          <t>Studio</t>
        </is>
      </c>
      <c r="E123" t="inlineStr">
        <is>
          <t>Receita - Liberação de Crédito</t>
        </is>
      </c>
      <c r="F123" t="inlineStr">
        <is>
          <t>Liberação de Crédito (Studio)</t>
        </is>
      </c>
      <c r="G123" t="inlineStr">
        <is>
          <t>Receita</t>
        </is>
      </c>
      <c r="H123" s="3" t="n">
        <v>40</v>
      </c>
      <c r="I123" t="inlineStr">
        <is>
          <t>Outro</t>
        </is>
      </c>
      <c r="J123" t="inlineStr">
        <is>
          <t>Não</t>
        </is>
      </c>
      <c r="K123" t="inlineStr">
        <is>
          <t>Eventual</t>
        </is>
      </c>
      <c r="L123" t="inlineStr"/>
      <c r="M123" t="inlineStr">
        <is>
          <t>Mercado Pago account_statement-d63bf9ec-6c0e-4915-9025-930e0a27c2bb.xlsx</t>
        </is>
      </c>
      <c r="N123" t="inlineStr">
        <is>
          <t>Recebido</t>
        </is>
      </c>
      <c r="O123" t="inlineStr">
        <is>
          <t>Liberação de dinheiro</t>
        </is>
      </c>
    </row>
    <row r="124">
      <c r="A124" s="29" t="n">
        <v>46058</v>
      </c>
      <c r="B124" t="n">
        <v>2</v>
      </c>
      <c r="C124" t="n">
        <v>2026</v>
      </c>
      <c r="D124" t="inlineStr">
        <is>
          <t>Studio</t>
        </is>
      </c>
      <c r="E124" t="inlineStr">
        <is>
          <t>Contas Variáveis</t>
        </is>
      </c>
      <c r="F124" t="inlineStr">
        <is>
          <t>Google Ads / Google</t>
        </is>
      </c>
      <c r="G124" t="inlineStr">
        <is>
          <t>Despesa</t>
        </is>
      </c>
      <c r="H124" s="3" t="n">
        <v>-96.98999999999999</v>
      </c>
      <c r="I124" t="inlineStr">
        <is>
          <t>Outro</t>
        </is>
      </c>
      <c r="J124" t="inlineStr">
        <is>
          <t>Não</t>
        </is>
      </c>
      <c r="K124" t="inlineStr">
        <is>
          <t>Eventual</t>
        </is>
      </c>
      <c r="L124" t="inlineStr"/>
      <c r="M124" t="inlineStr">
        <is>
          <t>Mercado Pago account_statement-d63bf9ec-6c0e-4915-9025-930e0a27c2bb.xlsx</t>
        </is>
      </c>
      <c r="N124" t="inlineStr">
        <is>
          <t>Sem comprovante</t>
        </is>
      </c>
      <c r="O124" t="inlineStr">
        <is>
          <t>Pagamento GOOGLE BRASIL PAGAMENTOS LTDA.</t>
        </is>
      </c>
    </row>
    <row r="125">
      <c r="A125" s="29" t="n">
        <v>46058</v>
      </c>
      <c r="B125" t="n">
        <v>2</v>
      </c>
      <c r="C125" t="n">
        <v>2026</v>
      </c>
      <c r="D125" t="inlineStr">
        <is>
          <t>Studio</t>
        </is>
      </c>
      <c r="E125" t="inlineStr">
        <is>
          <t>Receita - Outros</t>
        </is>
      </c>
      <c r="F125" t="inlineStr">
        <is>
          <t>Receita não categorizada</t>
        </is>
      </c>
      <c r="G125" t="inlineStr">
        <is>
          <t>Receita</t>
        </is>
      </c>
      <c r="H125" s="3" t="n">
        <v>661.74</v>
      </c>
      <c r="I125" t="inlineStr">
        <is>
          <t>Pix</t>
        </is>
      </c>
      <c r="J125" t="inlineStr">
        <is>
          <t>Não</t>
        </is>
      </c>
      <c r="K125" t="inlineStr">
        <is>
          <t>Eventual</t>
        </is>
      </c>
      <c r="L125" t="inlineStr"/>
      <c r="M125" t="inlineStr">
        <is>
          <t>Mercado Pago account_statement-d63bf9ec-6c0e-4915-9025-930e0a27c2bb.xlsx</t>
        </is>
      </c>
      <c r="N125" t="inlineStr">
        <is>
          <t>Recebido</t>
        </is>
      </c>
      <c r="O125" t="inlineStr">
        <is>
          <t>Pagamento com Código QR Pix Renato Colaço Trentin</t>
        </is>
      </c>
    </row>
    <row r="126">
      <c r="A126" s="29" t="n">
        <v>46058</v>
      </c>
      <c r="B126" t="n">
        <v>2</v>
      </c>
      <c r="C126" t="n">
        <v>2026</v>
      </c>
      <c r="D126" t="inlineStr">
        <is>
          <t>Geral</t>
        </is>
      </c>
      <c r="E126" t="inlineStr">
        <is>
          <t>Outros</t>
        </is>
      </c>
      <c r="F126" t="inlineStr">
        <is>
          <t>Pagamento Caixa</t>
        </is>
      </c>
      <c r="G126" t="inlineStr">
        <is>
          <t>Despesa</t>
        </is>
      </c>
      <c r="H126" s="3" t="n">
        <v>-700.01</v>
      </c>
      <c r="I126" t="inlineStr">
        <is>
          <t>Boleto</t>
        </is>
      </c>
      <c r="J126" t="inlineStr">
        <is>
          <t>Não</t>
        </is>
      </c>
      <c r="K126" t="inlineStr">
        <is>
          <t>Eventual</t>
        </is>
      </c>
      <c r="L126" t="inlineStr"/>
      <c r="M126" t="inlineStr">
        <is>
          <t>Mercado Pago account_statement-d63bf9ec-6c0e-4915-9025-930e0a27c2bb.xlsx</t>
        </is>
      </c>
      <c r="N126" t="inlineStr">
        <is>
          <t>Sem comprovante</t>
        </is>
      </c>
      <c r="O126" t="inlineStr">
        <is>
          <t>Pagamento de conta Caixa Econômica Federal</t>
        </is>
      </c>
    </row>
    <row r="127">
      <c r="A127" s="29" t="n">
        <v>46058</v>
      </c>
      <c r="B127" t="n">
        <v>2</v>
      </c>
      <c r="C127" t="n">
        <v>2026</v>
      </c>
      <c r="D127" t="inlineStr">
        <is>
          <t>Geral</t>
        </is>
      </c>
      <c r="E127" t="inlineStr">
        <is>
          <t>Outros</t>
        </is>
      </c>
      <c r="F127" t="inlineStr">
        <is>
          <t>Pagamento Stone</t>
        </is>
      </c>
      <c r="G127" t="inlineStr">
        <is>
          <t>Despesa</t>
        </is>
      </c>
      <c r="H127" s="3" t="n">
        <v>-99.90000000000001</v>
      </c>
      <c r="I127" t="inlineStr">
        <is>
          <t>Boleto</t>
        </is>
      </c>
      <c r="J127" t="inlineStr">
        <is>
          <t>Não</t>
        </is>
      </c>
      <c r="K127" t="inlineStr">
        <is>
          <t>Eventual</t>
        </is>
      </c>
      <c r="L127" t="inlineStr"/>
      <c r="M127" t="inlineStr">
        <is>
          <t>Mercado Pago account_statement-d63bf9ec-6c0e-4915-9025-930e0a27c2bb.xlsx</t>
        </is>
      </c>
      <c r="N127" t="inlineStr">
        <is>
          <t>Sem comprovante</t>
        </is>
      </c>
      <c r="O127" t="inlineStr">
        <is>
          <t>Pagamento de conta Stone Pagamentos S.A.</t>
        </is>
      </c>
    </row>
    <row r="128">
      <c r="A128" s="29" t="n">
        <v>46058</v>
      </c>
      <c r="B128" t="n">
        <v>2</v>
      </c>
      <c r="C128" t="n">
        <v>2026</v>
      </c>
      <c r="D128" t="inlineStr">
        <is>
          <t>Geral</t>
        </is>
      </c>
      <c r="E128" t="inlineStr">
        <is>
          <t>Transferência - Denise</t>
        </is>
      </c>
      <c r="F128" t="inlineStr">
        <is>
          <t>Pix Bruno→Denise</t>
        </is>
      </c>
      <c r="G128" t="inlineStr">
        <is>
          <t>Despesa</t>
        </is>
      </c>
      <c r="H128" s="3" t="n">
        <v>-300</v>
      </c>
      <c r="I128" t="inlineStr">
        <is>
          <t>Pix</t>
        </is>
      </c>
      <c r="J128" t="inlineStr">
        <is>
          <t>Não</t>
        </is>
      </c>
      <c r="K128" t="inlineStr">
        <is>
          <t>Eventual</t>
        </is>
      </c>
      <c r="L128" t="inlineStr"/>
      <c r="M128" t="inlineStr">
        <is>
          <t>Mercado Pago account_statement-d63bf9ec-6c0e-4915-9025-930e0a27c2bb.xlsx</t>
        </is>
      </c>
      <c r="N128" t="inlineStr">
        <is>
          <t>Sem comprovante</t>
        </is>
      </c>
      <c r="O128" t="inlineStr">
        <is>
          <t>Pix enviado Denise De Paula</t>
        </is>
      </c>
    </row>
    <row r="129">
      <c r="A129" s="29" t="n">
        <v>46058</v>
      </c>
      <c r="B129" t="n">
        <v>2</v>
      </c>
      <c r="C129" t="n">
        <v>2026</v>
      </c>
      <c r="D129" t="inlineStr">
        <is>
          <t>Studio</t>
        </is>
      </c>
      <c r="E129" t="inlineStr">
        <is>
          <t>Pessoal</t>
        </is>
      </c>
      <c r="F129" t="inlineStr">
        <is>
          <t>Eliane</t>
        </is>
      </c>
      <c r="G129" t="inlineStr">
        <is>
          <t>Despesa</t>
        </is>
      </c>
      <c r="H129" s="3" t="n">
        <v>-1340</v>
      </c>
      <c r="I129" t="inlineStr">
        <is>
          <t>Pix</t>
        </is>
      </c>
      <c r="J129" t="inlineStr">
        <is>
          <t>Não</t>
        </is>
      </c>
      <c r="K129" t="inlineStr">
        <is>
          <t>Eventual</t>
        </is>
      </c>
      <c r="L129" t="inlineStr"/>
      <c r="M129" t="inlineStr">
        <is>
          <t>Mercado Pago account_statement-d63bf9ec-6c0e-4915-9025-930e0a27c2bb.xlsx</t>
        </is>
      </c>
      <c r="N129" t="inlineStr">
        <is>
          <t>Sem comprovante</t>
        </is>
      </c>
      <c r="O129" t="inlineStr">
        <is>
          <t>Pix enviado Eliane do Rocio de Lima</t>
        </is>
      </c>
    </row>
    <row r="130">
      <c r="A130" s="29" t="n">
        <v>46059</v>
      </c>
      <c r="B130" t="n">
        <v>2</v>
      </c>
      <c r="C130" t="n">
        <v>2026</v>
      </c>
      <c r="D130" t="inlineStr">
        <is>
          <t>Studio</t>
        </is>
      </c>
      <c r="E130" t="inlineStr">
        <is>
          <t>Receita - Outros</t>
        </is>
      </c>
      <c r="F130" t="inlineStr">
        <is>
          <t>Receita não categorizada</t>
        </is>
      </c>
      <c r="G130" t="inlineStr">
        <is>
          <t>Receita</t>
        </is>
      </c>
      <c r="H130" s="3" t="n">
        <v>990.12</v>
      </c>
      <c r="I130" t="inlineStr">
        <is>
          <t>Pix</t>
        </is>
      </c>
      <c r="J130" t="inlineStr">
        <is>
          <t>Não</t>
        </is>
      </c>
      <c r="K130" t="inlineStr">
        <is>
          <t>Eventual</t>
        </is>
      </c>
      <c r="L130" t="inlineStr"/>
      <c r="M130" t="inlineStr">
        <is>
          <t>Mercado Pago account_statement-d63bf9ec-6c0e-4915-9025-930e0a27c2bb.xlsx</t>
        </is>
      </c>
      <c r="N130" t="inlineStr">
        <is>
          <t>Recebido</t>
        </is>
      </c>
      <c r="O130" t="inlineStr">
        <is>
          <t>Pagamento com Código QR Pix LUIZA KLOSOWSKI</t>
        </is>
      </c>
    </row>
    <row r="131">
      <c r="A131" s="29" t="n">
        <v>46059</v>
      </c>
      <c r="B131" t="n">
        <v>2</v>
      </c>
      <c r="C131" t="n">
        <v>2026</v>
      </c>
      <c r="D131" t="inlineStr">
        <is>
          <t>Studio</t>
        </is>
      </c>
      <c r="E131" t="inlineStr">
        <is>
          <t>Receita - Outros</t>
        </is>
      </c>
      <c r="F131" t="inlineStr">
        <is>
          <t>Receita não categorizada</t>
        </is>
      </c>
      <c r="G131" t="inlineStr">
        <is>
          <t>Receita</t>
        </is>
      </c>
      <c r="H131" s="3" t="n">
        <v>496.55</v>
      </c>
      <c r="I131" t="inlineStr">
        <is>
          <t>Pix</t>
        </is>
      </c>
      <c r="J131" t="inlineStr">
        <is>
          <t>Não</t>
        </is>
      </c>
      <c r="K131" t="inlineStr">
        <is>
          <t>Eventual</t>
        </is>
      </c>
      <c r="L131" t="inlineStr"/>
      <c r="M131" t="inlineStr">
        <is>
          <t>Mercado Pago account_statement-d63bf9ec-6c0e-4915-9025-930e0a27c2bb.xlsx</t>
        </is>
      </c>
      <c r="N131" t="inlineStr">
        <is>
          <t>Recebido</t>
        </is>
      </c>
      <c r="O131" t="inlineStr">
        <is>
          <t>Pagamento com Código QR Pix MARIA G AMBONI STADTLOBER</t>
        </is>
      </c>
    </row>
    <row r="132">
      <c r="A132" s="29" t="n">
        <v>46059</v>
      </c>
      <c r="B132" t="n">
        <v>2</v>
      </c>
      <c r="C132" t="n">
        <v>2026</v>
      </c>
      <c r="D132" t="inlineStr">
        <is>
          <t>Studio</t>
        </is>
      </c>
      <c r="E132" t="inlineStr">
        <is>
          <t>Contas Fixas</t>
        </is>
      </c>
      <c r="F132" t="inlineStr">
        <is>
          <t>Internet / Telecom</t>
        </is>
      </c>
      <c r="G132" t="inlineStr">
        <is>
          <t>Despesa</t>
        </is>
      </c>
      <c r="H132" s="3" t="n">
        <v>-164.12</v>
      </c>
      <c r="I132" t="inlineStr">
        <is>
          <t>Pix</t>
        </is>
      </c>
      <c r="J132" t="inlineStr">
        <is>
          <t>Sim</t>
        </is>
      </c>
      <c r="K132" t="inlineStr">
        <is>
          <t>Mensal</t>
        </is>
      </c>
      <c r="L132" t="inlineStr">
        <is>
          <t>Internet Casa/00000036-comprovante-144507831195.pdf</t>
        </is>
      </c>
      <c r="M132" t="inlineStr">
        <is>
          <t>Mercado Pago account_statement-d63bf9ec-6c0e-4915-9025-930e0a27c2bb.xlsx</t>
        </is>
      </c>
      <c r="N132" t="inlineStr">
        <is>
          <t>Pago</t>
        </is>
      </c>
      <c r="O132" t="inlineStr">
        <is>
          <t>Pagamento com QR Pix LIGGA TELECOMUNICACOES S.A.</t>
        </is>
      </c>
    </row>
    <row r="133">
      <c r="A133" s="29" t="n">
        <v>46059</v>
      </c>
      <c r="B133" t="n">
        <v>2</v>
      </c>
      <c r="C133" t="n">
        <v>2026</v>
      </c>
      <c r="D133" t="inlineStr">
        <is>
          <t>Geral</t>
        </is>
      </c>
      <c r="E133" t="inlineStr">
        <is>
          <t>Transferência - Bruno (própria)</t>
        </is>
      </c>
      <c r="F133" t="inlineStr">
        <is>
          <t>Pix Bruno→Bruno (entre contas próprias)</t>
        </is>
      </c>
      <c r="G133" t="inlineStr">
        <is>
          <t>Despesa</t>
        </is>
      </c>
      <c r="H133" s="3" t="n">
        <v>-150</v>
      </c>
      <c r="I133" t="inlineStr">
        <is>
          <t>Pix</t>
        </is>
      </c>
      <c r="J133" t="inlineStr">
        <is>
          <t>Não</t>
        </is>
      </c>
      <c r="K133" t="inlineStr">
        <is>
          <t>Eventual</t>
        </is>
      </c>
      <c r="L133" t="inlineStr"/>
      <c r="M133" t="inlineStr">
        <is>
          <t>Mercado Pago account_statement-d63bf9ec-6c0e-4915-9025-930e0a27c2bb.xlsx</t>
        </is>
      </c>
      <c r="N133" t="inlineStr">
        <is>
          <t>Sem comprovante</t>
        </is>
      </c>
      <c r="O133" t="inlineStr">
        <is>
          <t>Pix enviado Bruno Porto Seus</t>
        </is>
      </c>
    </row>
    <row r="134">
      <c r="A134" s="29" t="n">
        <v>46060</v>
      </c>
      <c r="B134" t="n">
        <v>2</v>
      </c>
      <c r="C134" t="n">
        <v>2026</v>
      </c>
      <c r="D134" t="inlineStr">
        <is>
          <t>Studio</t>
        </is>
      </c>
      <c r="E134" t="inlineStr">
        <is>
          <t>Outros</t>
        </is>
      </c>
      <c r="F134" t="inlineStr">
        <is>
          <t>Pagamento Cartão Carrefour</t>
        </is>
      </c>
      <c r="G134" t="inlineStr">
        <is>
          <t>Despesa</t>
        </is>
      </c>
      <c r="H134" s="3" t="n">
        <v>-8856.559999999999</v>
      </c>
      <c r="I134" t="inlineStr">
        <is>
          <t>Pix</t>
        </is>
      </c>
      <c r="J134" t="inlineStr">
        <is>
          <t>Não</t>
        </is>
      </c>
      <c r="K134" t="inlineStr">
        <is>
          <t>Eventual</t>
        </is>
      </c>
      <c r="L134" t="inlineStr"/>
      <c r="M134" t="inlineStr">
        <is>
          <t>Mercado Pago account_statement-d63bf9ec-6c0e-4915-9025-930e0a27c2bb.xlsx</t>
        </is>
      </c>
      <c r="N134" t="inlineStr">
        <is>
          <t>Sem comprovante</t>
        </is>
      </c>
      <c r="O134" t="inlineStr">
        <is>
          <t>Pagamento com QR Pix CSF</t>
        </is>
      </c>
    </row>
    <row r="135">
      <c r="A135" s="29" t="n">
        <v>46060</v>
      </c>
      <c r="B135" t="n">
        <v>2</v>
      </c>
      <c r="C135" t="n">
        <v>2026</v>
      </c>
      <c r="D135" t="inlineStr">
        <is>
          <t>Studio</t>
        </is>
      </c>
      <c r="E135" t="inlineStr">
        <is>
          <t>Pessoal</t>
        </is>
      </c>
      <c r="F135" t="inlineStr">
        <is>
          <t>Marco</t>
        </is>
      </c>
      <c r="G135" t="inlineStr">
        <is>
          <t>Despesa</t>
        </is>
      </c>
      <c r="H135" s="3" t="n">
        <v>-438.88</v>
      </c>
      <c r="I135" t="inlineStr">
        <is>
          <t>Pix</t>
        </is>
      </c>
      <c r="J135" t="inlineStr">
        <is>
          <t>Não</t>
        </is>
      </c>
      <c r="K135" t="inlineStr">
        <is>
          <t>Eventual</t>
        </is>
      </c>
      <c r="L135" t="inlineStr"/>
      <c r="M135" t="inlineStr">
        <is>
          <t>Mercado Pago account_statement-d63bf9ec-6c0e-4915-9025-930e0a27c2bb.xlsx</t>
        </is>
      </c>
      <c r="N135" t="inlineStr">
        <is>
          <t>Sem comprovante</t>
        </is>
      </c>
      <c r="O135" t="inlineStr">
        <is>
          <t>Pix enviado Marco Aurelio de Moura Leite</t>
        </is>
      </c>
    </row>
    <row r="136">
      <c r="A136" s="29" t="n">
        <v>46063</v>
      </c>
      <c r="B136" t="n">
        <v>2</v>
      </c>
      <c r="C136" t="n">
        <v>2026</v>
      </c>
      <c r="D136" t="inlineStr">
        <is>
          <t>Studio</t>
        </is>
      </c>
      <c r="E136" t="inlineStr">
        <is>
          <t>Receita - Liberação de Crédito</t>
        </is>
      </c>
      <c r="F136" t="inlineStr">
        <is>
          <t>Liberação de Crédito (Studio)</t>
        </is>
      </c>
      <c r="G136" t="inlineStr">
        <is>
          <t>Receita</t>
        </is>
      </c>
      <c r="H136" s="3" t="n">
        <v>1158.71</v>
      </c>
      <c r="I136" t="inlineStr">
        <is>
          <t>Outro</t>
        </is>
      </c>
      <c r="J136" t="inlineStr">
        <is>
          <t>Não</t>
        </is>
      </c>
      <c r="K136" t="inlineStr">
        <is>
          <t>Eventual</t>
        </is>
      </c>
      <c r="L136" t="inlineStr"/>
      <c r="M136" t="inlineStr">
        <is>
          <t>Mercado Pago account_statement-d63bf9ec-6c0e-4915-9025-930e0a27c2bb.xlsx</t>
        </is>
      </c>
      <c r="N136" t="inlineStr">
        <is>
          <t>Recebido</t>
        </is>
      </c>
      <c r="O136" t="inlineStr">
        <is>
          <t>Liberação de dinheiro</t>
        </is>
      </c>
    </row>
    <row r="137">
      <c r="A137" s="29" t="n">
        <v>46063</v>
      </c>
      <c r="B137" t="n">
        <v>2</v>
      </c>
      <c r="C137" t="n">
        <v>2026</v>
      </c>
      <c r="D137" t="inlineStr">
        <is>
          <t>Studio</t>
        </is>
      </c>
      <c r="E137" t="inlineStr">
        <is>
          <t>Receita - Liberação de Crédito</t>
        </is>
      </c>
      <c r="F137" t="inlineStr">
        <is>
          <t>Liberação de Crédito (Studio)</t>
        </is>
      </c>
      <c r="G137" t="inlineStr">
        <is>
          <t>Receita</t>
        </is>
      </c>
      <c r="H137" s="3" t="n">
        <v>656.49</v>
      </c>
      <c r="I137" t="inlineStr">
        <is>
          <t>Outro</t>
        </is>
      </c>
      <c r="J137" t="inlineStr">
        <is>
          <t>Não</t>
        </is>
      </c>
      <c r="K137" t="inlineStr">
        <is>
          <t>Eventual</t>
        </is>
      </c>
      <c r="L137" t="inlineStr"/>
      <c r="M137" t="inlineStr">
        <is>
          <t>Mercado Pago account_statement-d63bf9ec-6c0e-4915-9025-930e0a27c2bb.xlsx</t>
        </is>
      </c>
      <c r="N137" t="inlineStr">
        <is>
          <t>Recebido</t>
        </is>
      </c>
      <c r="O137" t="inlineStr">
        <is>
          <t>Liberação de dinheiro</t>
        </is>
      </c>
    </row>
    <row r="138">
      <c r="A138" s="29" t="n">
        <v>46063</v>
      </c>
      <c r="B138" t="n">
        <v>2</v>
      </c>
      <c r="C138" t="n">
        <v>2026</v>
      </c>
      <c r="D138" t="inlineStr">
        <is>
          <t>Pessoal</t>
        </is>
      </c>
      <c r="E138" t="inlineStr">
        <is>
          <t>Contas Variáveis</t>
        </is>
      </c>
      <c r="F138" t="inlineStr">
        <is>
          <t>iFood</t>
        </is>
      </c>
      <c r="G138" t="inlineStr">
        <is>
          <t>Despesa</t>
        </is>
      </c>
      <c r="H138" s="3" t="n">
        <v>-40.89</v>
      </c>
      <c r="I138" t="inlineStr">
        <is>
          <t>Pix</t>
        </is>
      </c>
      <c r="J138" t="inlineStr">
        <is>
          <t>Não</t>
        </is>
      </c>
      <c r="K138" t="inlineStr">
        <is>
          <t>Eventual</t>
        </is>
      </c>
      <c r="L138" t="inlineStr"/>
      <c r="M138" t="inlineStr">
        <is>
          <t>Mercado Pago account_statement-d63bf9ec-6c0e-4915-9025-930e0a27c2bb.xlsx</t>
        </is>
      </c>
      <c r="N138" t="inlineStr">
        <is>
          <t>Sem comprovante</t>
        </is>
      </c>
      <c r="O138" t="inlineStr">
        <is>
          <t>Pagamento com QR Pix IFOOD.COM AGENCIA DE RESTAURANTES ONLINE S.A.</t>
        </is>
      </c>
    </row>
    <row r="139">
      <c r="A139" s="29" t="n">
        <v>46063</v>
      </c>
      <c r="B139" t="n">
        <v>2</v>
      </c>
      <c r="C139" t="n">
        <v>2026</v>
      </c>
      <c r="D139" t="inlineStr">
        <is>
          <t>Pessoal</t>
        </is>
      </c>
      <c r="E139" t="inlineStr">
        <is>
          <t>Outros</t>
        </is>
      </c>
      <c r="F139" t="inlineStr">
        <is>
          <t>Compras Diversas</t>
        </is>
      </c>
      <c r="G139" t="inlineStr">
        <is>
          <t>Despesa</t>
        </is>
      </c>
      <c r="H139" s="3" t="n">
        <v>-30</v>
      </c>
      <c r="I139" t="inlineStr">
        <is>
          <t>Pix</t>
        </is>
      </c>
      <c r="J139" t="inlineStr">
        <is>
          <t>Não</t>
        </is>
      </c>
      <c r="K139" t="inlineStr">
        <is>
          <t>Eventual</t>
        </is>
      </c>
      <c r="L139" t="inlineStr"/>
      <c r="M139" t="inlineStr">
        <is>
          <t>Mercado Pago account_statement-d63bf9ec-6c0e-4915-9025-930e0a27c2bb.xlsx</t>
        </is>
      </c>
      <c r="N139" t="inlineStr">
        <is>
          <t>Sem comprovante</t>
        </is>
      </c>
      <c r="O139" t="inlineStr">
        <is>
          <t>Pagamento com QR Pix MULTIDISPLAY C E S T LTDA</t>
        </is>
      </c>
    </row>
    <row r="140">
      <c r="A140" s="29" t="n">
        <v>46064</v>
      </c>
      <c r="B140" t="n">
        <v>2</v>
      </c>
      <c r="C140" t="n">
        <v>2026</v>
      </c>
      <c r="D140" t="inlineStr">
        <is>
          <t>Studio</t>
        </is>
      </c>
      <c r="E140" t="inlineStr">
        <is>
          <t>Receita - Liberação de Crédito</t>
        </is>
      </c>
      <c r="F140" t="inlineStr">
        <is>
          <t>Liberação de Crédito (Studio)</t>
        </is>
      </c>
      <c r="G140" t="inlineStr">
        <is>
          <t>Receita</t>
        </is>
      </c>
      <c r="H140" s="3" t="n">
        <v>148.08</v>
      </c>
      <c r="I140" t="inlineStr">
        <is>
          <t>Outro</t>
        </is>
      </c>
      <c r="J140" t="inlineStr">
        <is>
          <t>Não</t>
        </is>
      </c>
      <c r="K140" t="inlineStr">
        <is>
          <t>Eventual</t>
        </is>
      </c>
      <c r="L140" t="inlineStr"/>
      <c r="M140" t="inlineStr">
        <is>
          <t>Mercado Pago account_statement-d63bf9ec-6c0e-4915-9025-930e0a27c2bb.xlsx</t>
        </is>
      </c>
      <c r="N140" t="inlineStr">
        <is>
          <t>Recebido</t>
        </is>
      </c>
      <c r="O140" t="inlineStr">
        <is>
          <t>Liberação de dinheiro</t>
        </is>
      </c>
    </row>
    <row r="141">
      <c r="A141" s="29" t="n">
        <v>46064</v>
      </c>
      <c r="B141" t="n">
        <v>2</v>
      </c>
      <c r="C141" t="n">
        <v>2026</v>
      </c>
      <c r="D141" t="inlineStr">
        <is>
          <t>Studio</t>
        </is>
      </c>
      <c r="E141" t="inlineStr">
        <is>
          <t>Receita - Liberação de Crédito</t>
        </is>
      </c>
      <c r="F141" t="inlineStr">
        <is>
          <t>Liberação de Crédito (Studio)</t>
        </is>
      </c>
      <c r="G141" t="inlineStr">
        <is>
          <t>Receita</t>
        </is>
      </c>
      <c r="H141" s="3" t="n">
        <v>1107</v>
      </c>
      <c r="I141" t="inlineStr">
        <is>
          <t>Outro</t>
        </is>
      </c>
      <c r="J141" t="inlineStr">
        <is>
          <t>Não</t>
        </is>
      </c>
      <c r="K141" t="inlineStr">
        <is>
          <t>Eventual</t>
        </is>
      </c>
      <c r="L141" t="inlineStr"/>
      <c r="M141" t="inlineStr">
        <is>
          <t>Mercado Pago account_statement-d63bf9ec-6c0e-4915-9025-930e0a27c2bb.xlsx</t>
        </is>
      </c>
      <c r="N141" t="inlineStr">
        <is>
          <t>Recebido</t>
        </is>
      </c>
      <c r="O141" t="inlineStr">
        <is>
          <t>Liberação de dinheiro</t>
        </is>
      </c>
    </row>
    <row r="142">
      <c r="A142" s="29" t="n">
        <v>46064</v>
      </c>
      <c r="B142" t="n">
        <v>2</v>
      </c>
      <c r="C142" t="n">
        <v>2026</v>
      </c>
      <c r="D142" t="inlineStr">
        <is>
          <t>Studio</t>
        </is>
      </c>
      <c r="E142" t="inlineStr">
        <is>
          <t>Receita - Liberação de Crédito</t>
        </is>
      </c>
      <c r="F142" t="inlineStr">
        <is>
          <t>Liberação de Crédito (Studio)</t>
        </is>
      </c>
      <c r="G142" t="inlineStr">
        <is>
          <t>Receita</t>
        </is>
      </c>
      <c r="H142" s="3" t="n">
        <v>743.23</v>
      </c>
      <c r="I142" t="inlineStr">
        <is>
          <t>Outro</t>
        </is>
      </c>
      <c r="J142" t="inlineStr">
        <is>
          <t>Não</t>
        </is>
      </c>
      <c r="K142" t="inlineStr">
        <is>
          <t>Eventual</t>
        </is>
      </c>
      <c r="L142" t="inlineStr"/>
      <c r="M142" t="inlineStr">
        <is>
          <t>Mercado Pago account_statement-d63bf9ec-6c0e-4915-9025-930e0a27c2bb.xlsx</t>
        </is>
      </c>
      <c r="N142" t="inlineStr">
        <is>
          <t>Recebido</t>
        </is>
      </c>
      <c r="O142" t="inlineStr">
        <is>
          <t>Liberação de dinheiro</t>
        </is>
      </c>
    </row>
    <row r="143">
      <c r="A143" s="29" t="n">
        <v>46064</v>
      </c>
      <c r="B143" t="n">
        <v>2</v>
      </c>
      <c r="C143" t="n">
        <v>2026</v>
      </c>
      <c r="D143" t="inlineStr">
        <is>
          <t>Geral</t>
        </is>
      </c>
      <c r="E143" t="inlineStr">
        <is>
          <t>Outros</t>
        </is>
      </c>
      <c r="F143" t="inlineStr">
        <is>
          <t>Consórcio</t>
        </is>
      </c>
      <c r="G143" t="inlineStr">
        <is>
          <t>Despesa</t>
        </is>
      </c>
      <c r="H143" s="3" t="n">
        <v>-358.18</v>
      </c>
      <c r="I143" t="inlineStr">
        <is>
          <t>Pix</t>
        </is>
      </c>
      <c r="J143" t="inlineStr">
        <is>
          <t>Não</t>
        </is>
      </c>
      <c r="K143" t="inlineStr">
        <is>
          <t>Eventual</t>
        </is>
      </c>
      <c r="L143" t="inlineStr"/>
      <c r="M143" t="inlineStr">
        <is>
          <t>Mercado Pago account_statement-d63bf9ec-6c0e-4915-9025-930e0a27c2bb.xlsx</t>
        </is>
      </c>
      <c r="N143" t="inlineStr">
        <is>
          <t>Sem comprovante</t>
        </is>
      </c>
      <c r="O143" t="inlineStr">
        <is>
          <t>Pagamento com QR Pix CONSORCIO AXS ENERGIA UNIDADE 06</t>
        </is>
      </c>
    </row>
    <row r="144">
      <c r="A144" s="29" t="n">
        <v>46064</v>
      </c>
      <c r="B144" t="n">
        <v>2</v>
      </c>
      <c r="C144" t="n">
        <v>2026</v>
      </c>
      <c r="D144" t="inlineStr">
        <is>
          <t>Pessoal</t>
        </is>
      </c>
      <c r="E144" t="inlineStr">
        <is>
          <t>Contas Fixas</t>
        </is>
      </c>
      <c r="F144" t="inlineStr">
        <is>
          <t>Luz (Copel)</t>
        </is>
      </c>
      <c r="G144" t="inlineStr">
        <is>
          <t>Despesa</t>
        </is>
      </c>
      <c r="H144" s="3" t="n">
        <v>-122.65</v>
      </c>
      <c r="I144" t="inlineStr">
        <is>
          <t>Pix</t>
        </is>
      </c>
      <c r="J144" t="inlineStr">
        <is>
          <t>Sim</t>
        </is>
      </c>
      <c r="K144" t="inlineStr">
        <is>
          <t>Mensal</t>
        </is>
      </c>
      <c r="L144" t="inlineStr">
        <is>
          <t>Copel Casa/00000030-PHOTO-2026-02-11-22-02-13.jpg</t>
        </is>
      </c>
      <c r="M144" t="inlineStr">
        <is>
          <t>Mercado Pago account_statement-d63bf9ec-6c0e-4915-9025-930e0a27c2bb.xlsx</t>
        </is>
      </c>
      <c r="N144" t="inlineStr">
        <is>
          <t>Pago</t>
        </is>
      </c>
      <c r="O144" t="inlineStr">
        <is>
          <t>Pagamento com QR Pix COPEL DISTRIBUICAO S.A.</t>
        </is>
      </c>
    </row>
    <row r="145">
      <c r="A145" s="29" t="n">
        <v>46064</v>
      </c>
      <c r="B145" t="n">
        <v>2</v>
      </c>
      <c r="C145" t="n">
        <v>2026</v>
      </c>
      <c r="D145" t="inlineStr">
        <is>
          <t>Pessoal</t>
        </is>
      </c>
      <c r="E145" t="inlineStr">
        <is>
          <t>Contas Variáveis</t>
        </is>
      </c>
      <c r="F145" t="inlineStr">
        <is>
          <t>iFood</t>
        </is>
      </c>
      <c r="G145" t="inlineStr">
        <is>
          <t>Despesa</t>
        </is>
      </c>
      <c r="H145" s="3" t="n">
        <v>-40.89</v>
      </c>
      <c r="I145" t="inlineStr">
        <is>
          <t>Pix</t>
        </is>
      </c>
      <c r="J145" t="inlineStr">
        <is>
          <t>Não</t>
        </is>
      </c>
      <c r="K145" t="inlineStr">
        <is>
          <t>Eventual</t>
        </is>
      </c>
      <c r="L145" t="inlineStr"/>
      <c r="M145" t="inlineStr">
        <is>
          <t>Mercado Pago account_statement-d63bf9ec-6c0e-4915-9025-930e0a27c2bb.xlsx</t>
        </is>
      </c>
      <c r="N145" t="inlineStr">
        <is>
          <t>Sem comprovante</t>
        </is>
      </c>
      <c r="O145" t="inlineStr">
        <is>
          <t>Pagamento com QR Pix IFOOD.COM AGENCIA DE RESTAURANTES ONLINE S.A.</t>
        </is>
      </c>
    </row>
    <row r="146">
      <c r="A146" s="29" t="n">
        <v>46064</v>
      </c>
      <c r="B146" t="n">
        <v>2</v>
      </c>
      <c r="C146" t="n">
        <v>2026</v>
      </c>
      <c r="D146" t="inlineStr">
        <is>
          <t>Geral</t>
        </is>
      </c>
      <c r="E146" t="inlineStr">
        <is>
          <t>Transferência - Bruno (própria)</t>
        </is>
      </c>
      <c r="F146" t="inlineStr">
        <is>
          <t>Pix Bruno→Bruno (entre contas próprias)</t>
        </is>
      </c>
      <c r="G146" t="inlineStr">
        <is>
          <t>Despesa</t>
        </is>
      </c>
      <c r="H146" s="3" t="n">
        <v>-500</v>
      </c>
      <c r="I146" t="inlineStr">
        <is>
          <t>Pix</t>
        </is>
      </c>
      <c r="J146" t="inlineStr">
        <is>
          <t>Não</t>
        </is>
      </c>
      <c r="K146" t="inlineStr">
        <is>
          <t>Eventual</t>
        </is>
      </c>
      <c r="L146" t="inlineStr"/>
      <c r="M146" t="inlineStr">
        <is>
          <t>Mercado Pago account_statement-d63bf9ec-6c0e-4915-9025-930e0a27c2bb.xlsx</t>
        </is>
      </c>
      <c r="N146" t="inlineStr">
        <is>
          <t>Sem comprovante</t>
        </is>
      </c>
      <c r="O146" t="inlineStr">
        <is>
          <t>Pix enviado Bruno Porto Seus</t>
        </is>
      </c>
    </row>
    <row r="147">
      <c r="A147" s="29" t="n">
        <v>46064</v>
      </c>
      <c r="B147" t="n">
        <v>2</v>
      </c>
      <c r="C147" t="n">
        <v>2026</v>
      </c>
      <c r="D147" t="inlineStr">
        <is>
          <t>Geral</t>
        </is>
      </c>
      <c r="E147" t="inlineStr">
        <is>
          <t>Transferência - Bruno (própria)</t>
        </is>
      </c>
      <c r="F147" t="inlineStr">
        <is>
          <t>Pix Bruno→Bruno (entre contas próprias)</t>
        </is>
      </c>
      <c r="G147" t="inlineStr">
        <is>
          <t>Despesa</t>
        </is>
      </c>
      <c r="H147" s="3" t="n">
        <v>-50</v>
      </c>
      <c r="I147" t="inlineStr">
        <is>
          <t>Pix</t>
        </is>
      </c>
      <c r="J147" t="inlineStr">
        <is>
          <t>Não</t>
        </is>
      </c>
      <c r="K147" t="inlineStr">
        <is>
          <t>Eventual</t>
        </is>
      </c>
      <c r="L147" t="inlineStr"/>
      <c r="M147" t="inlineStr">
        <is>
          <t>Mercado Pago account_statement-d63bf9ec-6c0e-4915-9025-930e0a27c2bb.xlsx</t>
        </is>
      </c>
      <c r="N147" t="inlineStr">
        <is>
          <t>Sem comprovante</t>
        </is>
      </c>
      <c r="O147" t="inlineStr">
        <is>
          <t>Pix enviado Bruno Porto Seus</t>
        </is>
      </c>
    </row>
    <row r="148">
      <c r="A148" s="29" t="n">
        <v>46064</v>
      </c>
      <c r="B148" t="n">
        <v>2</v>
      </c>
      <c r="C148" t="n">
        <v>2026</v>
      </c>
      <c r="D148" t="inlineStr">
        <is>
          <t>Geral</t>
        </is>
      </c>
      <c r="E148" t="inlineStr">
        <is>
          <t>Outros</t>
        </is>
      </c>
      <c r="F148" t="inlineStr">
        <is>
          <t>Transferência Pix Enviada</t>
        </is>
      </c>
      <c r="G148" t="inlineStr">
        <is>
          <t>Despesa</t>
        </is>
      </c>
      <c r="H148" s="3" t="n">
        <v>-50</v>
      </c>
      <c r="I148" t="inlineStr">
        <is>
          <t>Pix</t>
        </is>
      </c>
      <c r="J148" t="inlineStr">
        <is>
          <t>Não</t>
        </is>
      </c>
      <c r="K148" t="inlineStr">
        <is>
          <t>Eventual</t>
        </is>
      </c>
      <c r="L148" t="inlineStr"/>
      <c r="M148" t="inlineStr">
        <is>
          <t>Mercado Pago account_statement-d63bf9ec-6c0e-4915-9025-930e0a27c2bb.xlsx</t>
        </is>
      </c>
      <c r="N148" t="inlineStr">
        <is>
          <t>Sem comprovante</t>
        </is>
      </c>
      <c r="O148" t="inlineStr">
        <is>
          <t>Pix enviado Ernesto Andrey Linhares</t>
        </is>
      </c>
    </row>
    <row r="149">
      <c r="A149" s="29" t="n">
        <v>46065</v>
      </c>
      <c r="B149" t="n">
        <v>2</v>
      </c>
      <c r="C149" t="n">
        <v>2026</v>
      </c>
      <c r="D149" t="inlineStr">
        <is>
          <t>Studio</t>
        </is>
      </c>
      <c r="E149" t="inlineStr">
        <is>
          <t>Receita - Liberação de Crédito</t>
        </is>
      </c>
      <c r="F149" t="inlineStr">
        <is>
          <t>Liberação de Crédito (Studio)</t>
        </is>
      </c>
      <c r="G149" t="inlineStr">
        <is>
          <t>Receita</t>
        </is>
      </c>
      <c r="H149" s="3" t="n">
        <v>650.21</v>
      </c>
      <c r="I149" t="inlineStr">
        <is>
          <t>Outro</t>
        </is>
      </c>
      <c r="J149" t="inlineStr">
        <is>
          <t>Não</t>
        </is>
      </c>
      <c r="K149" t="inlineStr">
        <is>
          <t>Eventual</t>
        </is>
      </c>
      <c r="L149" t="inlineStr"/>
      <c r="M149" t="inlineStr">
        <is>
          <t>Mercado Pago account_statement-d63bf9ec-6c0e-4915-9025-930e0a27c2bb.xlsx</t>
        </is>
      </c>
      <c r="N149" t="inlineStr">
        <is>
          <t>Recebido</t>
        </is>
      </c>
      <c r="O149" t="inlineStr">
        <is>
          <t>Liberação de dinheiro</t>
        </is>
      </c>
    </row>
    <row r="150">
      <c r="A150" s="29" t="n">
        <v>46065</v>
      </c>
      <c r="B150" t="n">
        <v>2</v>
      </c>
      <c r="C150" t="n">
        <v>2026</v>
      </c>
      <c r="D150" t="inlineStr">
        <is>
          <t>Pessoal</t>
        </is>
      </c>
      <c r="E150" t="inlineStr">
        <is>
          <t>Contas Fixas</t>
        </is>
      </c>
      <c r="F150" t="inlineStr">
        <is>
          <t>Água (Sanepar)</t>
        </is>
      </c>
      <c r="G150" t="inlineStr">
        <is>
          <t>Despesa</t>
        </is>
      </c>
      <c r="H150" s="3" t="n">
        <v>-303.93</v>
      </c>
      <c r="I150" t="inlineStr">
        <is>
          <t>Pix</t>
        </is>
      </c>
      <c r="J150" t="inlineStr">
        <is>
          <t>Sim</t>
        </is>
      </c>
      <c r="K150" t="inlineStr">
        <is>
          <t>Mensal</t>
        </is>
      </c>
      <c r="L150" t="inlineStr">
        <is>
          <t>Sanepar Curitiba/00000027-comprovante-146026595860.pdf</t>
        </is>
      </c>
      <c r="M150" t="inlineStr">
        <is>
          <t>Mercado Pago account_statement-d63bf9ec-6c0e-4915-9025-930e0a27c2bb.xlsx</t>
        </is>
      </c>
      <c r="N150" t="inlineStr">
        <is>
          <t>Pago</t>
        </is>
      </c>
      <c r="O150" t="inlineStr">
        <is>
          <t>Pagamento com QR Pix COMPANHIA DE SANEAMENTO DO PARANA SANEPAR</t>
        </is>
      </c>
    </row>
    <row r="151">
      <c r="A151" s="29" t="n">
        <v>46065</v>
      </c>
      <c r="B151" t="n">
        <v>2</v>
      </c>
      <c r="C151" t="n">
        <v>2026</v>
      </c>
      <c r="D151" t="inlineStr">
        <is>
          <t>Geral</t>
        </is>
      </c>
      <c r="E151" t="inlineStr">
        <is>
          <t>Transferência - Bruno (própria)</t>
        </is>
      </c>
      <c r="F151" t="inlineStr">
        <is>
          <t>Pix Bruno→Bruno (entre contas próprias)</t>
        </is>
      </c>
      <c r="G151" t="inlineStr">
        <is>
          <t>Despesa</t>
        </is>
      </c>
      <c r="H151" s="3" t="n">
        <v>-200</v>
      </c>
      <c r="I151" t="inlineStr">
        <is>
          <t>Pix</t>
        </is>
      </c>
      <c r="J151" t="inlineStr">
        <is>
          <t>Não</t>
        </is>
      </c>
      <c r="K151" t="inlineStr">
        <is>
          <t>Eventual</t>
        </is>
      </c>
      <c r="L151" t="inlineStr"/>
      <c r="M151" t="inlineStr">
        <is>
          <t>Mercado Pago account_statement-d63bf9ec-6c0e-4915-9025-930e0a27c2bb.xlsx</t>
        </is>
      </c>
      <c r="N151" t="inlineStr">
        <is>
          <t>Sem comprovante</t>
        </is>
      </c>
      <c r="O151" t="inlineStr">
        <is>
          <t>Pix enviado Bruno Porto Seus</t>
        </is>
      </c>
    </row>
    <row r="152">
      <c r="A152" s="29" t="n">
        <v>46066</v>
      </c>
      <c r="B152" t="n">
        <v>2</v>
      </c>
      <c r="C152" t="n">
        <v>2026</v>
      </c>
      <c r="D152" t="inlineStr">
        <is>
          <t>Geral</t>
        </is>
      </c>
      <c r="E152" t="inlineStr">
        <is>
          <t>Transferência - Bruno (própria)</t>
        </is>
      </c>
      <c r="F152" t="inlineStr">
        <is>
          <t>Pix Bruno→Bruno (entre contas próprias)</t>
        </is>
      </c>
      <c r="G152" t="inlineStr">
        <is>
          <t>Despesa</t>
        </is>
      </c>
      <c r="H152" s="3" t="n">
        <v>-500</v>
      </c>
      <c r="I152" t="inlineStr">
        <is>
          <t>Pix</t>
        </is>
      </c>
      <c r="J152" t="inlineStr">
        <is>
          <t>Não</t>
        </is>
      </c>
      <c r="K152" t="inlineStr">
        <is>
          <t>Eventual</t>
        </is>
      </c>
      <c r="L152" t="inlineStr"/>
      <c r="M152" t="inlineStr">
        <is>
          <t>Mercado Pago account_statement-d63bf9ec-6c0e-4915-9025-930e0a27c2bb.xlsx</t>
        </is>
      </c>
      <c r="N152" t="inlineStr">
        <is>
          <t>Sem comprovante</t>
        </is>
      </c>
      <c r="O152" t="inlineStr">
        <is>
          <t>Pix enviado Bruno Porto Seus</t>
        </is>
      </c>
    </row>
    <row r="153">
      <c r="A153" s="29" t="n">
        <v>46066</v>
      </c>
      <c r="B153" t="n">
        <v>2</v>
      </c>
      <c r="C153" t="n">
        <v>2026</v>
      </c>
      <c r="D153" t="inlineStr">
        <is>
          <t>Geral</t>
        </is>
      </c>
      <c r="E153" t="inlineStr">
        <is>
          <t>Transferência - Bruno (própria)</t>
        </is>
      </c>
      <c r="F153" t="inlineStr">
        <is>
          <t>Pix Bruno→Bruno (entre contas próprias)</t>
        </is>
      </c>
      <c r="G153" t="inlineStr">
        <is>
          <t>Despesa</t>
        </is>
      </c>
      <c r="H153" s="3" t="n">
        <v>-500</v>
      </c>
      <c r="I153" t="inlineStr">
        <is>
          <t>Pix</t>
        </is>
      </c>
      <c r="J153" t="inlineStr">
        <is>
          <t>Não</t>
        </is>
      </c>
      <c r="K153" t="inlineStr">
        <is>
          <t>Eventual</t>
        </is>
      </c>
      <c r="L153" t="inlineStr"/>
      <c r="M153" t="inlineStr">
        <is>
          <t>Mercado Pago account_statement-d63bf9ec-6c0e-4915-9025-930e0a27c2bb.xlsx</t>
        </is>
      </c>
      <c r="N153" t="inlineStr">
        <is>
          <t>Sem comprovante</t>
        </is>
      </c>
      <c r="O153" t="inlineStr">
        <is>
          <t>Pix enviado Bruno Porto Seus</t>
        </is>
      </c>
    </row>
    <row r="154">
      <c r="A154" s="29" t="n">
        <v>46071</v>
      </c>
      <c r="B154" t="n">
        <v>2</v>
      </c>
      <c r="C154" t="n">
        <v>2026</v>
      </c>
      <c r="D154" t="inlineStr">
        <is>
          <t>Studio</t>
        </is>
      </c>
      <c r="E154" t="inlineStr">
        <is>
          <t>Contas Fixas</t>
        </is>
      </c>
      <c r="F154" t="inlineStr">
        <is>
          <t>Internet / Telecom</t>
        </is>
      </c>
      <c r="G154" t="inlineStr">
        <is>
          <t>Receita</t>
        </is>
      </c>
      <c r="H154" s="3" t="n">
        <v>562.23</v>
      </c>
      <c r="I154" t="inlineStr">
        <is>
          <t>Pix</t>
        </is>
      </c>
      <c r="J154" t="inlineStr">
        <is>
          <t>Sim</t>
        </is>
      </c>
      <c r="K154" t="inlineStr">
        <is>
          <t>Mensal</t>
        </is>
      </c>
      <c r="L154" t="inlineStr"/>
      <c r="M154" t="inlineStr">
        <is>
          <t>Mercado Pago account_statement-d63bf9ec-6c0e-4915-9025-930e0a27c2bb.xlsx</t>
        </is>
      </c>
      <c r="N154" t="inlineStr">
        <is>
          <t>Recebido</t>
        </is>
      </c>
      <c r="O154" t="inlineStr">
        <is>
          <t>Pagamento com Código QR Pix LUCIANA DE FATIMA LOURENCONI</t>
        </is>
      </c>
    </row>
    <row r="155">
      <c r="A155" s="29" t="n">
        <v>46072</v>
      </c>
      <c r="B155" t="n">
        <v>2</v>
      </c>
      <c r="C155" t="n">
        <v>2026</v>
      </c>
      <c r="D155" t="inlineStr">
        <is>
          <t>Studio</t>
        </is>
      </c>
      <c r="E155" t="inlineStr">
        <is>
          <t>Receita - Liberação de Crédito</t>
        </is>
      </c>
      <c r="F155" t="inlineStr">
        <is>
          <t>Liberação de Crédito (Studio)</t>
        </is>
      </c>
      <c r="G155" t="inlineStr">
        <is>
          <t>Receita</t>
        </is>
      </c>
      <c r="H155" s="3" t="n">
        <v>650.21</v>
      </c>
      <c r="I155" t="inlineStr">
        <is>
          <t>Outro</t>
        </is>
      </c>
      <c r="J155" t="inlineStr">
        <is>
          <t>Não</t>
        </is>
      </c>
      <c r="K155" t="inlineStr">
        <is>
          <t>Eventual</t>
        </is>
      </c>
      <c r="L155" t="inlineStr"/>
      <c r="M155" t="inlineStr">
        <is>
          <t>Mercado Pago account_statement-d63bf9ec-6c0e-4915-9025-930e0a27c2bb.xlsx</t>
        </is>
      </c>
      <c r="N155" t="inlineStr">
        <is>
          <t>Recebido</t>
        </is>
      </c>
      <c r="O155" t="inlineStr">
        <is>
          <t>Liberação de dinheiro</t>
        </is>
      </c>
    </row>
    <row r="156">
      <c r="A156" s="29" t="n">
        <v>46072</v>
      </c>
      <c r="B156" t="n">
        <v>2</v>
      </c>
      <c r="C156" t="n">
        <v>2026</v>
      </c>
      <c r="D156" t="inlineStr">
        <is>
          <t>Studio</t>
        </is>
      </c>
      <c r="E156" t="inlineStr">
        <is>
          <t>Receita - Liberação de Crédito</t>
        </is>
      </c>
      <c r="F156" t="inlineStr">
        <is>
          <t>Liberação de Crédito (Studio)</t>
        </is>
      </c>
      <c r="G156" t="inlineStr">
        <is>
          <t>Receita</t>
        </is>
      </c>
      <c r="H156" s="3" t="n">
        <v>493.6</v>
      </c>
      <c r="I156" t="inlineStr">
        <is>
          <t>Outro</t>
        </is>
      </c>
      <c r="J156" t="inlineStr">
        <is>
          <t>Não</t>
        </is>
      </c>
      <c r="K156" t="inlineStr">
        <is>
          <t>Eventual</t>
        </is>
      </c>
      <c r="L156" t="inlineStr"/>
      <c r="M156" t="inlineStr">
        <is>
          <t>Mercado Pago account_statement-d63bf9ec-6c0e-4915-9025-930e0a27c2bb.xlsx</t>
        </is>
      </c>
      <c r="N156" t="inlineStr">
        <is>
          <t>Recebido</t>
        </is>
      </c>
      <c r="O156" t="inlineStr">
        <is>
          <t>Liberação de dinheiro</t>
        </is>
      </c>
    </row>
    <row r="157">
      <c r="A157" s="29" t="n">
        <v>46072</v>
      </c>
      <c r="B157" t="n">
        <v>2</v>
      </c>
      <c r="C157" t="n">
        <v>2026</v>
      </c>
      <c r="D157" t="inlineStr">
        <is>
          <t>Studio</t>
        </is>
      </c>
      <c r="E157" t="inlineStr">
        <is>
          <t>Receita - Liberação de Crédito</t>
        </is>
      </c>
      <c r="F157" t="inlineStr">
        <is>
          <t>Liberação de Crédito (Studio)</t>
        </is>
      </c>
      <c r="G157" t="inlineStr">
        <is>
          <t>Receita</t>
        </is>
      </c>
      <c r="H157" s="3" t="n">
        <v>58.04</v>
      </c>
      <c r="I157" t="inlineStr">
        <is>
          <t>Outro</t>
        </is>
      </c>
      <c r="J157" t="inlineStr">
        <is>
          <t>Não</t>
        </is>
      </c>
      <c r="K157" t="inlineStr">
        <is>
          <t>Eventual</t>
        </is>
      </c>
      <c r="L157" t="inlineStr"/>
      <c r="M157" t="inlineStr">
        <is>
          <t>Mercado Pago account_statement-d63bf9ec-6c0e-4915-9025-930e0a27c2bb.xlsx</t>
        </is>
      </c>
      <c r="N157" t="inlineStr">
        <is>
          <t>Recebido</t>
        </is>
      </c>
      <c r="O157" t="inlineStr">
        <is>
          <t>Liberação de dinheiro</t>
        </is>
      </c>
    </row>
    <row r="158">
      <c r="A158" s="29" t="n">
        <v>46072</v>
      </c>
      <c r="B158" t="n">
        <v>2</v>
      </c>
      <c r="C158" t="n">
        <v>2026</v>
      </c>
      <c r="D158" t="inlineStr">
        <is>
          <t>Studio</t>
        </is>
      </c>
      <c r="E158" t="inlineStr">
        <is>
          <t>Receita - Outros</t>
        </is>
      </c>
      <c r="F158" t="inlineStr">
        <is>
          <t>Receita não categorizada</t>
        </is>
      </c>
      <c r="G158" t="inlineStr">
        <is>
          <t>Receita</t>
        </is>
      </c>
      <c r="H158" s="3" t="n">
        <v>496.55</v>
      </c>
      <c r="I158" t="inlineStr">
        <is>
          <t>Pix</t>
        </is>
      </c>
      <c r="J158" t="inlineStr">
        <is>
          <t>Não</t>
        </is>
      </c>
      <c r="K158" t="inlineStr">
        <is>
          <t>Eventual</t>
        </is>
      </c>
      <c r="L158" t="inlineStr"/>
      <c r="M158" t="inlineStr">
        <is>
          <t>Mercado Pago account_statement-d63bf9ec-6c0e-4915-9025-930e0a27c2bb.xlsx</t>
        </is>
      </c>
      <c r="N158" t="inlineStr">
        <is>
          <t>Recebido</t>
        </is>
      </c>
      <c r="O158" t="inlineStr">
        <is>
          <t>Pagamento com Código QR Pix KATIA REGINA SASSO</t>
        </is>
      </c>
    </row>
    <row r="159">
      <c r="A159" s="29" t="n">
        <v>46073</v>
      </c>
      <c r="B159" t="n">
        <v>2</v>
      </c>
      <c r="C159" t="n">
        <v>2026</v>
      </c>
      <c r="D159" t="inlineStr">
        <is>
          <t>Geral</t>
        </is>
      </c>
      <c r="E159" t="inlineStr">
        <is>
          <t>Transferência - Bruno (própria)</t>
        </is>
      </c>
      <c r="F159" t="inlineStr">
        <is>
          <t>Pix Bruno→Bruno (entre contas próprias)</t>
        </is>
      </c>
      <c r="G159" t="inlineStr">
        <is>
          <t>Despesa</t>
        </is>
      </c>
      <c r="H159" s="3" t="n">
        <v>-200</v>
      </c>
      <c r="I159" t="inlineStr">
        <is>
          <t>Pix</t>
        </is>
      </c>
      <c r="J159" t="inlineStr">
        <is>
          <t>Não</t>
        </is>
      </c>
      <c r="K159" t="inlineStr">
        <is>
          <t>Eventual</t>
        </is>
      </c>
      <c r="L159" t="inlineStr"/>
      <c r="M159" t="inlineStr">
        <is>
          <t>Mercado Pago account_statement-d63bf9ec-6c0e-4915-9025-930e0a27c2bb.xlsx</t>
        </is>
      </c>
      <c r="N159" t="inlineStr">
        <is>
          <t>Sem comprovante</t>
        </is>
      </c>
      <c r="O159" t="inlineStr">
        <is>
          <t>Pix enviado Bruno Porto Seus</t>
        </is>
      </c>
    </row>
    <row r="160">
      <c r="A160" s="29" t="n">
        <v>46074</v>
      </c>
      <c r="B160" t="n">
        <v>2</v>
      </c>
      <c r="C160" t="n">
        <v>2026</v>
      </c>
      <c r="D160" t="inlineStr">
        <is>
          <t>Studio</t>
        </is>
      </c>
      <c r="E160" t="inlineStr">
        <is>
          <t>Receita - Liberação de Crédito</t>
        </is>
      </c>
      <c r="F160" t="inlineStr">
        <is>
          <t>Liberação de Crédito (Studio)</t>
        </is>
      </c>
      <c r="G160" t="inlineStr">
        <is>
          <t>Receita</t>
        </is>
      </c>
      <c r="H160" s="3" t="n">
        <v>743.23</v>
      </c>
      <c r="I160" t="inlineStr">
        <is>
          <t>Outro</t>
        </is>
      </c>
      <c r="J160" t="inlineStr">
        <is>
          <t>Não</t>
        </is>
      </c>
      <c r="K160" t="inlineStr">
        <is>
          <t>Eventual</t>
        </is>
      </c>
      <c r="L160" t="inlineStr"/>
      <c r="M160" t="inlineStr">
        <is>
          <t>Mercado Pago account_statement-d63bf9ec-6c0e-4915-9025-930e0a27c2bb.xlsx</t>
        </is>
      </c>
      <c r="N160" t="inlineStr">
        <is>
          <t>Recebido</t>
        </is>
      </c>
      <c r="O160" t="inlineStr">
        <is>
          <t>Liberação de dinheiro</t>
        </is>
      </c>
    </row>
    <row r="161">
      <c r="A161" s="29" t="n">
        <v>46074</v>
      </c>
      <c r="B161" t="n">
        <v>2</v>
      </c>
      <c r="C161" t="n">
        <v>2026</v>
      </c>
      <c r="D161" t="inlineStr">
        <is>
          <t>Geral</t>
        </is>
      </c>
      <c r="E161" t="inlineStr">
        <is>
          <t>Transferência - Bruno (própria)</t>
        </is>
      </c>
      <c r="F161" t="inlineStr">
        <is>
          <t>Pix Bruno→Bruno (entre contas próprias)</t>
        </is>
      </c>
      <c r="G161" t="inlineStr">
        <is>
          <t>Despesa</t>
        </is>
      </c>
      <c r="H161" s="3" t="n">
        <v>-300</v>
      </c>
      <c r="I161" t="inlineStr">
        <is>
          <t>Pix</t>
        </is>
      </c>
      <c r="J161" t="inlineStr">
        <is>
          <t>Não</t>
        </is>
      </c>
      <c r="K161" t="inlineStr">
        <is>
          <t>Eventual</t>
        </is>
      </c>
      <c r="L161" t="inlineStr"/>
      <c r="M161" t="inlineStr">
        <is>
          <t>Mercado Pago account_statement-d63bf9ec-6c0e-4915-9025-930e0a27c2bb.xlsx</t>
        </is>
      </c>
      <c r="N161" t="inlineStr">
        <is>
          <t>Sem comprovante</t>
        </is>
      </c>
      <c r="O161" t="inlineStr">
        <is>
          <t>Pix enviado Bruno Porto Seus</t>
        </is>
      </c>
    </row>
    <row r="162">
      <c r="A162" s="29" t="n">
        <v>46074</v>
      </c>
      <c r="B162" t="n">
        <v>2</v>
      </c>
      <c r="C162" t="n">
        <v>2026</v>
      </c>
      <c r="D162" t="inlineStr">
        <is>
          <t>Studio</t>
        </is>
      </c>
      <c r="E162" t="inlineStr">
        <is>
          <t>Pessoal</t>
        </is>
      </c>
      <c r="F162" t="inlineStr">
        <is>
          <t>Marco</t>
        </is>
      </c>
      <c r="G162" t="inlineStr">
        <is>
          <t>Despesa</t>
        </is>
      </c>
      <c r="H162" s="3" t="n">
        <v>-378.47</v>
      </c>
      <c r="I162" t="inlineStr">
        <is>
          <t>Pix</t>
        </is>
      </c>
      <c r="J162" t="inlineStr">
        <is>
          <t>Não</t>
        </is>
      </c>
      <c r="K162" t="inlineStr">
        <is>
          <t>Eventual</t>
        </is>
      </c>
      <c r="L162" t="inlineStr"/>
      <c r="M162" t="inlineStr">
        <is>
          <t>Mercado Pago account_statement-d63bf9ec-6c0e-4915-9025-930e0a27c2bb.xlsx</t>
        </is>
      </c>
      <c r="N162" t="inlineStr">
        <is>
          <t>Sem comprovante</t>
        </is>
      </c>
      <c r="O162" t="inlineStr">
        <is>
          <t>Pix enviado Marco Aurelio de Moura Leite</t>
        </is>
      </c>
    </row>
    <row r="163">
      <c r="A163" s="29" t="n">
        <v>46075</v>
      </c>
      <c r="B163" t="n">
        <v>2</v>
      </c>
      <c r="C163" t="n">
        <v>2026</v>
      </c>
      <c r="D163" t="inlineStr">
        <is>
          <t>Pessoal</t>
        </is>
      </c>
      <c r="E163" t="inlineStr">
        <is>
          <t>Contas Variáveis</t>
        </is>
      </c>
      <c r="F163" t="inlineStr">
        <is>
          <t>iFood</t>
        </is>
      </c>
      <c r="G163" t="inlineStr">
        <is>
          <t>Despesa</t>
        </is>
      </c>
      <c r="H163" s="3" t="n">
        <v>-89.98999999999999</v>
      </c>
      <c r="I163" t="inlineStr">
        <is>
          <t>Pix</t>
        </is>
      </c>
      <c r="J163" t="inlineStr">
        <is>
          <t>Não</t>
        </is>
      </c>
      <c r="K163" t="inlineStr">
        <is>
          <t>Eventual</t>
        </is>
      </c>
      <c r="L163" t="inlineStr"/>
      <c r="M163" t="inlineStr">
        <is>
          <t>Mercado Pago account_statement-d63bf9ec-6c0e-4915-9025-930e0a27c2bb.xlsx</t>
        </is>
      </c>
      <c r="N163" t="inlineStr">
        <is>
          <t>Sem comprovante</t>
        </is>
      </c>
      <c r="O163" t="inlineStr">
        <is>
          <t>Pagamento com QR Pix IFOOD.COM AGENCIA DE RESTAURANTES ONLINE S.A.</t>
        </is>
      </c>
    </row>
    <row r="164">
      <c r="A164" s="29" t="n">
        <v>46076</v>
      </c>
      <c r="B164" t="n">
        <v>2</v>
      </c>
      <c r="C164" t="n">
        <v>2026</v>
      </c>
      <c r="D164" t="inlineStr">
        <is>
          <t>Studio</t>
        </is>
      </c>
      <c r="E164" t="inlineStr">
        <is>
          <t>Receita - Liberação de Crédito</t>
        </is>
      </c>
      <c r="F164" t="inlineStr">
        <is>
          <t>Liberação de Crédito (Studio)</t>
        </is>
      </c>
      <c r="G164" t="inlineStr">
        <is>
          <t>Receita</t>
        </is>
      </c>
      <c r="H164" s="3" t="n">
        <v>644.83</v>
      </c>
      <c r="I164" t="inlineStr">
        <is>
          <t>Outro</t>
        </is>
      </c>
      <c r="J164" t="inlineStr">
        <is>
          <t>Não</t>
        </is>
      </c>
      <c r="K164" t="inlineStr">
        <is>
          <t>Eventual</t>
        </is>
      </c>
      <c r="L164" t="inlineStr"/>
      <c r="M164" t="inlineStr">
        <is>
          <t>Mercado Pago account_statement-d63bf9ec-6c0e-4915-9025-930e0a27c2bb.xlsx</t>
        </is>
      </c>
      <c r="N164" t="inlineStr">
        <is>
          <t>Recebido</t>
        </is>
      </c>
      <c r="O164" t="inlineStr">
        <is>
          <t>Liberação de dinheiro</t>
        </is>
      </c>
    </row>
    <row r="165">
      <c r="A165" s="29" t="n">
        <v>46076</v>
      </c>
      <c r="B165" t="n">
        <v>2</v>
      </c>
      <c r="C165" t="n">
        <v>2026</v>
      </c>
      <c r="D165" t="inlineStr">
        <is>
          <t>Studio</t>
        </is>
      </c>
      <c r="E165" t="inlineStr">
        <is>
          <t>Receita - Liberação de Crédito</t>
        </is>
      </c>
      <c r="F165" t="inlineStr">
        <is>
          <t>Liberação de Crédito (Studio)</t>
        </is>
      </c>
      <c r="G165" t="inlineStr">
        <is>
          <t>Receita</t>
        </is>
      </c>
      <c r="H165" s="3" t="n">
        <v>492.61</v>
      </c>
      <c r="I165" t="inlineStr">
        <is>
          <t>Outro</t>
        </is>
      </c>
      <c r="J165" t="inlineStr">
        <is>
          <t>Não</t>
        </is>
      </c>
      <c r="K165" t="inlineStr">
        <is>
          <t>Eventual</t>
        </is>
      </c>
      <c r="L165" t="inlineStr"/>
      <c r="M165" t="inlineStr">
        <is>
          <t>Mercado Pago account_statement-d63bf9ec-6c0e-4915-9025-930e0a27c2bb.xlsx</t>
        </is>
      </c>
      <c r="N165" t="inlineStr">
        <is>
          <t>Recebido</t>
        </is>
      </c>
      <c r="O165" t="inlineStr">
        <is>
          <t>Liberação de dinheiro</t>
        </is>
      </c>
    </row>
    <row r="166">
      <c r="A166" s="29" t="n">
        <v>46076</v>
      </c>
      <c r="B166" t="n">
        <v>2</v>
      </c>
      <c r="C166" t="n">
        <v>2026</v>
      </c>
      <c r="D166" t="inlineStr">
        <is>
          <t>Studio</t>
        </is>
      </c>
      <c r="E166" t="inlineStr">
        <is>
          <t>Receita - Outros</t>
        </is>
      </c>
      <c r="F166" t="inlineStr">
        <is>
          <t>Receita não categorizada</t>
        </is>
      </c>
      <c r="G166" t="inlineStr">
        <is>
          <t>Receita</t>
        </is>
      </c>
      <c r="H166" s="3" t="n">
        <v>497.55</v>
      </c>
      <c r="I166" t="inlineStr">
        <is>
          <t>Pix</t>
        </is>
      </c>
      <c r="J166" t="inlineStr">
        <is>
          <t>Não</t>
        </is>
      </c>
      <c r="K166" t="inlineStr">
        <is>
          <t>Eventual</t>
        </is>
      </c>
      <c r="L166" t="inlineStr"/>
      <c r="M166" t="inlineStr">
        <is>
          <t>Mercado Pago account_statement-d63bf9ec-6c0e-4915-9025-930e0a27c2bb.xlsx</t>
        </is>
      </c>
      <c r="N166" t="inlineStr">
        <is>
          <t>Recebido</t>
        </is>
      </c>
      <c r="O166" t="inlineStr">
        <is>
          <t>Pagamento com Código QR Pix ANA LUCIA RAVAGNANI BIROLI KLIMCZAK</t>
        </is>
      </c>
    </row>
    <row r="167">
      <c r="A167" s="29" t="n">
        <v>46076</v>
      </c>
      <c r="B167" t="n">
        <v>2</v>
      </c>
      <c r="C167" t="n">
        <v>2026</v>
      </c>
      <c r="D167" t="inlineStr">
        <is>
          <t>Studio</t>
        </is>
      </c>
      <c r="E167" t="inlineStr">
        <is>
          <t>Outros</t>
        </is>
      </c>
      <c r="F167" t="inlineStr">
        <is>
          <t>Pagamento Cartão Bradesco</t>
        </is>
      </c>
      <c r="G167" t="inlineStr">
        <is>
          <t>Despesa</t>
        </is>
      </c>
      <c r="H167" s="3" t="n">
        <v>-122.23</v>
      </c>
      <c r="I167" t="inlineStr">
        <is>
          <t>Boleto</t>
        </is>
      </c>
      <c r="J167" t="inlineStr">
        <is>
          <t>Não</t>
        </is>
      </c>
      <c r="K167" t="inlineStr">
        <is>
          <t>Eventual</t>
        </is>
      </c>
      <c r="L167" t="inlineStr"/>
      <c r="M167" t="inlineStr">
        <is>
          <t>Mercado Pago account_statement-d63bf9ec-6c0e-4915-9025-930e0a27c2bb.xlsx</t>
        </is>
      </c>
      <c r="N167" t="inlineStr">
        <is>
          <t>Sem comprovante</t>
        </is>
      </c>
      <c r="O167" t="inlineStr">
        <is>
          <t>Pagamento de conta Banco Bradesco S.A.</t>
        </is>
      </c>
    </row>
    <row r="168">
      <c r="A168" s="29" t="n">
        <v>46077</v>
      </c>
      <c r="B168" t="n">
        <v>2</v>
      </c>
      <c r="C168" t="n">
        <v>2026</v>
      </c>
      <c r="D168" t="inlineStr">
        <is>
          <t>Studio</t>
        </is>
      </c>
      <c r="E168" t="inlineStr">
        <is>
          <t>Receita - Liberação de Crédito</t>
        </is>
      </c>
      <c r="F168" t="inlineStr">
        <is>
          <t>Liberação de Crédito (Studio)</t>
        </is>
      </c>
      <c r="G168" t="inlineStr">
        <is>
          <t>Receita</t>
        </is>
      </c>
      <c r="H168" s="3" t="n">
        <v>743.23</v>
      </c>
      <c r="I168" t="inlineStr">
        <is>
          <t>Outro</t>
        </is>
      </c>
      <c r="J168" t="inlineStr">
        <is>
          <t>Não</t>
        </is>
      </c>
      <c r="K168" t="inlineStr">
        <is>
          <t>Eventual</t>
        </is>
      </c>
      <c r="L168" t="inlineStr"/>
      <c r="M168" t="inlineStr">
        <is>
          <t>Mercado Pago account_statement-d63bf9ec-6c0e-4915-9025-930e0a27c2bb.xlsx</t>
        </is>
      </c>
      <c r="N168" t="inlineStr">
        <is>
          <t>Recebido</t>
        </is>
      </c>
      <c r="O168" t="inlineStr">
        <is>
          <t>Liberação de dinheiro</t>
        </is>
      </c>
    </row>
    <row r="169">
      <c r="A169" s="29" t="n">
        <v>46077</v>
      </c>
      <c r="B169" t="n">
        <v>2</v>
      </c>
      <c r="C169" t="n">
        <v>2026</v>
      </c>
      <c r="D169" t="inlineStr">
        <is>
          <t>Studio</t>
        </is>
      </c>
      <c r="E169" t="inlineStr">
        <is>
          <t>Contas Fixas</t>
        </is>
      </c>
      <c r="F169" t="inlineStr">
        <is>
          <t>Internet / Telecom</t>
        </is>
      </c>
      <c r="G169" t="inlineStr">
        <is>
          <t>Despesa</t>
        </is>
      </c>
      <c r="H169" s="3" t="n">
        <v>-352.79</v>
      </c>
      <c r="I169" t="inlineStr">
        <is>
          <t>Pix</t>
        </is>
      </c>
      <c r="J169" t="inlineStr">
        <is>
          <t>Sim</t>
        </is>
      </c>
      <c r="K169" t="inlineStr">
        <is>
          <t>Mensal</t>
        </is>
      </c>
      <c r="L169" t="inlineStr"/>
      <c r="M169" t="inlineStr">
        <is>
          <t>Mercado Pago account_statement-d63bf9ec-6c0e-4915-9025-930e0a27c2bb.xlsx</t>
        </is>
      </c>
      <c r="N169" t="inlineStr">
        <is>
          <t>Sem comprovante</t>
        </is>
      </c>
      <c r="O169" t="inlineStr">
        <is>
          <t>Pagamento com QR Pix Claro</t>
        </is>
      </c>
    </row>
    <row r="170">
      <c r="A170" s="29" t="n">
        <v>46077</v>
      </c>
      <c r="B170" t="n">
        <v>2</v>
      </c>
      <c r="C170" t="n">
        <v>2026</v>
      </c>
      <c r="D170" t="inlineStr">
        <is>
          <t>Studio</t>
        </is>
      </c>
      <c r="E170" t="inlineStr">
        <is>
          <t>Contas Fixas</t>
        </is>
      </c>
      <c r="F170" t="inlineStr">
        <is>
          <t>Hospedagem / Site</t>
        </is>
      </c>
      <c r="G170" t="inlineStr">
        <is>
          <t>Despesa</t>
        </is>
      </c>
      <c r="H170" s="3" t="n">
        <v>-45.28</v>
      </c>
      <c r="I170" t="inlineStr">
        <is>
          <t>Pix</t>
        </is>
      </c>
      <c r="J170" t="inlineStr">
        <is>
          <t>Sim</t>
        </is>
      </c>
      <c r="K170" t="inlineStr">
        <is>
          <t>Mensal</t>
        </is>
      </c>
      <c r="L170" t="inlineStr">
        <is>
          <t>Site/00000014-PHOTO-2026-02-24-18-03-01.jpg</t>
        </is>
      </c>
      <c r="M170" t="inlineStr">
        <is>
          <t>Mercado Pago account_statement-d63bf9ec-6c0e-4915-9025-930e0a27c2bb.xlsx</t>
        </is>
      </c>
      <c r="N170" t="inlineStr">
        <is>
          <t>Pago</t>
        </is>
      </c>
      <c r="O170" t="inlineStr">
        <is>
          <t>Pagamento com QR Pix HOSTGATOR BRASIL LTDA.</t>
        </is>
      </c>
    </row>
    <row r="171">
      <c r="A171" s="29" t="n">
        <v>46077</v>
      </c>
      <c r="B171" t="n">
        <v>2</v>
      </c>
      <c r="C171" t="n">
        <v>2026</v>
      </c>
      <c r="D171" t="inlineStr">
        <is>
          <t>Studio</t>
        </is>
      </c>
      <c r="E171" t="inlineStr">
        <is>
          <t>Outros</t>
        </is>
      </c>
      <c r="F171" t="inlineStr">
        <is>
          <t>Serviços Online / Domínio</t>
        </is>
      </c>
      <c r="G171" t="inlineStr">
        <is>
          <t>Despesa</t>
        </is>
      </c>
      <c r="H171" s="3" t="n">
        <v>-40</v>
      </c>
      <c r="I171" t="inlineStr">
        <is>
          <t>Pix</t>
        </is>
      </c>
      <c r="J171" t="inlineStr">
        <is>
          <t>Não</t>
        </is>
      </c>
      <c r="K171" t="inlineStr">
        <is>
          <t>Eventual</t>
        </is>
      </c>
      <c r="L171" t="inlineStr"/>
      <c r="M171" t="inlineStr">
        <is>
          <t>Mercado Pago account_statement-d63bf9ec-6c0e-4915-9025-930e0a27c2bb.xlsx</t>
        </is>
      </c>
      <c r="N171" t="inlineStr">
        <is>
          <t>Sem comprovante</t>
        </is>
      </c>
      <c r="O171" t="inlineStr">
        <is>
          <t>Pagamento com QR Pix NUCLEO DE INFORMACAO E COORDENACAO DO PONTO BR - NIC .BR</t>
        </is>
      </c>
    </row>
    <row r="172">
      <c r="A172" s="29" t="n">
        <v>46077</v>
      </c>
      <c r="B172" t="n">
        <v>2</v>
      </c>
      <c r="C172" t="n">
        <v>2026</v>
      </c>
      <c r="D172" t="inlineStr">
        <is>
          <t>Geral</t>
        </is>
      </c>
      <c r="E172" t="inlineStr">
        <is>
          <t>Transferência - Bruno (própria)</t>
        </is>
      </c>
      <c r="F172" t="inlineStr">
        <is>
          <t>Pix Bruno→Bruno (entre contas próprias)</t>
        </is>
      </c>
      <c r="G172" t="inlineStr">
        <is>
          <t>Despesa</t>
        </is>
      </c>
      <c r="H172" s="3" t="n">
        <v>-2000</v>
      </c>
      <c r="I172" t="inlineStr">
        <is>
          <t>Pix</t>
        </is>
      </c>
      <c r="J172" t="inlineStr">
        <is>
          <t>Não</t>
        </is>
      </c>
      <c r="K172" t="inlineStr">
        <is>
          <t>Eventual</t>
        </is>
      </c>
      <c r="L172" t="inlineStr"/>
      <c r="M172" t="inlineStr">
        <is>
          <t>Mercado Pago account_statement-d63bf9ec-6c0e-4915-9025-930e0a27c2bb.xlsx</t>
        </is>
      </c>
      <c r="N172" t="inlineStr">
        <is>
          <t>Sem comprovante</t>
        </is>
      </c>
      <c r="O172" t="inlineStr">
        <is>
          <t>Pix enviado Bruno Porto Seus</t>
        </is>
      </c>
    </row>
    <row r="173">
      <c r="A173" s="29" t="n">
        <v>46077</v>
      </c>
      <c r="B173" t="n">
        <v>2</v>
      </c>
      <c r="C173" t="n">
        <v>2026</v>
      </c>
      <c r="D173" t="inlineStr">
        <is>
          <t>Pessoal</t>
        </is>
      </c>
      <c r="E173" t="inlineStr">
        <is>
          <t>Pessoal</t>
        </is>
      </c>
      <c r="F173" t="inlineStr">
        <is>
          <t>Simone (Casa)</t>
        </is>
      </c>
      <c r="G173" t="inlineStr">
        <is>
          <t>Despesa</t>
        </is>
      </c>
      <c r="H173" s="3" t="n">
        <v>-250</v>
      </c>
      <c r="I173" t="inlineStr">
        <is>
          <t>Pix</t>
        </is>
      </c>
      <c r="J173" t="inlineStr">
        <is>
          <t>Não</t>
        </is>
      </c>
      <c r="K173" t="inlineStr">
        <is>
          <t>Eventual</t>
        </is>
      </c>
      <c r="L173" t="inlineStr">
        <is>
          <t>Simone Casa/00000019-PHOTO-2026-02-24-09-43-37.jpg</t>
        </is>
      </c>
      <c r="M173" t="inlineStr">
        <is>
          <t>Mercado Pago account_statement-d63bf9ec-6c0e-4915-9025-930e0a27c2bb.xlsx</t>
        </is>
      </c>
      <c r="N173" t="inlineStr">
        <is>
          <t>Pago</t>
        </is>
      </c>
      <c r="O173" t="inlineStr">
        <is>
          <t>Pix enviado Simone Muniz Martins de Moura</t>
        </is>
      </c>
    </row>
    <row r="174">
      <c r="A174" s="29" t="n">
        <v>46078</v>
      </c>
      <c r="B174" t="n">
        <v>2</v>
      </c>
      <c r="C174" t="n">
        <v>2026</v>
      </c>
      <c r="D174" t="inlineStr">
        <is>
          <t>Studio</t>
        </is>
      </c>
      <c r="E174" t="inlineStr">
        <is>
          <t>Receita - Liberação de Crédito</t>
        </is>
      </c>
      <c r="F174" t="inlineStr">
        <is>
          <t>Liberação de Crédito (Studio)</t>
        </is>
      </c>
      <c r="G174" t="inlineStr">
        <is>
          <t>Receita</t>
        </is>
      </c>
      <c r="H174" s="3" t="n">
        <v>518.15</v>
      </c>
      <c r="I174" t="inlineStr">
        <is>
          <t>Outro</t>
        </is>
      </c>
      <c r="J174" t="inlineStr">
        <is>
          <t>Não</t>
        </is>
      </c>
      <c r="K174" t="inlineStr">
        <is>
          <t>Eventual</t>
        </is>
      </c>
      <c r="L174" t="inlineStr"/>
      <c r="M174" t="inlineStr">
        <is>
          <t>Mercado Pago account_statement-d63bf9ec-6c0e-4915-9025-930e0a27c2bb.xlsx</t>
        </is>
      </c>
      <c r="N174" t="inlineStr">
        <is>
          <t>Recebido</t>
        </is>
      </c>
      <c r="O174" t="inlineStr">
        <is>
          <t>Liberação de dinheiro</t>
        </is>
      </c>
    </row>
    <row r="175">
      <c r="A175" s="29" t="n">
        <v>46078</v>
      </c>
      <c r="B175" t="n">
        <v>2</v>
      </c>
      <c r="C175" t="n">
        <v>2026</v>
      </c>
      <c r="D175" t="inlineStr">
        <is>
          <t>Studio</t>
        </is>
      </c>
      <c r="E175" t="inlineStr">
        <is>
          <t>Receita - Liberação de Crédito</t>
        </is>
      </c>
      <c r="F175" t="inlineStr">
        <is>
          <t>Liberação de Crédito (Studio)</t>
        </is>
      </c>
      <c r="G175" t="inlineStr">
        <is>
          <t>Receita</t>
        </is>
      </c>
      <c r="H175" s="3" t="n">
        <v>518.15</v>
      </c>
      <c r="I175" t="inlineStr">
        <is>
          <t>Outro</t>
        </is>
      </c>
      <c r="J175" t="inlineStr">
        <is>
          <t>Não</t>
        </is>
      </c>
      <c r="K175" t="inlineStr">
        <is>
          <t>Eventual</t>
        </is>
      </c>
      <c r="L175" t="inlineStr"/>
      <c r="M175" t="inlineStr">
        <is>
          <t>Mercado Pago account_statement-d63bf9ec-6c0e-4915-9025-930e0a27c2bb.xlsx</t>
        </is>
      </c>
      <c r="N175" t="inlineStr">
        <is>
          <t>Recebido</t>
        </is>
      </c>
      <c r="O175" t="inlineStr">
        <is>
          <t>Liberação de dinheiro</t>
        </is>
      </c>
    </row>
    <row r="176">
      <c r="A176" s="29" t="n">
        <v>46078</v>
      </c>
      <c r="B176" t="n">
        <v>2</v>
      </c>
      <c r="C176" t="n">
        <v>2026</v>
      </c>
      <c r="D176" t="inlineStr">
        <is>
          <t>Studio</t>
        </is>
      </c>
      <c r="E176" t="inlineStr">
        <is>
          <t>Outros</t>
        </is>
      </c>
      <c r="F176" t="inlineStr">
        <is>
          <t>Pix recebido cliente Studio</t>
        </is>
      </c>
      <c r="G176" t="inlineStr">
        <is>
          <t>Receita</t>
        </is>
      </c>
      <c r="H176" s="3" t="n">
        <v>59.71</v>
      </c>
      <c r="I176" t="inlineStr">
        <is>
          <t>Pix</t>
        </is>
      </c>
      <c r="J176" t="inlineStr">
        <is>
          <t>Não</t>
        </is>
      </c>
      <c r="K176" t="inlineStr">
        <is>
          <t>Eventual</t>
        </is>
      </c>
      <c r="L176" t="inlineStr"/>
      <c r="M176" t="inlineStr">
        <is>
          <t>Mercado Pago account_statement-d63bf9ec-6c0e-4915-9025-930e0a27c2bb.xlsx</t>
        </is>
      </c>
      <c r="N176" t="inlineStr">
        <is>
          <t>Recebido</t>
        </is>
      </c>
      <c r="O176" t="inlineStr">
        <is>
          <t>Pagamento com Código QR Pix SOULI TEREZINHA BASTOS DE BARROS</t>
        </is>
      </c>
    </row>
    <row r="177">
      <c r="A177" s="29" t="n">
        <v>46078</v>
      </c>
      <c r="B177" t="n">
        <v>2</v>
      </c>
      <c r="C177" t="n">
        <v>2026</v>
      </c>
      <c r="D177" t="inlineStr">
        <is>
          <t>Studio</t>
        </is>
      </c>
      <c r="E177" t="inlineStr">
        <is>
          <t>Pessoal</t>
        </is>
      </c>
      <c r="F177" t="inlineStr">
        <is>
          <t>Eliane</t>
        </is>
      </c>
      <c r="G177" t="inlineStr">
        <is>
          <t>Despesa</t>
        </is>
      </c>
      <c r="H177" s="3" t="n">
        <v>-136</v>
      </c>
      <c r="I177" t="inlineStr">
        <is>
          <t>Pix</t>
        </is>
      </c>
      <c r="J177" t="inlineStr">
        <is>
          <t>Não</t>
        </is>
      </c>
      <c r="K177" t="inlineStr">
        <is>
          <t>Eventual</t>
        </is>
      </c>
      <c r="L177" t="inlineStr"/>
      <c r="M177" t="inlineStr">
        <is>
          <t>Mercado Pago account_statement-d63bf9ec-6c0e-4915-9025-930e0a27c2bb.xlsx</t>
        </is>
      </c>
      <c r="N177" t="inlineStr">
        <is>
          <t>Sem comprovante</t>
        </is>
      </c>
      <c r="O177" t="inlineStr">
        <is>
          <t>Pix enviado Eliane do Rocio de Lima</t>
        </is>
      </c>
    </row>
    <row r="178">
      <c r="A178" s="29" t="n">
        <v>46079</v>
      </c>
      <c r="B178" t="n">
        <v>2</v>
      </c>
      <c r="C178" t="n">
        <v>2026</v>
      </c>
      <c r="D178" t="inlineStr">
        <is>
          <t>Studio</t>
        </is>
      </c>
      <c r="E178" t="inlineStr">
        <is>
          <t>Receita - Liberação de Crédito</t>
        </is>
      </c>
      <c r="F178" t="inlineStr">
        <is>
          <t>Liberação de Crédito (Studio)</t>
        </is>
      </c>
      <c r="G178" t="inlineStr">
        <is>
          <t>Receita</t>
        </is>
      </c>
      <c r="H178" s="3" t="n">
        <v>502.31</v>
      </c>
      <c r="I178" t="inlineStr">
        <is>
          <t>Outro</t>
        </is>
      </c>
      <c r="J178" t="inlineStr">
        <is>
          <t>Não</t>
        </is>
      </c>
      <c r="K178" t="inlineStr">
        <is>
          <t>Eventual</t>
        </is>
      </c>
      <c r="L178" t="inlineStr"/>
      <c r="M178" t="inlineStr">
        <is>
          <t>Mercado Pago account_statement-d63bf9ec-6c0e-4915-9025-930e0a27c2bb.xlsx</t>
        </is>
      </c>
      <c r="N178" t="inlineStr">
        <is>
          <t>Recebido</t>
        </is>
      </c>
      <c r="O178" t="inlineStr">
        <is>
          <t>Liberação de dinheiro</t>
        </is>
      </c>
    </row>
    <row r="179">
      <c r="A179" s="29" t="n">
        <v>46079</v>
      </c>
      <c r="B179" t="n">
        <v>2</v>
      </c>
      <c r="C179" t="n">
        <v>2026</v>
      </c>
      <c r="D179" t="inlineStr">
        <is>
          <t>Studio</t>
        </is>
      </c>
      <c r="E179" t="inlineStr">
        <is>
          <t>Receita - Liberação de Crédito</t>
        </is>
      </c>
      <c r="F179" t="inlineStr">
        <is>
          <t>Liberação de Crédito (Studio)</t>
        </is>
      </c>
      <c r="G179" t="inlineStr">
        <is>
          <t>Receita</t>
        </is>
      </c>
      <c r="H179" s="3" t="n">
        <v>1197.4</v>
      </c>
      <c r="I179" t="inlineStr">
        <is>
          <t>Outro</t>
        </is>
      </c>
      <c r="J179" t="inlineStr">
        <is>
          <t>Não</t>
        </is>
      </c>
      <c r="K179" t="inlineStr">
        <is>
          <t>Eventual</t>
        </is>
      </c>
      <c r="L179" t="inlineStr"/>
      <c r="M179" t="inlineStr">
        <is>
          <t>Mercado Pago account_statement-d63bf9ec-6c0e-4915-9025-930e0a27c2bb.xlsx</t>
        </is>
      </c>
      <c r="N179" t="inlineStr">
        <is>
          <t>Recebido</t>
        </is>
      </c>
      <c r="O179" t="inlineStr">
        <is>
          <t>Liberação de dinheiro</t>
        </is>
      </c>
    </row>
    <row r="180">
      <c r="A180" s="29" t="n">
        <v>46079</v>
      </c>
      <c r="B180" t="n">
        <v>2</v>
      </c>
      <c r="C180" t="n">
        <v>2026</v>
      </c>
      <c r="D180" t="inlineStr">
        <is>
          <t>Geral</t>
        </is>
      </c>
      <c r="E180" t="inlineStr">
        <is>
          <t>Outros</t>
        </is>
      </c>
      <c r="F180" t="inlineStr">
        <is>
          <t>Transferência Pix Enviada</t>
        </is>
      </c>
      <c r="G180" t="inlineStr">
        <is>
          <t>Despesa</t>
        </is>
      </c>
      <c r="H180" s="3" t="n">
        <v>-596</v>
      </c>
      <c r="I180" t="inlineStr">
        <is>
          <t>Pix</t>
        </is>
      </c>
      <c r="J180" t="inlineStr">
        <is>
          <t>Não</t>
        </is>
      </c>
      <c r="K180" t="inlineStr">
        <is>
          <t>Eventual</t>
        </is>
      </c>
      <c r="L180" t="inlineStr"/>
      <c r="M180" t="inlineStr">
        <is>
          <t>Mercado Pago account_statement-d63bf9ec-6c0e-4915-9025-930e0a27c2bb.xlsx</t>
        </is>
      </c>
      <c r="N180" t="inlineStr">
        <is>
          <t>Sem comprovante</t>
        </is>
      </c>
      <c r="O180" t="inlineStr">
        <is>
          <t>Pix enviado Leonardo Munhoz Lucio</t>
        </is>
      </c>
    </row>
    <row r="181">
      <c r="A181" s="29" t="n">
        <v>46079</v>
      </c>
      <c r="B181" t="n">
        <v>2</v>
      </c>
      <c r="C181" t="n">
        <v>2026</v>
      </c>
      <c r="D181" t="inlineStr">
        <is>
          <t>Studio</t>
        </is>
      </c>
      <c r="E181" t="inlineStr">
        <is>
          <t>Receita - Denise (Salão)</t>
        </is>
      </c>
      <c r="F181" t="inlineStr">
        <is>
          <t>Depósito recebido de Denise / Salão</t>
        </is>
      </c>
      <c r="G181" t="inlineStr">
        <is>
          <t>Receita</t>
        </is>
      </c>
      <c r="H181" s="3" t="n">
        <v>1300</v>
      </c>
      <c r="I181" t="inlineStr">
        <is>
          <t>Pix</t>
        </is>
      </c>
      <c r="J181" t="inlineStr">
        <is>
          <t>Não</t>
        </is>
      </c>
      <c r="K181" t="inlineStr">
        <is>
          <t>Eventual</t>
        </is>
      </c>
      <c r="L181" t="inlineStr"/>
      <c r="M181" t="inlineStr">
        <is>
          <t>Mercado Pago account_statement-d63bf9ec-6c0e-4915-9025-930e0a27c2bb.xlsx</t>
        </is>
      </c>
      <c r="N181" t="inlineStr">
        <is>
          <t>Recebido</t>
        </is>
      </c>
      <c r="O181" t="inlineStr">
        <is>
          <t>Pix recebido DENISE DE PAULA</t>
        </is>
      </c>
    </row>
    <row r="182">
      <c r="A182" s="29" t="n">
        <v>46080</v>
      </c>
      <c r="B182" t="n">
        <v>2</v>
      </c>
      <c r="C182" t="n">
        <v>2026</v>
      </c>
      <c r="D182" t="inlineStr">
        <is>
          <t>Studio</t>
        </is>
      </c>
      <c r="E182" t="inlineStr">
        <is>
          <t>Receita - Outros</t>
        </is>
      </c>
      <c r="F182" t="inlineStr">
        <is>
          <t>Receita não categorizada</t>
        </is>
      </c>
      <c r="G182" t="inlineStr">
        <is>
          <t>Receita</t>
        </is>
      </c>
      <c r="H182" s="3" t="n">
        <v>567.21</v>
      </c>
      <c r="I182" t="inlineStr">
        <is>
          <t>Pix</t>
        </is>
      </c>
      <c r="J182" t="inlineStr">
        <is>
          <t>Não</t>
        </is>
      </c>
      <c r="K182" t="inlineStr">
        <is>
          <t>Eventual</t>
        </is>
      </c>
      <c r="L182" t="inlineStr"/>
      <c r="M182" t="inlineStr">
        <is>
          <t>Mercado Pago account_statement-d63bf9ec-6c0e-4915-9025-930e0a27c2bb.xlsx</t>
        </is>
      </c>
      <c r="N182" t="inlineStr">
        <is>
          <t>Recebido</t>
        </is>
      </c>
      <c r="O182" t="inlineStr">
        <is>
          <t>Pagamento com Código QR Pix ATENTOUR TRAVEL OPERADORA TURISTICA LTDA</t>
        </is>
      </c>
    </row>
    <row r="183">
      <c r="A183" s="29" t="n">
        <v>46080</v>
      </c>
      <c r="B183" t="n">
        <v>2</v>
      </c>
      <c r="C183" t="n">
        <v>2026</v>
      </c>
      <c r="D183" t="inlineStr">
        <is>
          <t>Geral</t>
        </is>
      </c>
      <c r="E183" t="inlineStr">
        <is>
          <t>Outros</t>
        </is>
      </c>
      <c r="F183" t="inlineStr">
        <is>
          <t>Transferência Pix Enviada</t>
        </is>
      </c>
      <c r="G183" t="inlineStr">
        <is>
          <t>Despesa</t>
        </is>
      </c>
      <c r="H183" s="3" t="n">
        <v>-300</v>
      </c>
      <c r="I183" t="inlineStr">
        <is>
          <t>Pix</t>
        </is>
      </c>
      <c r="J183" t="inlineStr">
        <is>
          <t>Não</t>
        </is>
      </c>
      <c r="K183" t="inlineStr">
        <is>
          <t>Eventual</t>
        </is>
      </c>
      <c r="L183" t="inlineStr"/>
      <c r="M183" t="inlineStr">
        <is>
          <t>Mercado Pago account_statement-d63bf9ec-6c0e-4915-9025-930e0a27c2bb.xlsx</t>
        </is>
      </c>
      <c r="N183" t="inlineStr">
        <is>
          <t>Sem comprovante</t>
        </is>
      </c>
      <c r="O183" t="inlineStr">
        <is>
          <t>Pix enviado Alana Mariana Miranda</t>
        </is>
      </c>
    </row>
    <row r="184">
      <c r="A184" s="29" t="n">
        <v>46080</v>
      </c>
      <c r="B184" t="n">
        <v>2</v>
      </c>
      <c r="C184" t="n">
        <v>2026</v>
      </c>
      <c r="D184" t="inlineStr">
        <is>
          <t>Studio</t>
        </is>
      </c>
      <c r="E184" t="inlineStr">
        <is>
          <t>Pessoal</t>
        </is>
      </c>
      <c r="F184" t="inlineStr">
        <is>
          <t>Analice</t>
        </is>
      </c>
      <c r="G184" t="inlineStr">
        <is>
          <t>Despesa</t>
        </is>
      </c>
      <c r="H184" s="3" t="n">
        <v>-700</v>
      </c>
      <c r="I184" t="inlineStr">
        <is>
          <t>Pix</t>
        </is>
      </c>
      <c r="J184" t="inlineStr">
        <is>
          <t>Não</t>
        </is>
      </c>
      <c r="K184" t="inlineStr">
        <is>
          <t>Eventual</t>
        </is>
      </c>
      <c r="L184" t="inlineStr"/>
      <c r="M184" t="inlineStr">
        <is>
          <t>Mercado Pago account_statement-d63bf9ec-6c0e-4915-9025-930e0a27c2bb.xlsx</t>
        </is>
      </c>
      <c r="N184" t="inlineStr">
        <is>
          <t>Sem comprovante</t>
        </is>
      </c>
      <c r="O184" t="inlineStr">
        <is>
          <t>Pix enviado Analice Souza Pinheiro</t>
        </is>
      </c>
    </row>
    <row r="185">
      <c r="A185" s="29" t="n">
        <v>46080</v>
      </c>
      <c r="B185" t="n">
        <v>2</v>
      </c>
      <c r="C185" t="n">
        <v>2026</v>
      </c>
      <c r="D185" t="inlineStr">
        <is>
          <t>Geral</t>
        </is>
      </c>
      <c r="E185" t="inlineStr">
        <is>
          <t>Transferência - Bruno (própria)</t>
        </is>
      </c>
      <c r="F185" t="inlineStr">
        <is>
          <t>Pix Bruno→Bruno (entre contas próprias)</t>
        </is>
      </c>
      <c r="G185" t="inlineStr">
        <is>
          <t>Despesa</t>
        </is>
      </c>
      <c r="H185" s="3" t="n">
        <v>-500</v>
      </c>
      <c r="I185" t="inlineStr">
        <is>
          <t>Pix</t>
        </is>
      </c>
      <c r="J185" t="inlineStr">
        <is>
          <t>Não</t>
        </is>
      </c>
      <c r="K185" t="inlineStr">
        <is>
          <t>Eventual</t>
        </is>
      </c>
      <c r="L185" t="inlineStr"/>
      <c r="M185" t="inlineStr">
        <is>
          <t>Mercado Pago account_statement-d63bf9ec-6c0e-4915-9025-930e0a27c2bb.xlsx</t>
        </is>
      </c>
      <c r="N185" t="inlineStr">
        <is>
          <t>Sem comprovante</t>
        </is>
      </c>
      <c r="O185" t="inlineStr">
        <is>
          <t>Pix enviado Bruno Porto Seus</t>
        </is>
      </c>
    </row>
    <row r="186">
      <c r="A186" s="29" t="n">
        <v>46080</v>
      </c>
      <c r="B186" t="n">
        <v>2</v>
      </c>
      <c r="C186" t="n">
        <v>2026</v>
      </c>
      <c r="D186" t="inlineStr">
        <is>
          <t>Studio</t>
        </is>
      </c>
      <c r="E186" t="inlineStr">
        <is>
          <t>Pessoal</t>
        </is>
      </c>
      <c r="F186" t="inlineStr">
        <is>
          <t>Marco</t>
        </is>
      </c>
      <c r="G186" t="inlineStr">
        <is>
          <t>Despesa</t>
        </is>
      </c>
      <c r="H186" s="3" t="n">
        <v>-473.39</v>
      </c>
      <c r="I186" t="inlineStr">
        <is>
          <t>Pix</t>
        </is>
      </c>
      <c r="J186" t="inlineStr">
        <is>
          <t>Não</t>
        </is>
      </c>
      <c r="K186" t="inlineStr">
        <is>
          <t>Eventual</t>
        </is>
      </c>
      <c r="L186" t="inlineStr"/>
      <c r="M186" t="inlineStr">
        <is>
          <t>Mercado Pago account_statement-d63bf9ec-6c0e-4915-9025-930e0a27c2bb.xlsx</t>
        </is>
      </c>
      <c r="N186" t="inlineStr">
        <is>
          <t>Sem comprovante</t>
        </is>
      </c>
      <c r="O186" t="inlineStr">
        <is>
          <t>Pix enviado Marco Aurelio de Moura Leite</t>
        </is>
      </c>
    </row>
    <row r="187">
      <c r="A187" s="29" t="n">
        <v>46080</v>
      </c>
      <c r="B187" t="n">
        <v>2</v>
      </c>
      <c r="C187" t="n">
        <v>2026</v>
      </c>
      <c r="D187" t="inlineStr">
        <is>
          <t>Studio</t>
        </is>
      </c>
      <c r="E187" t="inlineStr">
        <is>
          <t>Pessoal</t>
        </is>
      </c>
      <c r="F187" t="inlineStr">
        <is>
          <t>Neemias</t>
        </is>
      </c>
      <c r="G187" t="inlineStr">
        <is>
          <t>Despesa</t>
        </is>
      </c>
      <c r="H187" s="3" t="n">
        <v>-330</v>
      </c>
      <c r="I187" t="inlineStr">
        <is>
          <t>Pix</t>
        </is>
      </c>
      <c r="J187" t="inlineStr">
        <is>
          <t>Não</t>
        </is>
      </c>
      <c r="K187" t="inlineStr">
        <is>
          <t>Eventual</t>
        </is>
      </c>
      <c r="L187" t="inlineStr"/>
      <c r="M187" t="inlineStr">
        <is>
          <t>Mercado Pago account_statement-d63bf9ec-6c0e-4915-9025-930e0a27c2bb.xlsx</t>
        </is>
      </c>
      <c r="N187" t="inlineStr">
        <is>
          <t>Sem comprovante</t>
        </is>
      </c>
      <c r="O187" t="inlineStr">
        <is>
          <t>Pix enviado Neemias Marques de Oliveira</t>
        </is>
      </c>
    </row>
    <row r="188">
      <c r="A188" s="29" t="n">
        <v>46082</v>
      </c>
      <c r="B188" t="n">
        <v>3</v>
      </c>
      <c r="C188" t="n">
        <v>2026</v>
      </c>
      <c r="D188" t="inlineStr">
        <is>
          <t>Pessoal</t>
        </is>
      </c>
      <c r="E188" t="inlineStr">
        <is>
          <t>Contas Variáveis</t>
        </is>
      </c>
      <c r="F188" t="inlineStr">
        <is>
          <t>Compra no débito</t>
        </is>
      </c>
      <c r="G188" t="inlineStr">
        <is>
          <t>Despesa</t>
        </is>
      </c>
      <c r="H188" s="3" t="n">
        <v>-7</v>
      </c>
      <c r="I188" t="inlineStr">
        <is>
          <t>Débito</t>
        </is>
      </c>
      <c r="J188" t="inlineStr">
        <is>
          <t>Não</t>
        </is>
      </c>
      <c r="K188" t="inlineStr">
        <is>
          <t>Eventual</t>
        </is>
      </c>
      <c r="L188" t="inlineStr"/>
      <c r="M188" t="inlineStr">
        <is>
          <t>Nubank NU_370124875_01MAR2026_31MAR2026.csv</t>
        </is>
      </c>
      <c r="N188" t="inlineStr">
        <is>
          <t>Sem comprovante</t>
        </is>
      </c>
      <c r="O188" t="inlineStr">
        <is>
          <t>Compra no débito - ARMAZEM GARAGEM BAR</t>
        </is>
      </c>
    </row>
    <row r="189">
      <c r="A189" s="29" t="n">
        <v>46082</v>
      </c>
      <c r="B189" t="n">
        <v>3</v>
      </c>
      <c r="C189" t="n">
        <v>2026</v>
      </c>
      <c r="D189" t="inlineStr">
        <is>
          <t>Pessoal</t>
        </is>
      </c>
      <c r="E189" t="inlineStr">
        <is>
          <t>Contas Variáveis</t>
        </is>
      </c>
      <c r="F189" t="inlineStr">
        <is>
          <t>iFood</t>
        </is>
      </c>
      <c r="G189" t="inlineStr">
        <is>
          <t>Despesa</t>
        </is>
      </c>
      <c r="H189" s="3" t="n">
        <v>-77.98999999999999</v>
      </c>
      <c r="I189" t="inlineStr">
        <is>
          <t>Pix</t>
        </is>
      </c>
      <c r="J189" t="inlineStr">
        <is>
          <t>Não</t>
        </is>
      </c>
      <c r="K189" t="inlineStr">
        <is>
          <t>Eventual</t>
        </is>
      </c>
      <c r="L189" t="inlineStr"/>
      <c r="M189" t="inlineStr">
        <is>
          <t>Mercado Pago account_statement-8f96e9be-cdd7-4687-acae-7eb11216a39b.xlsx</t>
        </is>
      </c>
      <c r="N189" t="inlineStr">
        <is>
          <t>Sem comprovante</t>
        </is>
      </c>
      <c r="O189" t="inlineStr">
        <is>
          <t>Pagamento com QR Pix IFOOD.COM AGENCIA DE RESTAURANTES ONLINE S.A.</t>
        </is>
      </c>
    </row>
    <row r="190">
      <c r="A190" s="29" t="n">
        <v>46083</v>
      </c>
      <c r="B190" t="n">
        <v>3</v>
      </c>
      <c r="C190" t="n">
        <v>2026</v>
      </c>
      <c r="D190" t="inlineStr">
        <is>
          <t>Studio</t>
        </is>
      </c>
      <c r="E190" t="inlineStr">
        <is>
          <t>Outros</t>
        </is>
      </c>
      <c r="F190" t="inlineStr">
        <is>
          <t>Pagamento Cartão Nubank</t>
        </is>
      </c>
      <c r="G190" t="inlineStr">
        <is>
          <t>Despesa</t>
        </is>
      </c>
      <c r="H190" s="3" t="n">
        <v>-2211.82</v>
      </c>
      <c r="I190" t="inlineStr">
        <is>
          <t>Pix</t>
        </is>
      </c>
      <c r="J190" t="inlineStr">
        <is>
          <t>Não</t>
        </is>
      </c>
      <c r="K190" t="inlineStr">
        <is>
          <t>Eventual</t>
        </is>
      </c>
      <c r="L190" t="inlineStr"/>
      <c r="M190" t="inlineStr">
        <is>
          <t>Mercado Pago account_statement-8f96e9be-cdd7-4687-acae-7eb11216a39b.xlsx</t>
        </is>
      </c>
      <c r="N190" t="inlineStr">
        <is>
          <t>Sem comprovante</t>
        </is>
      </c>
      <c r="O190" t="inlineStr">
        <is>
          <t>Pagamento com QR Pix NU PAGAMENTOS SA</t>
        </is>
      </c>
    </row>
    <row r="191">
      <c r="A191" s="29" t="n">
        <v>46083</v>
      </c>
      <c r="B191" t="n">
        <v>3</v>
      </c>
      <c r="C191" t="n">
        <v>2026</v>
      </c>
      <c r="D191" t="inlineStr">
        <is>
          <t>Geral</t>
        </is>
      </c>
      <c r="E191" t="inlineStr">
        <is>
          <t>Contas Fixas</t>
        </is>
      </c>
      <c r="F191" t="inlineStr">
        <is>
          <t>Assinatura Meli+</t>
        </is>
      </c>
      <c r="G191" t="inlineStr">
        <is>
          <t>Despesa</t>
        </is>
      </c>
      <c r="H191" s="3" t="n">
        <v>-9.9</v>
      </c>
      <c r="I191" t="inlineStr">
        <is>
          <t>Outro</t>
        </is>
      </c>
      <c r="J191" t="inlineStr">
        <is>
          <t>Sim</t>
        </is>
      </c>
      <c r="K191" t="inlineStr">
        <is>
          <t>Mensal</t>
        </is>
      </c>
      <c r="L191" t="inlineStr"/>
      <c r="M191" t="inlineStr">
        <is>
          <t>Mercado Pago account_statement-8f96e9be-cdd7-4687-acae-7eb11216a39b.xlsx</t>
        </is>
      </c>
      <c r="N191" t="inlineStr">
        <is>
          <t>Sem comprovante</t>
        </is>
      </c>
      <c r="O191" t="inlineStr">
        <is>
          <t>Pagamento de assinatura Meli+</t>
        </is>
      </c>
    </row>
    <row r="192">
      <c r="A192" s="29" t="n">
        <v>46083</v>
      </c>
      <c r="B192" t="n">
        <v>3</v>
      </c>
      <c r="C192" t="n">
        <v>2026</v>
      </c>
      <c r="D192" t="inlineStr">
        <is>
          <t>Geral</t>
        </is>
      </c>
      <c r="E192" t="inlineStr">
        <is>
          <t>Outros</t>
        </is>
      </c>
      <c r="F192" t="inlineStr">
        <is>
          <t>Pagamento Caixa</t>
        </is>
      </c>
      <c r="G192" t="inlineStr">
        <is>
          <t>Despesa</t>
        </is>
      </c>
      <c r="H192" s="3" t="n">
        <v>-2088.85</v>
      </c>
      <c r="I192" t="inlineStr">
        <is>
          <t>Boleto</t>
        </is>
      </c>
      <c r="J192" t="inlineStr">
        <is>
          <t>Não</t>
        </is>
      </c>
      <c r="K192" t="inlineStr">
        <is>
          <t>Eventual</t>
        </is>
      </c>
      <c r="L192" t="inlineStr"/>
      <c r="M192" t="inlineStr">
        <is>
          <t>Mercado Pago account_statement-8f96e9be-cdd7-4687-acae-7eb11216a39b.xlsx</t>
        </is>
      </c>
      <c r="N192" t="inlineStr">
        <is>
          <t>Sem comprovante</t>
        </is>
      </c>
      <c r="O192" t="inlineStr">
        <is>
          <t>Pagamento de conta Caixa Econômica Federal</t>
        </is>
      </c>
    </row>
    <row r="193">
      <c r="A193" s="29" t="n">
        <v>46083</v>
      </c>
      <c r="B193" t="n">
        <v>3</v>
      </c>
      <c r="C193" t="n">
        <v>2026</v>
      </c>
      <c r="D193" t="inlineStr">
        <is>
          <t>Studio</t>
        </is>
      </c>
      <c r="E193" t="inlineStr">
        <is>
          <t>Contas Fixas</t>
        </is>
      </c>
      <c r="F193" t="inlineStr">
        <is>
          <t>Condomínio</t>
        </is>
      </c>
      <c r="G193" t="inlineStr">
        <is>
          <t>Despesa</t>
        </is>
      </c>
      <c r="H193" s="3" t="n">
        <v>-1002.32</v>
      </c>
      <c r="I193" t="inlineStr">
        <is>
          <t>Pix</t>
        </is>
      </c>
      <c r="J193" t="inlineStr">
        <is>
          <t>Sim</t>
        </is>
      </c>
      <c r="K193" t="inlineStr">
        <is>
          <t>Mensal</t>
        </is>
      </c>
      <c r="L193" t="inlineStr"/>
      <c r="M193" t="inlineStr">
        <is>
          <t>Mercado Pago account_statement-8f96e9be-cdd7-4687-acae-7eb11216a39b.xlsx</t>
        </is>
      </c>
      <c r="N193" t="inlineStr">
        <is>
          <t>Sem comprovante</t>
        </is>
      </c>
      <c r="O193" t="inlineStr">
        <is>
          <t>Pix enviado Condominio Edificio Comercial Pinheiro Lima</t>
        </is>
      </c>
    </row>
    <row r="194">
      <c r="A194" s="29" t="n">
        <v>46084</v>
      </c>
      <c r="B194" t="n">
        <v>3</v>
      </c>
      <c r="C194" t="n">
        <v>2026</v>
      </c>
      <c r="D194" t="inlineStr">
        <is>
          <t>Studio</t>
        </is>
      </c>
      <c r="E194" t="inlineStr">
        <is>
          <t>Receita - Liberação de Crédito</t>
        </is>
      </c>
      <c r="F194" t="inlineStr">
        <is>
          <t>Liberação de Crédito (Studio)</t>
        </is>
      </c>
      <c r="G194" t="inlineStr">
        <is>
          <t>Receita</t>
        </is>
      </c>
      <c r="H194" s="3" t="n">
        <v>492.61</v>
      </c>
      <c r="I194" t="inlineStr">
        <is>
          <t>Outro</t>
        </is>
      </c>
      <c r="J194" t="inlineStr">
        <is>
          <t>Não</t>
        </is>
      </c>
      <c r="K194" t="inlineStr">
        <is>
          <t>Eventual</t>
        </is>
      </c>
      <c r="L194" t="inlineStr"/>
      <c r="M194" t="inlineStr">
        <is>
          <t>Mercado Pago account_statement-8f96e9be-cdd7-4687-acae-7eb11216a39b.xlsx</t>
        </is>
      </c>
      <c r="N194" t="inlineStr">
        <is>
          <t>Recebido</t>
        </is>
      </c>
      <c r="O194" t="inlineStr">
        <is>
          <t>Liberação de dinheiro</t>
        </is>
      </c>
    </row>
    <row r="195">
      <c r="A195" s="29" t="n">
        <v>46084</v>
      </c>
      <c r="B195" t="n">
        <v>3</v>
      </c>
      <c r="C195" t="n">
        <v>2026</v>
      </c>
      <c r="D195" t="inlineStr">
        <is>
          <t>Geral</t>
        </is>
      </c>
      <c r="E195" t="inlineStr">
        <is>
          <t>Outros</t>
        </is>
      </c>
      <c r="F195" t="inlineStr">
        <is>
          <t>Serviço Médico</t>
        </is>
      </c>
      <c r="G195" t="inlineStr">
        <is>
          <t>Receita</t>
        </is>
      </c>
      <c r="H195" s="3" t="n">
        <v>661.74</v>
      </c>
      <c r="I195" t="inlineStr">
        <is>
          <t>Pix</t>
        </is>
      </c>
      <c r="J195" t="inlineStr">
        <is>
          <t>Não</t>
        </is>
      </c>
      <c r="K195" t="inlineStr">
        <is>
          <t>Eventual</t>
        </is>
      </c>
      <c r="L195" t="inlineStr"/>
      <c r="M195" t="inlineStr">
        <is>
          <t>Mercado Pago account_statement-8f96e9be-cdd7-4687-acae-7eb11216a39b.xlsx</t>
        </is>
      </c>
      <c r="N195" t="inlineStr">
        <is>
          <t>Recebido</t>
        </is>
      </c>
      <c r="O195" t="inlineStr">
        <is>
          <t>Pagamento com Código QR Pix VET SAUDE BUCAL CLINICA VETERINARIA ODONTOLOGICA</t>
        </is>
      </c>
    </row>
    <row r="196">
      <c r="A196" s="29" t="n">
        <v>46084</v>
      </c>
      <c r="B196" t="n">
        <v>3</v>
      </c>
      <c r="C196" t="n">
        <v>2026</v>
      </c>
      <c r="D196" t="inlineStr">
        <is>
          <t>Studio</t>
        </is>
      </c>
      <c r="E196" t="inlineStr">
        <is>
          <t>Impostos</t>
        </is>
      </c>
      <c r="F196" t="inlineStr">
        <is>
          <t>Tributo / Guia</t>
        </is>
      </c>
      <c r="G196" t="inlineStr">
        <is>
          <t>Despesa</t>
        </is>
      </c>
      <c r="H196" s="3" t="n">
        <v>-550</v>
      </c>
      <c r="I196" t="inlineStr">
        <is>
          <t>Boleto</t>
        </is>
      </c>
      <c r="J196" t="inlineStr">
        <is>
          <t>Não</t>
        </is>
      </c>
      <c r="K196" t="inlineStr">
        <is>
          <t>Eventual</t>
        </is>
      </c>
      <c r="L196" t="inlineStr"/>
      <c r="M196" t="inlineStr">
        <is>
          <t>Mercado Pago account_statement-8f96e9be-cdd7-4687-acae-7eb11216a39b.xlsx</t>
        </is>
      </c>
      <c r="N196" t="inlineStr">
        <is>
          <t>Sem comprovante</t>
        </is>
      </c>
      <c r="O196" t="inlineStr">
        <is>
          <t>Pagamento de conta Confederação Nacional das Cooperativas Centrais de Crédito e Ec...</t>
        </is>
      </c>
    </row>
    <row r="197">
      <c r="A197" s="29" t="n">
        <v>46085</v>
      </c>
      <c r="B197" t="n">
        <v>3</v>
      </c>
      <c r="C197" t="n">
        <v>2026</v>
      </c>
      <c r="D197" t="inlineStr">
        <is>
          <t>Geral</t>
        </is>
      </c>
      <c r="E197" t="inlineStr">
        <is>
          <t>Contas Fixas</t>
        </is>
      </c>
      <c r="F197" t="inlineStr">
        <is>
          <t>Assinatura Spotify</t>
        </is>
      </c>
      <c r="G197" t="inlineStr">
        <is>
          <t>Despesa</t>
        </is>
      </c>
      <c r="H197" s="3" t="n">
        <v>-40.9</v>
      </c>
      <c r="I197" t="inlineStr">
        <is>
          <t>Débito</t>
        </is>
      </c>
      <c r="J197" t="inlineStr">
        <is>
          <t>Sim</t>
        </is>
      </c>
      <c r="K197" t="inlineStr">
        <is>
          <t>Mensal</t>
        </is>
      </c>
      <c r="L197" t="inlineStr"/>
      <c r="M197" t="inlineStr">
        <is>
          <t>Nubank NU_370124875_01MAR2026_31MAR2026.csv</t>
        </is>
      </c>
      <c r="N197" t="inlineStr">
        <is>
          <t>Sem comprovante</t>
        </is>
      </c>
      <c r="O197" t="inlineStr">
        <is>
          <t>Compra no débito via NuPay - EBW*Spotify</t>
        </is>
      </c>
    </row>
    <row r="198">
      <c r="A198" s="29" t="n">
        <v>46085</v>
      </c>
      <c r="B198" t="n">
        <v>3</v>
      </c>
      <c r="C198" t="n">
        <v>2026</v>
      </c>
      <c r="D198" t="inlineStr">
        <is>
          <t>Studio</t>
        </is>
      </c>
      <c r="E198" t="inlineStr">
        <is>
          <t>Receita - Liberação de Crédito</t>
        </is>
      </c>
      <c r="F198" t="inlineStr">
        <is>
          <t>Liberação de Crédito (Studio)</t>
        </is>
      </c>
      <c r="G198" t="inlineStr">
        <is>
          <t>Receita</t>
        </is>
      </c>
      <c r="H198" s="3" t="n">
        <v>493.6</v>
      </c>
      <c r="I198" t="inlineStr">
        <is>
          <t>Outro</t>
        </is>
      </c>
      <c r="J198" t="inlineStr">
        <is>
          <t>Não</t>
        </is>
      </c>
      <c r="K198" t="inlineStr">
        <is>
          <t>Eventual</t>
        </is>
      </c>
      <c r="L198" t="inlineStr"/>
      <c r="M198" t="inlineStr">
        <is>
          <t>Mercado Pago account_statement-8f96e9be-cdd7-4687-acae-7eb11216a39b.xlsx</t>
        </is>
      </c>
      <c r="N198" t="inlineStr">
        <is>
          <t>Recebido</t>
        </is>
      </c>
      <c r="O198" t="inlineStr">
        <is>
          <t>Liberação de dinheiro</t>
        </is>
      </c>
    </row>
    <row r="199">
      <c r="A199" s="29" t="n">
        <v>46085</v>
      </c>
      <c r="B199" t="n">
        <v>3</v>
      </c>
      <c r="C199" t="n">
        <v>2026</v>
      </c>
      <c r="D199" t="inlineStr">
        <is>
          <t>Studio</t>
        </is>
      </c>
      <c r="E199" t="inlineStr">
        <is>
          <t>Receita - Liberação de Crédito</t>
        </is>
      </c>
      <c r="F199" t="inlineStr">
        <is>
          <t>Liberação de Crédito (Studio)</t>
        </is>
      </c>
      <c r="G199" t="inlineStr">
        <is>
          <t>Receita</t>
        </is>
      </c>
      <c r="H199" s="3" t="n">
        <v>148.08</v>
      </c>
      <c r="I199" t="inlineStr">
        <is>
          <t>Outro</t>
        </is>
      </c>
      <c r="J199" t="inlineStr">
        <is>
          <t>Não</t>
        </is>
      </c>
      <c r="K199" t="inlineStr">
        <is>
          <t>Eventual</t>
        </is>
      </c>
      <c r="L199" t="inlineStr"/>
      <c r="M199" t="inlineStr">
        <is>
          <t>Mercado Pago account_statement-8f96e9be-cdd7-4687-acae-7eb11216a39b.xlsx</t>
        </is>
      </c>
      <c r="N199" t="inlineStr">
        <is>
          <t>Recebido</t>
        </is>
      </c>
      <c r="O199" t="inlineStr">
        <is>
          <t>Liberação de dinheiro</t>
        </is>
      </c>
    </row>
    <row r="200">
      <c r="A200" s="29" t="n">
        <v>46085</v>
      </c>
      <c r="B200" t="n">
        <v>3</v>
      </c>
      <c r="C200" t="n">
        <v>2026</v>
      </c>
      <c r="D200" t="inlineStr">
        <is>
          <t>Studio</t>
        </is>
      </c>
      <c r="E200" t="inlineStr">
        <is>
          <t>Receita - Liberação de Crédito</t>
        </is>
      </c>
      <c r="F200" t="inlineStr">
        <is>
          <t>Liberação de Crédito (Studio)</t>
        </is>
      </c>
      <c r="G200" t="inlineStr">
        <is>
          <t>Receita</t>
        </is>
      </c>
      <c r="H200" s="3" t="n">
        <v>59.23</v>
      </c>
      <c r="I200" t="inlineStr">
        <is>
          <t>Outro</t>
        </is>
      </c>
      <c r="J200" t="inlineStr">
        <is>
          <t>Não</t>
        </is>
      </c>
      <c r="K200" t="inlineStr">
        <is>
          <t>Eventual</t>
        </is>
      </c>
      <c r="L200" t="inlineStr"/>
      <c r="M200" t="inlineStr">
        <is>
          <t>Mercado Pago account_statement-8f96e9be-cdd7-4687-acae-7eb11216a39b.xlsx</t>
        </is>
      </c>
      <c r="N200" t="inlineStr">
        <is>
          <t>Recebido</t>
        </is>
      </c>
      <c r="O200" t="inlineStr">
        <is>
          <t>Liberação de dinheiro</t>
        </is>
      </c>
    </row>
    <row r="201">
      <c r="A201" s="29" t="n">
        <v>46085</v>
      </c>
      <c r="B201" t="n">
        <v>3</v>
      </c>
      <c r="C201" t="n">
        <v>2026</v>
      </c>
      <c r="D201" t="inlineStr">
        <is>
          <t>Studio</t>
        </is>
      </c>
      <c r="E201" t="inlineStr">
        <is>
          <t>Contas Fixas</t>
        </is>
      </c>
      <c r="F201" t="inlineStr">
        <is>
          <t>Internet / Telecom</t>
        </is>
      </c>
      <c r="G201" t="inlineStr">
        <is>
          <t>Despesa</t>
        </is>
      </c>
      <c r="H201" s="3" t="n">
        <v>-96.90000000000001</v>
      </c>
      <c r="I201" t="inlineStr">
        <is>
          <t>Pix</t>
        </is>
      </c>
      <c r="J201" t="inlineStr">
        <is>
          <t>Sim</t>
        </is>
      </c>
      <c r="K201" t="inlineStr">
        <is>
          <t>Mensal</t>
        </is>
      </c>
      <c r="L201" t="inlineStr"/>
      <c r="M201" t="inlineStr">
        <is>
          <t>Mercado Pago account_statement-8f96e9be-cdd7-4687-acae-7eb11216a39b.xlsx</t>
        </is>
      </c>
      <c r="N201" t="inlineStr">
        <is>
          <t>Sem comprovante</t>
        </is>
      </c>
      <c r="O201" t="inlineStr">
        <is>
          <t>Pagamento com QR Pix Claro</t>
        </is>
      </c>
    </row>
    <row r="202">
      <c r="A202" s="29" t="n">
        <v>46085</v>
      </c>
      <c r="B202" t="n">
        <v>3</v>
      </c>
      <c r="C202" t="n">
        <v>2026</v>
      </c>
      <c r="D202" t="inlineStr">
        <is>
          <t>Studio</t>
        </is>
      </c>
      <c r="E202" t="inlineStr">
        <is>
          <t>Contas Fixas</t>
        </is>
      </c>
      <c r="F202" t="inlineStr">
        <is>
          <t>Internet / Telecom</t>
        </is>
      </c>
      <c r="G202" t="inlineStr">
        <is>
          <t>Despesa</t>
        </is>
      </c>
      <c r="H202" s="3" t="n">
        <v>-172.03</v>
      </c>
      <c r="I202" t="inlineStr">
        <is>
          <t>Pix</t>
        </is>
      </c>
      <c r="J202" t="inlineStr">
        <is>
          <t>Sim</t>
        </is>
      </c>
      <c r="K202" t="inlineStr">
        <is>
          <t>Mensal</t>
        </is>
      </c>
      <c r="L202" t="inlineStr">
        <is>
          <t>Internet Casa/00000037-comprovante-148889898862.pdf</t>
        </is>
      </c>
      <c r="M202" t="inlineStr">
        <is>
          <t>Mercado Pago account_statement-8f96e9be-cdd7-4687-acae-7eb11216a39b.xlsx</t>
        </is>
      </c>
      <c r="N202" t="inlineStr">
        <is>
          <t>Pago</t>
        </is>
      </c>
      <c r="O202" t="inlineStr">
        <is>
          <t>Pagamento com QR Pix LIGGA TELECOMUNICACOES S.A.</t>
        </is>
      </c>
    </row>
    <row r="203">
      <c r="A203" s="29" t="n">
        <v>46085</v>
      </c>
      <c r="B203" t="n">
        <v>3</v>
      </c>
      <c r="C203" t="n">
        <v>2026</v>
      </c>
      <c r="D203" t="inlineStr">
        <is>
          <t>Geral</t>
        </is>
      </c>
      <c r="E203" t="inlineStr">
        <is>
          <t>Outros</t>
        </is>
      </c>
      <c r="F203" t="inlineStr">
        <is>
          <t>Serviço Médico</t>
        </is>
      </c>
      <c r="G203" t="inlineStr">
        <is>
          <t>Despesa</t>
        </is>
      </c>
      <c r="H203" s="3" t="n">
        <v>-249.9</v>
      </c>
      <c r="I203" t="inlineStr">
        <is>
          <t>Pix</t>
        </is>
      </c>
      <c r="J203" t="inlineStr">
        <is>
          <t>Não</t>
        </is>
      </c>
      <c r="K203" t="inlineStr">
        <is>
          <t>Eventual</t>
        </is>
      </c>
      <c r="L203" t="inlineStr"/>
      <c r="M203" t="inlineStr">
        <is>
          <t>Mercado Pago account_statement-8f96e9be-cdd7-4687-acae-7eb11216a39b.xlsx</t>
        </is>
      </c>
      <c r="N203" t="inlineStr">
        <is>
          <t>Sem comprovante</t>
        </is>
      </c>
      <c r="O203" t="inlineStr">
        <is>
          <t>Pagamento com QR Pix SALVA SERVICOS MEDICOS DE EMERGENCIA LTDA</t>
        </is>
      </c>
    </row>
    <row r="204">
      <c r="A204" s="29" t="n">
        <v>46086</v>
      </c>
      <c r="B204" t="n">
        <v>3</v>
      </c>
      <c r="C204" t="n">
        <v>2026</v>
      </c>
      <c r="D204" t="inlineStr">
        <is>
          <t>Studio</t>
        </is>
      </c>
      <c r="E204" t="inlineStr">
        <is>
          <t>Receita - Liberação de Crédito</t>
        </is>
      </c>
      <c r="F204" t="inlineStr">
        <is>
          <t>Liberação de Crédito (Studio)</t>
        </is>
      </c>
      <c r="G204" t="inlineStr">
        <is>
          <t>Receita</t>
        </is>
      </c>
      <c r="H204" s="3" t="n">
        <v>650.21</v>
      </c>
      <c r="I204" t="inlineStr">
        <is>
          <t>Outro</t>
        </is>
      </c>
      <c r="J204" t="inlineStr">
        <is>
          <t>Não</t>
        </is>
      </c>
      <c r="K204" t="inlineStr">
        <is>
          <t>Eventual</t>
        </is>
      </c>
      <c r="L204" t="inlineStr"/>
      <c r="M204" t="inlineStr">
        <is>
          <t>Mercado Pago account_statement-8f96e9be-cdd7-4687-acae-7eb11216a39b.xlsx</t>
        </is>
      </c>
      <c r="N204" t="inlineStr">
        <is>
          <t>Recebido</t>
        </is>
      </c>
      <c r="O204" t="inlineStr">
        <is>
          <t>Liberação de dinheiro</t>
        </is>
      </c>
    </row>
    <row r="205">
      <c r="A205" s="29" t="n">
        <v>46086</v>
      </c>
      <c r="B205" t="n">
        <v>3</v>
      </c>
      <c r="C205" t="n">
        <v>2026</v>
      </c>
      <c r="D205" t="inlineStr">
        <is>
          <t>Studio</t>
        </is>
      </c>
      <c r="E205" t="inlineStr">
        <is>
          <t>Contas Variáveis</t>
        </is>
      </c>
      <c r="F205" t="inlineStr">
        <is>
          <t>Google Ads / Google</t>
        </is>
      </c>
      <c r="G205" t="inlineStr">
        <is>
          <t>Despesa</t>
        </is>
      </c>
      <c r="H205" s="3" t="n">
        <v>-96.98999999999999</v>
      </c>
      <c r="I205" t="inlineStr">
        <is>
          <t>Outro</t>
        </is>
      </c>
      <c r="J205" t="inlineStr">
        <is>
          <t>Não</t>
        </is>
      </c>
      <c r="K205" t="inlineStr">
        <is>
          <t>Eventual</t>
        </is>
      </c>
      <c r="L205" t="inlineStr"/>
      <c r="M205" t="inlineStr">
        <is>
          <t>Mercado Pago account_statement-8f96e9be-cdd7-4687-acae-7eb11216a39b.xlsx</t>
        </is>
      </c>
      <c r="N205" t="inlineStr">
        <is>
          <t>Sem comprovante</t>
        </is>
      </c>
      <c r="O205" t="inlineStr">
        <is>
          <t>Pagamento GOOGLE BRASIL PAGAMENTOS LTDA.</t>
        </is>
      </c>
    </row>
    <row r="206">
      <c r="A206" s="29" t="n">
        <v>46086</v>
      </c>
      <c r="B206" t="n">
        <v>3</v>
      </c>
      <c r="C206" t="n">
        <v>2026</v>
      </c>
      <c r="D206" t="inlineStr">
        <is>
          <t>Studio</t>
        </is>
      </c>
      <c r="E206" t="inlineStr">
        <is>
          <t>Receita - Outros</t>
        </is>
      </c>
      <c r="F206" t="inlineStr">
        <is>
          <t>Receita não categorizada</t>
        </is>
      </c>
      <c r="G206" t="inlineStr">
        <is>
          <t>Receita</t>
        </is>
      </c>
      <c r="H206" s="3" t="n">
        <v>497.55</v>
      </c>
      <c r="I206" t="inlineStr">
        <is>
          <t>Pix</t>
        </is>
      </c>
      <c r="J206" t="inlineStr">
        <is>
          <t>Não</t>
        </is>
      </c>
      <c r="K206" t="inlineStr">
        <is>
          <t>Eventual</t>
        </is>
      </c>
      <c r="L206" t="inlineStr"/>
      <c r="M206" t="inlineStr">
        <is>
          <t>Mercado Pago account_statement-8f96e9be-cdd7-4687-acae-7eb11216a39b.xlsx</t>
        </is>
      </c>
      <c r="N206" t="inlineStr">
        <is>
          <t>Recebido</t>
        </is>
      </c>
      <c r="O206" t="inlineStr">
        <is>
          <t>Pagamento com Código QR Pix PATRICIA DE QUADROS F NETTO</t>
        </is>
      </c>
    </row>
    <row r="207">
      <c r="A207" s="29" t="n">
        <v>46086</v>
      </c>
      <c r="B207" t="n">
        <v>3</v>
      </c>
      <c r="C207" t="n">
        <v>2026</v>
      </c>
      <c r="D207" t="inlineStr">
        <is>
          <t>Pessoal</t>
        </is>
      </c>
      <c r="E207" t="inlineStr">
        <is>
          <t>Contas Variáveis</t>
        </is>
      </c>
      <c r="F207" t="inlineStr">
        <is>
          <t>iFood</t>
        </is>
      </c>
      <c r="G207" t="inlineStr">
        <is>
          <t>Despesa</t>
        </is>
      </c>
      <c r="H207" s="3" t="n">
        <v>-88.11</v>
      </c>
      <c r="I207" t="inlineStr">
        <is>
          <t>Pix</t>
        </is>
      </c>
      <c r="J207" t="inlineStr">
        <is>
          <t>Não</t>
        </is>
      </c>
      <c r="K207" t="inlineStr">
        <is>
          <t>Eventual</t>
        </is>
      </c>
      <c r="L207" t="inlineStr"/>
      <c r="M207" t="inlineStr">
        <is>
          <t>Mercado Pago account_statement-8f96e9be-cdd7-4687-acae-7eb11216a39b.xlsx</t>
        </is>
      </c>
      <c r="N207" t="inlineStr">
        <is>
          <t>Sem comprovante</t>
        </is>
      </c>
      <c r="O207" t="inlineStr">
        <is>
          <t>Pagamento com QR Pix IFOOD COM AGENCIA DE RESTAURANTES ONLINE S A</t>
        </is>
      </c>
    </row>
    <row r="208">
      <c r="A208" s="29" t="n">
        <v>46086</v>
      </c>
      <c r="B208" t="n">
        <v>3</v>
      </c>
      <c r="C208" t="n">
        <v>2026</v>
      </c>
      <c r="D208" t="inlineStr">
        <is>
          <t>Studio</t>
        </is>
      </c>
      <c r="E208" t="inlineStr">
        <is>
          <t>Outros</t>
        </is>
      </c>
      <c r="F208" t="inlineStr">
        <is>
          <t>Pagar.me (boleto)</t>
        </is>
      </c>
      <c r="G208" t="inlineStr">
        <is>
          <t>Despesa</t>
        </is>
      </c>
      <c r="H208" s="3" t="n">
        <v>-109.9</v>
      </c>
      <c r="I208" t="inlineStr">
        <is>
          <t>Pix</t>
        </is>
      </c>
      <c r="J208" t="inlineStr">
        <is>
          <t>Não</t>
        </is>
      </c>
      <c r="K208" t="inlineStr">
        <is>
          <t>Eventual</t>
        </is>
      </c>
      <c r="L208" t="inlineStr"/>
      <c r="M208" t="inlineStr">
        <is>
          <t>Mercado Pago account_statement-8f96e9be-cdd7-4687-acae-7eb11216a39b.xlsx</t>
        </is>
      </c>
      <c r="N208" t="inlineStr">
        <is>
          <t>Sem comprovante</t>
        </is>
      </c>
      <c r="O208" t="inlineStr">
        <is>
          <t>Pagamento com QR Pix Pagar Me Instituicao De Pagamento Sa</t>
        </is>
      </c>
    </row>
    <row r="209">
      <c r="A209" s="29" t="n">
        <v>46086</v>
      </c>
      <c r="B209" t="n">
        <v>3</v>
      </c>
      <c r="C209" t="n">
        <v>2026</v>
      </c>
      <c r="D209" t="inlineStr">
        <is>
          <t>Studio</t>
        </is>
      </c>
      <c r="E209" t="inlineStr">
        <is>
          <t>Outros</t>
        </is>
      </c>
      <c r="F209" t="inlineStr">
        <is>
          <t>Pagamento Cartão Bradesco</t>
        </is>
      </c>
      <c r="G209" t="inlineStr">
        <is>
          <t>Despesa</t>
        </is>
      </c>
      <c r="H209" s="3" t="n">
        <v>-166.97</v>
      </c>
      <c r="I209" t="inlineStr">
        <is>
          <t>Boleto</t>
        </is>
      </c>
      <c r="J209" t="inlineStr">
        <is>
          <t>Não</t>
        </is>
      </c>
      <c r="K209" t="inlineStr">
        <is>
          <t>Eventual</t>
        </is>
      </c>
      <c r="L209" t="inlineStr"/>
      <c r="M209" t="inlineStr">
        <is>
          <t>Mercado Pago account_statement-8f96e9be-cdd7-4687-acae-7eb11216a39b.xlsx</t>
        </is>
      </c>
      <c r="N209" t="inlineStr">
        <is>
          <t>Sem comprovante</t>
        </is>
      </c>
      <c r="O209" t="inlineStr">
        <is>
          <t>Pagamento de conta Banco Bradesco S.A.</t>
        </is>
      </c>
    </row>
    <row r="210">
      <c r="A210" s="29" t="n">
        <v>46086</v>
      </c>
      <c r="B210" t="n">
        <v>3</v>
      </c>
      <c r="C210" t="n">
        <v>2026</v>
      </c>
      <c r="D210" t="inlineStr">
        <is>
          <t>Geral</t>
        </is>
      </c>
      <c r="E210" t="inlineStr">
        <is>
          <t>Transferência - Bruno (própria)</t>
        </is>
      </c>
      <c r="F210" t="inlineStr">
        <is>
          <t>Pix Bruno→Bruno (entre contas próprias)</t>
        </is>
      </c>
      <c r="G210" t="inlineStr">
        <is>
          <t>Despesa</t>
        </is>
      </c>
      <c r="H210" s="3" t="n">
        <v>-200</v>
      </c>
      <c r="I210" t="inlineStr">
        <is>
          <t>Pix</t>
        </is>
      </c>
      <c r="J210" t="inlineStr">
        <is>
          <t>Não</t>
        </is>
      </c>
      <c r="K210" t="inlineStr">
        <is>
          <t>Eventual</t>
        </is>
      </c>
      <c r="L210" t="inlineStr"/>
      <c r="M210" t="inlineStr">
        <is>
          <t>Mercado Pago account_statement-8f96e9be-cdd7-4687-acae-7eb11216a39b.xlsx</t>
        </is>
      </c>
      <c r="N210" t="inlineStr">
        <is>
          <t>Sem comprovante</t>
        </is>
      </c>
      <c r="O210" t="inlineStr">
        <is>
          <t>Pix enviado Bruno Porto Seus</t>
        </is>
      </c>
    </row>
    <row r="211">
      <c r="A211" s="29" t="n">
        <v>46086</v>
      </c>
      <c r="B211" t="n">
        <v>3</v>
      </c>
      <c r="C211" t="n">
        <v>2026</v>
      </c>
      <c r="D211" t="inlineStr">
        <is>
          <t>Geral</t>
        </is>
      </c>
      <c r="E211" t="inlineStr">
        <is>
          <t>Pessoal</t>
        </is>
      </c>
      <c r="F211" t="inlineStr">
        <is>
          <t>Bruno Luiz (familiar)</t>
        </is>
      </c>
      <c r="G211" t="inlineStr">
        <is>
          <t>Despesa</t>
        </is>
      </c>
      <c r="H211" s="3" t="n">
        <v>-200</v>
      </c>
      <c r="I211" t="inlineStr">
        <is>
          <t>Pix</t>
        </is>
      </c>
      <c r="J211" t="inlineStr">
        <is>
          <t>Não</t>
        </is>
      </c>
      <c r="K211" t="inlineStr">
        <is>
          <t>Eventual</t>
        </is>
      </c>
      <c r="L211" t="inlineStr"/>
      <c r="M211" t="inlineStr">
        <is>
          <t>Nubank NU_370124875_01MAR2026_31MAR2026.csv</t>
        </is>
      </c>
      <c r="N211" t="inlineStr">
        <is>
          <t>Sem comprovante</t>
        </is>
      </c>
      <c r="O211" t="inlineStr">
        <is>
          <t>Transferência enviada pelo Pix - BRUNO LUIZ SASTRE SEUS JUNIOR - •••.516.739-•• - BCO BRADESCO S.A. (0237) Agência: 3925 Conta: 165900-6</t>
        </is>
      </c>
    </row>
    <row r="212">
      <c r="A212" s="29" t="n">
        <v>46086</v>
      </c>
      <c r="B212" t="n">
        <v>3</v>
      </c>
      <c r="C212" t="n">
        <v>2026</v>
      </c>
      <c r="D212" t="inlineStr">
        <is>
          <t>Studio</t>
        </is>
      </c>
      <c r="E212" t="inlineStr">
        <is>
          <t>Receita - Denise (Salão)</t>
        </is>
      </c>
      <c r="F212" t="inlineStr">
        <is>
          <t>Depósito recebido de Denise / Salão</t>
        </is>
      </c>
      <c r="G212" t="inlineStr">
        <is>
          <t>Receita</t>
        </is>
      </c>
      <c r="H212" s="3" t="n">
        <v>200</v>
      </c>
      <c r="I212" t="inlineStr">
        <is>
          <t>Pix</t>
        </is>
      </c>
      <c r="J212" t="inlineStr">
        <is>
          <t>Não</t>
        </is>
      </c>
      <c r="K212" t="inlineStr">
        <is>
          <t>Eventual</t>
        </is>
      </c>
      <c r="L212" t="inlineStr"/>
      <c r="M212" t="inlineStr">
        <is>
          <t>Nubank NU_370124875_01MAR2026_31MAR2026.csv</t>
        </is>
      </c>
      <c r="N212" t="inlineStr">
        <is>
          <t>Recebido</t>
        </is>
      </c>
      <c r="O212" t="inlineStr">
        <is>
          <t>Transferência recebida pelo Pix - DENISE DE PAULA CENTRO DE ESTETICA LTDA - 05.823.454/0001-86 - MERCADO PAGO IP LTDA. (0323) Agência: 1 Conta: 8804533771-0</t>
        </is>
      </c>
    </row>
    <row r="213">
      <c r="A213" s="29" t="n">
        <v>46087</v>
      </c>
      <c r="B213" t="n">
        <v>3</v>
      </c>
      <c r="C213" t="n">
        <v>2026</v>
      </c>
      <c r="D213" t="inlineStr">
        <is>
          <t>Studio</t>
        </is>
      </c>
      <c r="E213" t="inlineStr">
        <is>
          <t>Receita - Liberação de Crédito</t>
        </is>
      </c>
      <c r="F213" t="inlineStr">
        <is>
          <t>Liberação de Crédito (Studio)</t>
        </is>
      </c>
      <c r="G213" t="inlineStr">
        <is>
          <t>Receita</t>
        </is>
      </c>
      <c r="H213" s="3" t="n">
        <v>557.1900000000001</v>
      </c>
      <c r="I213" t="inlineStr">
        <is>
          <t>Outro</t>
        </is>
      </c>
      <c r="J213" t="inlineStr">
        <is>
          <t>Não</t>
        </is>
      </c>
      <c r="K213" t="inlineStr">
        <is>
          <t>Eventual</t>
        </is>
      </c>
      <c r="L213" t="inlineStr"/>
      <c r="M213" t="inlineStr">
        <is>
          <t>Mercado Pago account_statement-8f96e9be-cdd7-4687-acae-7eb11216a39b.xlsx</t>
        </is>
      </c>
      <c r="N213" t="inlineStr">
        <is>
          <t>Recebido</t>
        </is>
      </c>
      <c r="O213" t="inlineStr">
        <is>
          <t>Liberação de dinheiro</t>
        </is>
      </c>
    </row>
    <row r="214">
      <c r="A214" s="29" t="n">
        <v>46087</v>
      </c>
      <c r="B214" t="n">
        <v>3</v>
      </c>
      <c r="C214" t="n">
        <v>2026</v>
      </c>
      <c r="D214" t="inlineStr">
        <is>
          <t>Geral</t>
        </is>
      </c>
      <c r="E214" t="inlineStr">
        <is>
          <t>Outros</t>
        </is>
      </c>
      <c r="F214" t="inlineStr">
        <is>
          <t>Transferência Pix Enviada</t>
        </is>
      </c>
      <c r="G214" t="inlineStr">
        <is>
          <t>Despesa</t>
        </is>
      </c>
      <c r="H214" s="3" t="n">
        <v>-300</v>
      </c>
      <c r="I214" t="inlineStr">
        <is>
          <t>Pix</t>
        </is>
      </c>
      <c r="J214" t="inlineStr">
        <is>
          <t>Não</t>
        </is>
      </c>
      <c r="K214" t="inlineStr">
        <is>
          <t>Eventual</t>
        </is>
      </c>
      <c r="L214" t="inlineStr"/>
      <c r="M214" t="inlineStr">
        <is>
          <t>Mercado Pago account_statement-8f96e9be-cdd7-4687-acae-7eb11216a39b.xlsx</t>
        </is>
      </c>
      <c r="N214" t="inlineStr">
        <is>
          <t>Sem comprovante</t>
        </is>
      </c>
      <c r="O214" t="inlineStr">
        <is>
          <t>Pix enviado Andressa Dorothea Souza de Paula</t>
        </is>
      </c>
    </row>
    <row r="215">
      <c r="A215" s="29" t="n">
        <v>46087</v>
      </c>
      <c r="B215" t="n">
        <v>3</v>
      </c>
      <c r="C215" t="n">
        <v>2026</v>
      </c>
      <c r="D215" t="inlineStr">
        <is>
          <t>Studio</t>
        </is>
      </c>
      <c r="E215" t="inlineStr">
        <is>
          <t>Pessoal</t>
        </is>
      </c>
      <c r="F215" t="inlineStr">
        <is>
          <t>Eliane</t>
        </is>
      </c>
      <c r="G215" t="inlineStr">
        <is>
          <t>Despesa</t>
        </is>
      </c>
      <c r="H215" s="3" t="n">
        <v>-1340</v>
      </c>
      <c r="I215" t="inlineStr">
        <is>
          <t>Pix</t>
        </is>
      </c>
      <c r="J215" t="inlineStr">
        <is>
          <t>Não</t>
        </is>
      </c>
      <c r="K215" t="inlineStr">
        <is>
          <t>Eventual</t>
        </is>
      </c>
      <c r="L215" t="inlineStr"/>
      <c r="M215" t="inlineStr">
        <is>
          <t>Mercado Pago account_statement-8f96e9be-cdd7-4687-acae-7eb11216a39b.xlsx</t>
        </is>
      </c>
      <c r="N215" t="inlineStr">
        <is>
          <t>Sem comprovante</t>
        </is>
      </c>
      <c r="O215" t="inlineStr">
        <is>
          <t>Pix enviado Eliane do Rocio de Lima</t>
        </is>
      </c>
    </row>
    <row r="216">
      <c r="A216" s="29" t="n">
        <v>46087</v>
      </c>
      <c r="B216" t="n">
        <v>3</v>
      </c>
      <c r="C216" t="n">
        <v>2026</v>
      </c>
      <c r="D216" t="inlineStr">
        <is>
          <t>Studio</t>
        </is>
      </c>
      <c r="E216" t="inlineStr">
        <is>
          <t>Receita - Outros</t>
        </is>
      </c>
      <c r="F216" t="inlineStr">
        <is>
          <t>Receita não categorizada</t>
        </is>
      </c>
      <c r="G216" t="inlineStr">
        <is>
          <t>Receita</t>
        </is>
      </c>
      <c r="H216" s="3" t="n">
        <v>25</v>
      </c>
      <c r="I216" t="inlineStr">
        <is>
          <t>Pix</t>
        </is>
      </c>
      <c r="J216" t="inlineStr">
        <is>
          <t>Não</t>
        </is>
      </c>
      <c r="K216" t="inlineStr">
        <is>
          <t>Eventual</t>
        </is>
      </c>
      <c r="L216" t="inlineStr"/>
      <c r="M216" t="inlineStr">
        <is>
          <t>Nubank NU_370124875_01MAR2026_31MAR2026.csv</t>
        </is>
      </c>
      <c r="N216" t="inlineStr">
        <is>
          <t>Recebido</t>
        </is>
      </c>
      <c r="O216" t="inlineStr">
        <is>
          <t>Transferência recebida pelo Pix - LEONARDO MUNHOZ LUCIO - •••.391.699-•• - ITAÚ UNIBANCO S.A. (0341) Agência: 7826 Conta: 6114-0</t>
        </is>
      </c>
    </row>
    <row r="217">
      <c r="A217" s="29" t="n">
        <v>46087</v>
      </c>
      <c r="B217" t="n">
        <v>3</v>
      </c>
      <c r="C217" t="n">
        <v>2026</v>
      </c>
      <c r="D217" t="inlineStr">
        <is>
          <t>Studio</t>
        </is>
      </c>
      <c r="E217" t="inlineStr">
        <is>
          <t>Receita - Outros</t>
        </is>
      </c>
      <c r="F217" t="inlineStr">
        <is>
          <t>Receita não categorizada</t>
        </is>
      </c>
      <c r="G217" t="inlineStr">
        <is>
          <t>Receita</t>
        </is>
      </c>
      <c r="H217" s="3" t="n">
        <v>25</v>
      </c>
      <c r="I217" t="inlineStr">
        <is>
          <t>Pix</t>
        </is>
      </c>
      <c r="J217" t="inlineStr">
        <is>
          <t>Não</t>
        </is>
      </c>
      <c r="K217" t="inlineStr">
        <is>
          <t>Eventual</t>
        </is>
      </c>
      <c r="L217" t="inlineStr"/>
      <c r="M217" t="inlineStr">
        <is>
          <t>Nubank NU_370124875_01MAR2026_31MAR2026.csv</t>
        </is>
      </c>
      <c r="N217" t="inlineStr">
        <is>
          <t>Recebido</t>
        </is>
      </c>
      <c r="O217" t="inlineStr">
        <is>
          <t>Transferência recebida pelo Pix - LUIS F OLIVEIRA CARVALHO - •••.882.059-•• - BCO DO BRASIL S.A. (0001) Agência: 2456 Conta: 63982-6</t>
        </is>
      </c>
    </row>
    <row r="218">
      <c r="A218" s="29" t="n">
        <v>46088</v>
      </c>
      <c r="B218" t="n">
        <v>3</v>
      </c>
      <c r="C218" t="n">
        <v>2026</v>
      </c>
      <c r="D218" t="inlineStr">
        <is>
          <t>Pessoal</t>
        </is>
      </c>
      <c r="E218" t="inlineStr">
        <is>
          <t>Contas Variáveis</t>
        </is>
      </c>
      <c r="F218" t="inlineStr">
        <is>
          <t>Compra no débito</t>
        </is>
      </c>
      <c r="G218" t="inlineStr">
        <is>
          <t>Despesa</t>
        </is>
      </c>
      <c r="H218" s="3" t="n">
        <v>-188.48</v>
      </c>
      <c r="I218" t="inlineStr">
        <is>
          <t>Débito</t>
        </is>
      </c>
      <c r="J218" t="inlineStr">
        <is>
          <t>Não</t>
        </is>
      </c>
      <c r="K218" t="inlineStr">
        <is>
          <t>Eventual</t>
        </is>
      </c>
      <c r="L218" t="inlineStr"/>
      <c r="M218" t="inlineStr">
        <is>
          <t>Nubank NU_370124875_01MAR2026_31MAR2026.csv</t>
        </is>
      </c>
      <c r="N218" t="inlineStr">
        <is>
          <t>Sem comprovante</t>
        </is>
      </c>
      <c r="O218" t="inlineStr">
        <is>
          <t>Compra no débito - BUFFALO RANCH</t>
        </is>
      </c>
    </row>
    <row r="219">
      <c r="A219" s="29" t="n">
        <v>46088</v>
      </c>
      <c r="B219" t="n">
        <v>3</v>
      </c>
      <c r="C219" t="n">
        <v>2026</v>
      </c>
      <c r="D219" t="inlineStr">
        <is>
          <t>Pessoal</t>
        </is>
      </c>
      <c r="E219" t="inlineStr">
        <is>
          <t>Contas Variáveis</t>
        </is>
      </c>
      <c r="F219" t="inlineStr">
        <is>
          <t>Compras Diversas</t>
        </is>
      </c>
      <c r="G219" t="inlineStr">
        <is>
          <t>Despesa</t>
        </is>
      </c>
      <c r="H219" s="3" t="n">
        <v>-34.38</v>
      </c>
      <c r="I219" t="inlineStr">
        <is>
          <t>Débito</t>
        </is>
      </c>
      <c r="J219" t="inlineStr">
        <is>
          <t>Não</t>
        </is>
      </c>
      <c r="K219" t="inlineStr">
        <is>
          <t>Eventual</t>
        </is>
      </c>
      <c r="L219" t="inlineStr"/>
      <c r="M219" t="inlineStr">
        <is>
          <t>Nubank NU_370124875_01MAR2026_31MAR2026.csv</t>
        </is>
      </c>
      <c r="N219" t="inlineStr">
        <is>
          <t>Sem comprovante</t>
        </is>
      </c>
      <c r="O219" t="inlineStr">
        <is>
          <t>Compra no débito - CANAL TERRA</t>
        </is>
      </c>
    </row>
    <row r="220">
      <c r="A220" s="29" t="n">
        <v>46088</v>
      </c>
      <c r="B220" t="n">
        <v>3</v>
      </c>
      <c r="C220" t="n">
        <v>2026</v>
      </c>
      <c r="D220" t="inlineStr">
        <is>
          <t>Pessoal</t>
        </is>
      </c>
      <c r="E220" t="inlineStr">
        <is>
          <t>Contas Variáveis</t>
        </is>
      </c>
      <c r="F220" t="inlineStr">
        <is>
          <t>Compras Diversas</t>
        </is>
      </c>
      <c r="G220" t="inlineStr">
        <is>
          <t>Despesa</t>
        </is>
      </c>
      <c r="H220" s="3" t="n">
        <v>-80</v>
      </c>
      <c r="I220" t="inlineStr">
        <is>
          <t>Débito</t>
        </is>
      </c>
      <c r="J220" t="inlineStr">
        <is>
          <t>Não</t>
        </is>
      </c>
      <c r="K220" t="inlineStr">
        <is>
          <t>Eventual</t>
        </is>
      </c>
      <c r="L220" t="inlineStr"/>
      <c r="M220" t="inlineStr">
        <is>
          <t>Nubank NU_370124875_01MAR2026_31MAR2026.csv</t>
        </is>
      </c>
      <c r="N220" t="inlineStr">
        <is>
          <t>Sem comprovante</t>
        </is>
      </c>
      <c r="O220" t="inlineStr">
        <is>
          <t>Compra no débito - CANAL TERRA</t>
        </is>
      </c>
    </row>
    <row r="221">
      <c r="A221" s="29" t="n">
        <v>46088</v>
      </c>
      <c r="B221" t="n">
        <v>3</v>
      </c>
      <c r="C221" t="n">
        <v>2026</v>
      </c>
      <c r="D221" t="inlineStr">
        <is>
          <t>Pessoal</t>
        </is>
      </c>
      <c r="E221" t="inlineStr">
        <is>
          <t>Contas Variáveis</t>
        </is>
      </c>
      <c r="F221" t="inlineStr">
        <is>
          <t>Compra no débito</t>
        </is>
      </c>
      <c r="G221" t="inlineStr">
        <is>
          <t>Despesa</t>
        </is>
      </c>
      <c r="H221" s="3" t="n">
        <v>-16</v>
      </c>
      <c r="I221" t="inlineStr">
        <is>
          <t>Débito</t>
        </is>
      </c>
      <c r="J221" t="inlineStr">
        <is>
          <t>Não</t>
        </is>
      </c>
      <c r="K221" t="inlineStr">
        <is>
          <t>Eventual</t>
        </is>
      </c>
      <c r="L221" t="inlineStr"/>
      <c r="M221" t="inlineStr">
        <is>
          <t>Nubank NU_370124875_01MAR2026_31MAR2026.csv</t>
        </is>
      </c>
      <c r="N221" t="inlineStr">
        <is>
          <t>Sem comprovante</t>
        </is>
      </c>
      <c r="O221" t="inlineStr">
        <is>
          <t>Compra no débito - LETTS BURGER AND BAR</t>
        </is>
      </c>
    </row>
    <row r="222">
      <c r="A222" s="29" t="n">
        <v>46088</v>
      </c>
      <c r="B222" t="n">
        <v>3</v>
      </c>
      <c r="C222" t="n">
        <v>2026</v>
      </c>
      <c r="D222" t="inlineStr">
        <is>
          <t>Pessoal</t>
        </is>
      </c>
      <c r="E222" t="inlineStr">
        <is>
          <t>Contas Variáveis</t>
        </is>
      </c>
      <c r="F222" t="inlineStr">
        <is>
          <t>Compra no débito</t>
        </is>
      </c>
      <c r="G222" t="inlineStr">
        <is>
          <t>Despesa</t>
        </is>
      </c>
      <c r="H222" s="3" t="n">
        <v>-5</v>
      </c>
      <c r="I222" t="inlineStr">
        <is>
          <t>Débito</t>
        </is>
      </c>
      <c r="J222" t="inlineStr">
        <is>
          <t>Não</t>
        </is>
      </c>
      <c r="K222" t="inlineStr">
        <is>
          <t>Eventual</t>
        </is>
      </c>
      <c r="L222" t="inlineStr"/>
      <c r="M222" t="inlineStr">
        <is>
          <t>Nubank NU_370124875_01MAR2026_31MAR2026.csv</t>
        </is>
      </c>
      <c r="N222" t="inlineStr">
        <is>
          <t>Sem comprovante</t>
        </is>
      </c>
      <c r="O222" t="inlineStr">
        <is>
          <t>Compra no débito - LETTS BURGER AND BAR</t>
        </is>
      </c>
    </row>
    <row r="223">
      <c r="A223" s="29" t="n">
        <v>46088</v>
      </c>
      <c r="B223" t="n">
        <v>3</v>
      </c>
      <c r="C223" t="n">
        <v>2026</v>
      </c>
      <c r="D223" t="inlineStr">
        <is>
          <t>Pessoal</t>
        </is>
      </c>
      <c r="E223" t="inlineStr">
        <is>
          <t>Contas Variáveis</t>
        </is>
      </c>
      <c r="F223" t="inlineStr">
        <is>
          <t>Compra no débito</t>
        </is>
      </c>
      <c r="G223" t="inlineStr">
        <is>
          <t>Despesa</t>
        </is>
      </c>
      <c r="H223" s="3" t="n">
        <v>-21</v>
      </c>
      <c r="I223" t="inlineStr">
        <is>
          <t>Débito</t>
        </is>
      </c>
      <c r="J223" t="inlineStr">
        <is>
          <t>Não</t>
        </is>
      </c>
      <c r="K223" t="inlineStr">
        <is>
          <t>Eventual</t>
        </is>
      </c>
      <c r="L223" t="inlineStr"/>
      <c r="M223" t="inlineStr">
        <is>
          <t>Nubank NU_370124875_01MAR2026_31MAR2026.csv</t>
        </is>
      </c>
      <c r="N223" t="inlineStr">
        <is>
          <t>Sem comprovante</t>
        </is>
      </c>
      <c r="O223" t="inlineStr">
        <is>
          <t>Compra no débito - LETTS ROAD</t>
        </is>
      </c>
    </row>
    <row r="224">
      <c r="A224" s="29" t="n">
        <v>46088</v>
      </c>
      <c r="B224" t="n">
        <v>3</v>
      </c>
      <c r="C224" t="n">
        <v>2026</v>
      </c>
      <c r="D224" t="inlineStr">
        <is>
          <t>Pessoal</t>
        </is>
      </c>
      <c r="E224" t="inlineStr">
        <is>
          <t>Contas Variáveis</t>
        </is>
      </c>
      <c r="F224" t="inlineStr">
        <is>
          <t>Compra no débito</t>
        </is>
      </c>
      <c r="G224" t="inlineStr">
        <is>
          <t>Despesa</t>
        </is>
      </c>
      <c r="H224" s="3" t="n">
        <v>-94.43000000000001</v>
      </c>
      <c r="I224" t="inlineStr">
        <is>
          <t>Débito</t>
        </is>
      </c>
      <c r="J224" t="inlineStr">
        <is>
          <t>Não</t>
        </is>
      </c>
      <c r="K224" t="inlineStr">
        <is>
          <t>Eventual</t>
        </is>
      </c>
      <c r="L224" t="inlineStr"/>
      <c r="M224" t="inlineStr">
        <is>
          <t>Nubank NU_370124875_01MAR2026_31MAR2026.csv</t>
        </is>
      </c>
      <c r="N224" t="inlineStr">
        <is>
          <t>Sem comprovante</t>
        </is>
      </c>
      <c r="O224" t="inlineStr">
        <is>
          <t>Compra no débito - PELANDA TIBAGI</t>
        </is>
      </c>
    </row>
    <row r="225">
      <c r="A225" s="29" t="n">
        <v>46088</v>
      </c>
      <c r="B225" t="n">
        <v>3</v>
      </c>
      <c r="C225" t="n">
        <v>2026</v>
      </c>
      <c r="D225" t="inlineStr">
        <is>
          <t>Pessoal</t>
        </is>
      </c>
      <c r="E225" t="inlineStr">
        <is>
          <t>Contas Variáveis</t>
        </is>
      </c>
      <c r="F225" t="inlineStr">
        <is>
          <t>Farmácia</t>
        </is>
      </c>
      <c r="G225" t="inlineStr">
        <is>
          <t>Despesa</t>
        </is>
      </c>
      <c r="H225" s="3" t="n">
        <v>-35.98</v>
      </c>
      <c r="I225" t="inlineStr">
        <is>
          <t>Pix</t>
        </is>
      </c>
      <c r="J225" t="inlineStr">
        <is>
          <t>Não</t>
        </is>
      </c>
      <c r="K225" t="inlineStr">
        <is>
          <t>Eventual</t>
        </is>
      </c>
      <c r="L225" t="inlineStr"/>
      <c r="M225" t="inlineStr">
        <is>
          <t>Mercado Pago account_statement-8f96e9be-cdd7-4687-acae-7eb11216a39b.xlsx</t>
        </is>
      </c>
      <c r="N225" t="inlineStr">
        <is>
          <t>Sem comprovante</t>
        </is>
      </c>
      <c r="O225" t="inlineStr">
        <is>
          <t>Pagamento com QR Pix FARMACIA IRMAOS PAVESI LTDA</t>
        </is>
      </c>
    </row>
    <row r="226">
      <c r="A226" s="29" t="n">
        <v>46088</v>
      </c>
      <c r="B226" t="n">
        <v>3</v>
      </c>
      <c r="C226" t="n">
        <v>2026</v>
      </c>
      <c r="D226" t="inlineStr">
        <is>
          <t>Studio</t>
        </is>
      </c>
      <c r="E226" t="inlineStr">
        <is>
          <t>Pessoal</t>
        </is>
      </c>
      <c r="F226" t="inlineStr">
        <is>
          <t>Marco</t>
        </is>
      </c>
      <c r="G226" t="inlineStr">
        <is>
          <t>Despesa</t>
        </is>
      </c>
      <c r="H226" s="3" t="n">
        <v>-310</v>
      </c>
      <c r="I226" t="inlineStr">
        <is>
          <t>Pix</t>
        </is>
      </c>
      <c r="J226" t="inlineStr">
        <is>
          <t>Não</t>
        </is>
      </c>
      <c r="K226" t="inlineStr">
        <is>
          <t>Eventual</t>
        </is>
      </c>
      <c r="L226" t="inlineStr"/>
      <c r="M226" t="inlineStr">
        <is>
          <t>Mercado Pago account_statement-8f96e9be-cdd7-4687-acae-7eb11216a39b.xlsx</t>
        </is>
      </c>
      <c r="N226" t="inlineStr">
        <is>
          <t>Sem comprovante</t>
        </is>
      </c>
      <c r="O226" t="inlineStr">
        <is>
          <t>Pix enviado Marco Aurelio de Moura Leite</t>
        </is>
      </c>
    </row>
    <row r="227">
      <c r="A227" s="29" t="n">
        <v>46088</v>
      </c>
      <c r="B227" t="n">
        <v>3</v>
      </c>
      <c r="C227" t="n">
        <v>2026</v>
      </c>
      <c r="D227" t="inlineStr">
        <is>
          <t>Studio</t>
        </is>
      </c>
      <c r="E227" t="inlineStr">
        <is>
          <t>Receita - Midialike</t>
        </is>
      </c>
      <c r="F227" t="inlineStr">
        <is>
          <t>Depósito Midialike</t>
        </is>
      </c>
      <c r="G227" t="inlineStr">
        <is>
          <t>Receita</t>
        </is>
      </c>
      <c r="H227" s="3" t="n">
        <v>2000</v>
      </c>
      <c r="I227" t="inlineStr">
        <is>
          <t>Pix</t>
        </is>
      </c>
      <c r="J227" t="inlineStr">
        <is>
          <t>Sim</t>
        </is>
      </c>
      <c r="K227" t="inlineStr">
        <is>
          <t>Mensal</t>
        </is>
      </c>
      <c r="L227" t="inlineStr"/>
      <c r="M227" t="inlineStr">
        <is>
          <t>Mercado Pago account_statement-8f96e9be-cdd7-4687-acae-7eb11216a39b.xlsx</t>
        </is>
      </c>
      <c r="N227" t="inlineStr">
        <is>
          <t>Recebido</t>
        </is>
      </c>
      <c r="O227" t="inlineStr">
        <is>
          <t>Pix recebido MIDIA LIKE LTDA</t>
        </is>
      </c>
    </row>
    <row r="228">
      <c r="A228" s="29" t="n">
        <v>46088</v>
      </c>
      <c r="B228" t="n">
        <v>3</v>
      </c>
      <c r="C228" t="n">
        <v>2026</v>
      </c>
      <c r="D228" t="inlineStr">
        <is>
          <t>Studio</t>
        </is>
      </c>
      <c r="E228" t="inlineStr">
        <is>
          <t>Contas Fixas</t>
        </is>
      </c>
      <c r="F228" t="inlineStr">
        <is>
          <t>Internet / Telecom</t>
        </is>
      </c>
      <c r="G228" t="inlineStr">
        <is>
          <t>Despesa</t>
        </is>
      </c>
      <c r="H228" s="3" t="n">
        <v>-279.96</v>
      </c>
      <c r="I228" t="inlineStr">
        <is>
          <t>Outro</t>
        </is>
      </c>
      <c r="J228" t="inlineStr">
        <is>
          <t>Sim</t>
        </is>
      </c>
      <c r="K228" t="inlineStr">
        <is>
          <t>Mensal</t>
        </is>
      </c>
      <c r="L228" t="inlineStr"/>
      <c r="M228" t="inlineStr">
        <is>
          <t>Nubank NU_370124875_01MAR2026_31MAR2026.csv</t>
        </is>
      </c>
      <c r="N228" t="inlineStr">
        <is>
          <t>Sem comprovante</t>
        </is>
      </c>
      <c r="O228" t="inlineStr">
        <is>
          <t>Resgate de empréstimo</t>
        </is>
      </c>
    </row>
    <row r="229">
      <c r="A229" s="29" t="n">
        <v>46088</v>
      </c>
      <c r="B229" t="n">
        <v>3</v>
      </c>
      <c r="C229" t="n">
        <v>2026</v>
      </c>
      <c r="D229" t="inlineStr">
        <is>
          <t>Studio</t>
        </is>
      </c>
      <c r="E229" t="inlineStr">
        <is>
          <t>Receita - Midialike</t>
        </is>
      </c>
      <c r="F229" t="inlineStr">
        <is>
          <t>Depósito Midialike</t>
        </is>
      </c>
      <c r="G229" t="inlineStr">
        <is>
          <t>Receita</t>
        </is>
      </c>
      <c r="H229" s="3" t="n">
        <v>500</v>
      </c>
      <c r="I229" t="inlineStr">
        <is>
          <t>Pix</t>
        </is>
      </c>
      <c r="J229" t="inlineStr">
        <is>
          <t>Sim</t>
        </is>
      </c>
      <c r="K229" t="inlineStr">
        <is>
          <t>Mensal</t>
        </is>
      </c>
      <c r="L229" t="inlineStr"/>
      <c r="M229" t="inlineStr">
        <is>
          <t>Nubank NU_370124875_01MAR2026_31MAR2026.csv</t>
        </is>
      </c>
      <c r="N229" t="inlineStr">
        <is>
          <t>Recebido</t>
        </is>
      </c>
      <c r="O229" t="inlineStr">
        <is>
          <t>Transferência recebida pelo Pix - MIDIA LIKE LTDA - 17.930.007/0001-05 - BCO C6 S.A. (0336) Agência: 1 Conta: 31709544-7</t>
        </is>
      </c>
    </row>
    <row r="230">
      <c r="A230" s="29" t="n">
        <v>46088</v>
      </c>
      <c r="B230" t="n">
        <v>3</v>
      </c>
      <c r="C230" t="n">
        <v>2026</v>
      </c>
      <c r="D230" t="inlineStr">
        <is>
          <t>Studio</t>
        </is>
      </c>
      <c r="E230" t="inlineStr">
        <is>
          <t>Receita - Outros</t>
        </is>
      </c>
      <c r="F230" t="inlineStr">
        <is>
          <t>Receita não categorizada</t>
        </is>
      </c>
      <c r="G230" t="inlineStr">
        <is>
          <t>Receita</t>
        </is>
      </c>
      <c r="H230" s="3" t="n">
        <v>80</v>
      </c>
      <c r="I230" t="inlineStr">
        <is>
          <t>Pix</t>
        </is>
      </c>
      <c r="J230" t="inlineStr">
        <is>
          <t>Não</t>
        </is>
      </c>
      <c r="K230" t="inlineStr">
        <is>
          <t>Eventual</t>
        </is>
      </c>
      <c r="L230" t="inlineStr"/>
      <c r="M230" t="inlineStr">
        <is>
          <t>Nubank NU_370124875_01MAR2026_31MAR2026.csv</t>
        </is>
      </c>
      <c r="N230" t="inlineStr">
        <is>
          <t>Recebido</t>
        </is>
      </c>
      <c r="O230" t="inlineStr">
        <is>
          <t>Transferência recebida pelo Pix - REGINALDO FRACARO ARAUJO - •••.575.609-•• - BCO BRADESCO S.A. (0237) Agência: 2936 Conta: 22392-1</t>
        </is>
      </c>
    </row>
    <row r="231">
      <c r="A231" s="29" t="n">
        <v>46089</v>
      </c>
      <c r="B231" t="n">
        <v>3</v>
      </c>
      <c r="C231" t="n">
        <v>2026</v>
      </c>
      <c r="D231" t="inlineStr">
        <is>
          <t>Pessoal</t>
        </is>
      </c>
      <c r="E231" t="inlineStr">
        <is>
          <t>Contas Variáveis</t>
        </is>
      </c>
      <c r="F231" t="inlineStr">
        <is>
          <t>iFood</t>
        </is>
      </c>
      <c r="G231" t="inlineStr">
        <is>
          <t>Despesa</t>
        </is>
      </c>
      <c r="H231" s="3" t="n">
        <v>-88.11</v>
      </c>
      <c r="I231" t="inlineStr">
        <is>
          <t>Pix</t>
        </is>
      </c>
      <c r="J231" t="inlineStr">
        <is>
          <t>Não</t>
        </is>
      </c>
      <c r="K231" t="inlineStr">
        <is>
          <t>Eventual</t>
        </is>
      </c>
      <c r="L231" t="inlineStr"/>
      <c r="M231" t="inlineStr">
        <is>
          <t>Mercado Pago account_statement-8f96e9be-cdd7-4687-acae-7eb11216a39b.xlsx</t>
        </is>
      </c>
      <c r="N231" t="inlineStr">
        <is>
          <t>Sem comprovante</t>
        </is>
      </c>
      <c r="O231" t="inlineStr">
        <is>
          <t>Pagamento com QR Pix IFOOD.COM AGENCIA DE RESTAURANTES ONLINE S.A.</t>
        </is>
      </c>
    </row>
    <row r="232">
      <c r="A232" s="29" t="n">
        <v>46089</v>
      </c>
      <c r="B232" t="n">
        <v>3</v>
      </c>
      <c r="C232" t="n">
        <v>2026</v>
      </c>
      <c r="D232" t="inlineStr">
        <is>
          <t>Pessoal</t>
        </is>
      </c>
      <c r="E232" t="inlineStr">
        <is>
          <t>Outros</t>
        </is>
      </c>
      <c r="F232" t="inlineStr">
        <is>
          <t>Compras Diversas</t>
        </is>
      </c>
      <c r="G232" t="inlineStr">
        <is>
          <t>Despesa</t>
        </is>
      </c>
      <c r="H232" s="3" t="n">
        <v>-95.8</v>
      </c>
      <c r="I232" t="inlineStr">
        <is>
          <t>Pix</t>
        </is>
      </c>
      <c r="J232" t="inlineStr">
        <is>
          <t>Não</t>
        </is>
      </c>
      <c r="K232" t="inlineStr">
        <is>
          <t>Eventual</t>
        </is>
      </c>
      <c r="L232" t="inlineStr"/>
      <c r="M232" t="inlineStr">
        <is>
          <t>Mercado Pago account_statement-8f96e9be-cdd7-4687-acae-7eb11216a39b.xlsx</t>
        </is>
      </c>
      <c r="N232" t="inlineStr">
        <is>
          <t>Sem comprovante</t>
        </is>
      </c>
      <c r="O232" t="inlineStr">
        <is>
          <t>Pagamento com QR Pix PALACIO COMERCIO DE EMBALAGENS LTDA</t>
        </is>
      </c>
    </row>
    <row r="233">
      <c r="A233" s="29" t="n">
        <v>46090</v>
      </c>
      <c r="B233" t="n">
        <v>3</v>
      </c>
      <c r="C233" t="n">
        <v>2026</v>
      </c>
      <c r="D233" t="inlineStr">
        <is>
          <t>Studio</t>
        </is>
      </c>
      <c r="E233" t="inlineStr">
        <is>
          <t>Receita - Liberação de Crédito</t>
        </is>
      </c>
      <c r="F233" t="inlineStr">
        <is>
          <t>Liberação de Crédito (Studio)</t>
        </is>
      </c>
      <c r="G233" t="inlineStr">
        <is>
          <t>Receita</t>
        </is>
      </c>
      <c r="H233" s="3" t="n">
        <v>562.7</v>
      </c>
      <c r="I233" t="inlineStr">
        <is>
          <t>Outro</t>
        </is>
      </c>
      <c r="J233" t="inlineStr">
        <is>
          <t>Não</t>
        </is>
      </c>
      <c r="K233" t="inlineStr">
        <is>
          <t>Eventual</t>
        </is>
      </c>
      <c r="L233" t="inlineStr"/>
      <c r="M233" t="inlineStr">
        <is>
          <t>Mercado Pago account_statement-8f96e9be-cdd7-4687-acae-7eb11216a39b.xlsx</t>
        </is>
      </c>
      <c r="N233" t="inlineStr">
        <is>
          <t>Recebido</t>
        </is>
      </c>
      <c r="O233" t="inlineStr">
        <is>
          <t>Liberação de dinheiro</t>
        </is>
      </c>
    </row>
    <row r="234">
      <c r="A234" s="29" t="n">
        <v>46090</v>
      </c>
      <c r="B234" t="n">
        <v>3</v>
      </c>
      <c r="C234" t="n">
        <v>2026</v>
      </c>
      <c r="D234" t="inlineStr">
        <is>
          <t>Studio</t>
        </is>
      </c>
      <c r="E234" t="inlineStr">
        <is>
          <t>Receita - Outros</t>
        </is>
      </c>
      <c r="F234" t="inlineStr">
        <is>
          <t>Receita não categorizada</t>
        </is>
      </c>
      <c r="G234" t="inlineStr">
        <is>
          <t>Receita</t>
        </is>
      </c>
      <c r="H234" s="3" t="n">
        <v>666.72</v>
      </c>
      <c r="I234" t="inlineStr">
        <is>
          <t>Pix</t>
        </is>
      </c>
      <c r="J234" t="inlineStr">
        <is>
          <t>Não</t>
        </is>
      </c>
      <c r="K234" t="inlineStr">
        <is>
          <t>Eventual</t>
        </is>
      </c>
      <c r="L234" t="inlineStr"/>
      <c r="M234" t="inlineStr">
        <is>
          <t>Mercado Pago account_statement-8f96e9be-cdd7-4687-acae-7eb11216a39b.xlsx</t>
        </is>
      </c>
      <c r="N234" t="inlineStr">
        <is>
          <t>Recebido</t>
        </is>
      </c>
      <c r="O234" t="inlineStr">
        <is>
          <t>Pagamento com Código QR Pix Elaine Cristina Walesko Ouriques</t>
        </is>
      </c>
    </row>
    <row r="235">
      <c r="A235" s="29" t="n">
        <v>46090</v>
      </c>
      <c r="B235" t="n">
        <v>3</v>
      </c>
      <c r="C235" t="n">
        <v>2026</v>
      </c>
      <c r="D235" t="inlineStr">
        <is>
          <t>Geral</t>
        </is>
      </c>
      <c r="E235" t="inlineStr">
        <is>
          <t>Outros</t>
        </is>
      </c>
      <c r="F235" t="inlineStr">
        <is>
          <t>Transferência Pix Enviada</t>
        </is>
      </c>
      <c r="G235" t="inlineStr">
        <is>
          <t>Despesa</t>
        </is>
      </c>
      <c r="H235" s="3" t="n">
        <v>-140</v>
      </c>
      <c r="I235" t="inlineStr">
        <is>
          <t>Pix</t>
        </is>
      </c>
      <c r="J235" t="inlineStr">
        <is>
          <t>Não</t>
        </is>
      </c>
      <c r="K235" t="inlineStr">
        <is>
          <t>Eventual</t>
        </is>
      </c>
      <c r="L235" t="inlineStr"/>
      <c r="M235" t="inlineStr">
        <is>
          <t>Mercado Pago account_statement-8f96e9be-cdd7-4687-acae-7eb11216a39b.xlsx</t>
        </is>
      </c>
      <c r="N235" t="inlineStr">
        <is>
          <t>Sem comprovante</t>
        </is>
      </c>
      <c r="O235" t="inlineStr">
        <is>
          <t>Pix enviado 47.964.038 Francielle Bilinoski Rocha</t>
        </is>
      </c>
    </row>
    <row r="236">
      <c r="A236" s="29" t="n">
        <v>46090</v>
      </c>
      <c r="B236" t="n">
        <v>3</v>
      </c>
      <c r="C236" t="n">
        <v>2026</v>
      </c>
      <c r="D236" t="inlineStr">
        <is>
          <t>Geral</t>
        </is>
      </c>
      <c r="E236" t="inlineStr">
        <is>
          <t>Transferência - Bruno (própria)</t>
        </is>
      </c>
      <c r="F236" t="inlineStr">
        <is>
          <t>Pix Bruno→Bruno (entre contas próprias)</t>
        </is>
      </c>
      <c r="G236" t="inlineStr">
        <is>
          <t>Despesa</t>
        </is>
      </c>
      <c r="H236" s="3" t="n">
        <v>-300</v>
      </c>
      <c r="I236" t="inlineStr">
        <is>
          <t>Pix</t>
        </is>
      </c>
      <c r="J236" t="inlineStr">
        <is>
          <t>Não</t>
        </is>
      </c>
      <c r="K236" t="inlineStr">
        <is>
          <t>Eventual</t>
        </is>
      </c>
      <c r="L236" t="inlineStr"/>
      <c r="M236" t="inlineStr">
        <is>
          <t>Mercado Pago account_statement-8f96e9be-cdd7-4687-acae-7eb11216a39b.xlsx</t>
        </is>
      </c>
      <c r="N236" t="inlineStr">
        <is>
          <t>Sem comprovante</t>
        </is>
      </c>
      <c r="O236" t="inlineStr">
        <is>
          <t>Pix enviado Bruno Porto Seus</t>
        </is>
      </c>
    </row>
    <row r="237">
      <c r="A237" s="29" t="n">
        <v>46090</v>
      </c>
      <c r="B237" t="n">
        <v>3</v>
      </c>
      <c r="C237" t="n">
        <v>2026</v>
      </c>
      <c r="D237" t="inlineStr">
        <is>
          <t>Geral</t>
        </is>
      </c>
      <c r="E237" t="inlineStr">
        <is>
          <t>Outros</t>
        </is>
      </c>
      <c r="F237" t="inlineStr">
        <is>
          <t>Transferência Pix Enviada</t>
        </is>
      </c>
      <c r="G237" t="inlineStr">
        <is>
          <t>Despesa</t>
        </is>
      </c>
      <c r="H237" s="3" t="n">
        <v>-70</v>
      </c>
      <c r="I237" t="inlineStr">
        <is>
          <t>Pix</t>
        </is>
      </c>
      <c r="J237" t="inlineStr">
        <is>
          <t>Não</t>
        </is>
      </c>
      <c r="K237" t="inlineStr">
        <is>
          <t>Eventual</t>
        </is>
      </c>
      <c r="L237" t="inlineStr"/>
      <c r="M237" t="inlineStr">
        <is>
          <t>Nubank NU_370124875_01MAR2026_31MAR2026.csv</t>
        </is>
      </c>
      <c r="N237" t="inlineStr">
        <is>
          <t>Sem comprovante</t>
        </is>
      </c>
      <c r="O237" t="inlineStr">
        <is>
          <t>Transferência enviada pelo Pix - CACHACARIA CANA E CANELA - 43.817.343/0001-56 - BANCO INTER (0077) Agência: 1 Conta: 16766053-5</t>
        </is>
      </c>
    </row>
    <row r="238">
      <c r="A238" s="29" t="n">
        <v>46090</v>
      </c>
      <c r="B238" t="n">
        <v>3</v>
      </c>
      <c r="C238" t="n">
        <v>2026</v>
      </c>
      <c r="D238" t="inlineStr">
        <is>
          <t>Studio</t>
        </is>
      </c>
      <c r="E238" t="inlineStr">
        <is>
          <t>Receita - Denise (Salão)</t>
        </is>
      </c>
      <c r="F238" t="inlineStr">
        <is>
          <t>Depósito recebido de Denise / Salão</t>
        </is>
      </c>
      <c r="G238" t="inlineStr">
        <is>
          <t>Receita</t>
        </is>
      </c>
      <c r="H238" s="3" t="n">
        <v>300</v>
      </c>
      <c r="I238" t="inlineStr">
        <is>
          <t>Pix</t>
        </is>
      </c>
      <c r="J238" t="inlineStr">
        <is>
          <t>Não</t>
        </is>
      </c>
      <c r="K238" t="inlineStr">
        <is>
          <t>Eventual</t>
        </is>
      </c>
      <c r="L238" t="inlineStr"/>
      <c r="M238" t="inlineStr">
        <is>
          <t>Nubank NU_370124875_01MAR2026_31MAR2026.csv</t>
        </is>
      </c>
      <c r="N238" t="inlineStr">
        <is>
          <t>Recebido</t>
        </is>
      </c>
      <c r="O238" t="inlineStr">
        <is>
          <t>Transferência recebida pelo Pix - DENISE DE PAULA CENTRO DE ESTETICA LTDA - 05.823.454/0001-86 - MERCADO PAGO IP LTDA. (0323) Agência: 1 Conta: 8804533771-0</t>
        </is>
      </c>
    </row>
    <row r="239">
      <c r="A239" s="29" t="n">
        <v>46091</v>
      </c>
      <c r="B239" t="n">
        <v>3</v>
      </c>
      <c r="C239" t="n">
        <v>2026</v>
      </c>
      <c r="D239" t="inlineStr">
        <is>
          <t>Pessoal</t>
        </is>
      </c>
      <c r="E239" t="inlineStr">
        <is>
          <t>Contas Variáveis</t>
        </is>
      </c>
      <c r="F239" t="inlineStr">
        <is>
          <t>Compra no débito</t>
        </is>
      </c>
      <c r="G239" t="inlineStr">
        <is>
          <t>Despesa</t>
        </is>
      </c>
      <c r="H239" s="3" t="n">
        <v>-66.98999999999999</v>
      </c>
      <c r="I239" t="inlineStr">
        <is>
          <t>Débito</t>
        </is>
      </c>
      <c r="J239" t="inlineStr">
        <is>
          <t>Não</t>
        </is>
      </c>
      <c r="K239" t="inlineStr">
        <is>
          <t>Eventual</t>
        </is>
      </c>
      <c r="L239" t="inlineStr"/>
      <c r="M239" t="inlineStr">
        <is>
          <t>Nubank NU_370124875_01MAR2026_31MAR2026.csv</t>
        </is>
      </c>
      <c r="N239" t="inlineStr">
        <is>
          <t>Sem comprovante</t>
        </is>
      </c>
      <c r="O239" t="inlineStr">
        <is>
          <t>Compra no débito - RAIA DROGASIL SA</t>
        </is>
      </c>
    </row>
    <row r="240">
      <c r="A240" s="29" t="n">
        <v>46091</v>
      </c>
      <c r="B240" t="n">
        <v>3</v>
      </c>
      <c r="C240" t="n">
        <v>2026</v>
      </c>
      <c r="D240" t="inlineStr">
        <is>
          <t>Studio</t>
        </is>
      </c>
      <c r="E240" t="inlineStr">
        <is>
          <t>Receita - Liberação de Crédito</t>
        </is>
      </c>
      <c r="F240" t="inlineStr">
        <is>
          <t>Liberação de Crédito (Studio)</t>
        </is>
      </c>
      <c r="G240" t="inlineStr">
        <is>
          <t>Receita</t>
        </is>
      </c>
      <c r="H240" s="3" t="n">
        <v>502.31</v>
      </c>
      <c r="I240" t="inlineStr">
        <is>
          <t>Outro</t>
        </is>
      </c>
      <c r="J240" t="inlineStr">
        <is>
          <t>Não</t>
        </is>
      </c>
      <c r="K240" t="inlineStr">
        <is>
          <t>Eventual</t>
        </is>
      </c>
      <c r="L240" t="inlineStr"/>
      <c r="M240" t="inlineStr">
        <is>
          <t>Mercado Pago account_statement-8f96e9be-cdd7-4687-acae-7eb11216a39b.xlsx</t>
        </is>
      </c>
      <c r="N240" t="inlineStr">
        <is>
          <t>Recebido</t>
        </is>
      </c>
      <c r="O240" t="inlineStr">
        <is>
          <t>Liberação de dinheiro</t>
        </is>
      </c>
    </row>
    <row r="241">
      <c r="A241" s="29" t="n">
        <v>46091</v>
      </c>
      <c r="B241" t="n">
        <v>3</v>
      </c>
      <c r="C241" t="n">
        <v>2026</v>
      </c>
      <c r="D241" t="inlineStr">
        <is>
          <t>Studio</t>
        </is>
      </c>
      <c r="E241" t="inlineStr">
        <is>
          <t>Receita - Liberação de Crédito</t>
        </is>
      </c>
      <c r="F241" t="inlineStr">
        <is>
          <t>Liberação de Crédito (Studio)</t>
        </is>
      </c>
      <c r="G241" t="inlineStr">
        <is>
          <t>Receita</t>
        </is>
      </c>
      <c r="H241" s="3" t="n">
        <v>650.21</v>
      </c>
      <c r="I241" t="inlineStr">
        <is>
          <t>Outro</t>
        </is>
      </c>
      <c r="J241" t="inlineStr">
        <is>
          <t>Não</t>
        </is>
      </c>
      <c r="K241" t="inlineStr">
        <is>
          <t>Eventual</t>
        </is>
      </c>
      <c r="L241" t="inlineStr"/>
      <c r="M241" t="inlineStr">
        <is>
          <t>Mercado Pago account_statement-8f96e9be-cdd7-4687-acae-7eb11216a39b.xlsx</t>
        </is>
      </c>
      <c r="N241" t="inlineStr">
        <is>
          <t>Recebido</t>
        </is>
      </c>
      <c r="O241" t="inlineStr">
        <is>
          <t>Liberação de dinheiro</t>
        </is>
      </c>
    </row>
    <row r="242">
      <c r="A242" s="29" t="n">
        <v>46091</v>
      </c>
      <c r="B242" t="n">
        <v>3</v>
      </c>
      <c r="C242" t="n">
        <v>2026</v>
      </c>
      <c r="D242" t="inlineStr">
        <is>
          <t>Studio</t>
        </is>
      </c>
      <c r="E242" t="inlineStr">
        <is>
          <t>Receita - Liberação de Crédito</t>
        </is>
      </c>
      <c r="F242" t="inlineStr">
        <is>
          <t>Liberação de Crédito (Studio)</t>
        </is>
      </c>
      <c r="G242" t="inlineStr">
        <is>
          <t>Receita</t>
        </is>
      </c>
      <c r="H242" s="3" t="n">
        <v>290.16</v>
      </c>
      <c r="I242" t="inlineStr">
        <is>
          <t>Outro</t>
        </is>
      </c>
      <c r="J242" t="inlineStr">
        <is>
          <t>Não</t>
        </is>
      </c>
      <c r="K242" t="inlineStr">
        <is>
          <t>Eventual</t>
        </is>
      </c>
      <c r="L242" t="inlineStr"/>
      <c r="M242" t="inlineStr">
        <is>
          <t>Mercado Pago account_statement-8f96e9be-cdd7-4687-acae-7eb11216a39b.xlsx</t>
        </is>
      </c>
      <c r="N242" t="inlineStr">
        <is>
          <t>Recebido</t>
        </is>
      </c>
      <c r="O242" t="inlineStr">
        <is>
          <t>Liberação de dinheiro</t>
        </is>
      </c>
    </row>
    <row r="243">
      <c r="A243" s="29" t="n">
        <v>46091</v>
      </c>
      <c r="B243" t="n">
        <v>3</v>
      </c>
      <c r="C243" t="n">
        <v>2026</v>
      </c>
      <c r="D243" t="inlineStr">
        <is>
          <t>Geral</t>
        </is>
      </c>
      <c r="E243" t="inlineStr">
        <is>
          <t>Outros</t>
        </is>
      </c>
      <c r="F243" t="inlineStr">
        <is>
          <t>Pagamento de fatura cartão</t>
        </is>
      </c>
      <c r="G243" t="inlineStr">
        <is>
          <t>Despesa</t>
        </is>
      </c>
      <c r="H243" s="3" t="n">
        <v>-100</v>
      </c>
      <c r="I243" t="inlineStr">
        <is>
          <t>Outro</t>
        </is>
      </c>
      <c r="J243" t="inlineStr">
        <is>
          <t>Não</t>
        </is>
      </c>
      <c r="K243" t="inlineStr">
        <is>
          <t>Eventual</t>
        </is>
      </c>
      <c r="L243" t="inlineStr"/>
      <c r="M243" t="inlineStr">
        <is>
          <t>Nubank NU_370124875_01MAR2026_31MAR2026.csv</t>
        </is>
      </c>
      <c r="N243" t="inlineStr">
        <is>
          <t>Sem comprovante</t>
        </is>
      </c>
      <c r="O243" t="inlineStr">
        <is>
          <t>Pagamento de fatura</t>
        </is>
      </c>
    </row>
    <row r="244">
      <c r="A244" s="29" t="n">
        <v>46091</v>
      </c>
      <c r="B244" t="n">
        <v>3</v>
      </c>
      <c r="C244" t="n">
        <v>2026</v>
      </c>
      <c r="D244" t="inlineStr">
        <is>
          <t>Geral</t>
        </is>
      </c>
      <c r="E244" t="inlineStr">
        <is>
          <t>Transferência - Bruno (própria)</t>
        </is>
      </c>
      <c r="F244" t="inlineStr">
        <is>
          <t>Pix Bruno→Bruno (entre contas próprias)</t>
        </is>
      </c>
      <c r="G244" t="inlineStr">
        <is>
          <t>Despesa</t>
        </is>
      </c>
      <c r="H244" s="3" t="n">
        <v>-240</v>
      </c>
      <c r="I244" t="inlineStr">
        <is>
          <t>Pix</t>
        </is>
      </c>
      <c r="J244" t="inlineStr">
        <is>
          <t>Não</t>
        </is>
      </c>
      <c r="K244" t="inlineStr">
        <is>
          <t>Eventual</t>
        </is>
      </c>
      <c r="L244" t="inlineStr"/>
      <c r="M244" t="inlineStr">
        <is>
          <t>Mercado Pago account_statement-8f96e9be-cdd7-4687-acae-7eb11216a39b.xlsx</t>
        </is>
      </c>
      <c r="N244" t="inlineStr">
        <is>
          <t>Sem comprovante</t>
        </is>
      </c>
      <c r="O244" t="inlineStr">
        <is>
          <t>Pix enviado Bruno Porto Seus</t>
        </is>
      </c>
    </row>
    <row r="245">
      <c r="A245" s="29" t="n">
        <v>46091</v>
      </c>
      <c r="B245" t="n">
        <v>3</v>
      </c>
      <c r="C245" t="n">
        <v>2026</v>
      </c>
      <c r="D245" t="inlineStr">
        <is>
          <t>Geral</t>
        </is>
      </c>
      <c r="E245" t="inlineStr">
        <is>
          <t>Transferência - Bruno (própria)</t>
        </is>
      </c>
      <c r="F245" t="inlineStr">
        <is>
          <t>Pix Bruno→Bruno (entre contas próprias)</t>
        </is>
      </c>
      <c r="G245" t="inlineStr">
        <is>
          <t>Despesa</t>
        </is>
      </c>
      <c r="H245" s="3" t="n">
        <v>-350</v>
      </c>
      <c r="I245" t="inlineStr">
        <is>
          <t>Pix</t>
        </is>
      </c>
      <c r="J245" t="inlineStr">
        <is>
          <t>Não</t>
        </is>
      </c>
      <c r="K245" t="inlineStr">
        <is>
          <t>Eventual</t>
        </is>
      </c>
      <c r="L245" t="inlineStr"/>
      <c r="M245" t="inlineStr">
        <is>
          <t>Mercado Pago account_statement-8f96e9be-cdd7-4687-acae-7eb11216a39b.xlsx</t>
        </is>
      </c>
      <c r="N245" t="inlineStr">
        <is>
          <t>Sem comprovante</t>
        </is>
      </c>
      <c r="O245" t="inlineStr">
        <is>
          <t>Pix enviado Bruno Porto Seus</t>
        </is>
      </c>
    </row>
    <row r="246">
      <c r="A246" s="29" t="n">
        <v>46091</v>
      </c>
      <c r="B246" t="n">
        <v>3</v>
      </c>
      <c r="C246" t="n">
        <v>2026</v>
      </c>
      <c r="D246" t="inlineStr">
        <is>
          <t>Geral</t>
        </is>
      </c>
      <c r="E246" t="inlineStr">
        <is>
          <t>Pessoal</t>
        </is>
      </c>
      <c r="F246" t="inlineStr">
        <is>
          <t>Joseli</t>
        </is>
      </c>
      <c r="G246" t="inlineStr">
        <is>
          <t>Despesa</t>
        </is>
      </c>
      <c r="H246" s="3" t="n">
        <v>-50</v>
      </c>
      <c r="I246" t="inlineStr">
        <is>
          <t>Pix</t>
        </is>
      </c>
      <c r="J246" t="inlineStr">
        <is>
          <t>Não</t>
        </is>
      </c>
      <c r="K246" t="inlineStr">
        <is>
          <t>Eventual</t>
        </is>
      </c>
      <c r="L246" t="inlineStr"/>
      <c r="M246" t="inlineStr">
        <is>
          <t>Mercado Pago account_statement-8f96e9be-cdd7-4687-acae-7eb11216a39b.xlsx</t>
        </is>
      </c>
      <c r="N246" t="inlineStr">
        <is>
          <t>Sem comprovante</t>
        </is>
      </c>
      <c r="O246" t="inlineStr">
        <is>
          <t>Pix enviado Joseli de Fuccio Santos</t>
        </is>
      </c>
    </row>
    <row r="247">
      <c r="A247" s="29" t="n">
        <v>46091</v>
      </c>
      <c r="B247" t="n">
        <v>3</v>
      </c>
      <c r="C247" t="n">
        <v>2026</v>
      </c>
      <c r="D247" t="inlineStr">
        <is>
          <t>Geral</t>
        </is>
      </c>
      <c r="E247" t="inlineStr">
        <is>
          <t>Outros</t>
        </is>
      </c>
      <c r="F247" t="inlineStr">
        <is>
          <t>Transferência Pix Enviada</t>
        </is>
      </c>
      <c r="G247" t="inlineStr">
        <is>
          <t>Despesa</t>
        </is>
      </c>
      <c r="H247" s="3" t="n">
        <v>-180</v>
      </c>
      <c r="I247" t="inlineStr">
        <is>
          <t>Pix</t>
        </is>
      </c>
      <c r="J247" t="inlineStr">
        <is>
          <t>Não</t>
        </is>
      </c>
      <c r="K247" t="inlineStr">
        <is>
          <t>Eventual</t>
        </is>
      </c>
      <c r="L247" t="inlineStr"/>
      <c r="M247" t="inlineStr">
        <is>
          <t>Mercado Pago account_statement-8f96e9be-cdd7-4687-acae-7eb11216a39b.xlsx</t>
        </is>
      </c>
      <c r="N247" t="inlineStr">
        <is>
          <t>Sem comprovante</t>
        </is>
      </c>
      <c r="O247" t="inlineStr">
        <is>
          <t>Pix enviado Rubens Alves dos Santos</t>
        </is>
      </c>
    </row>
    <row r="248">
      <c r="A248" s="29" t="n">
        <v>46091</v>
      </c>
      <c r="B248" t="n">
        <v>3</v>
      </c>
      <c r="C248" t="n">
        <v>2026</v>
      </c>
      <c r="D248" t="inlineStr">
        <is>
          <t>Studio</t>
        </is>
      </c>
      <c r="E248" t="inlineStr">
        <is>
          <t>Receita - Midialike</t>
        </is>
      </c>
      <c r="F248" t="inlineStr">
        <is>
          <t>Depósito Midialike</t>
        </is>
      </c>
      <c r="G248" t="inlineStr">
        <is>
          <t>Receita</t>
        </is>
      </c>
      <c r="H248" s="3" t="n">
        <v>5800</v>
      </c>
      <c r="I248" t="inlineStr">
        <is>
          <t>Pix</t>
        </is>
      </c>
      <c r="J248" t="inlineStr">
        <is>
          <t>Sim</t>
        </is>
      </c>
      <c r="K248" t="inlineStr">
        <is>
          <t>Mensal</t>
        </is>
      </c>
      <c r="L248" t="inlineStr"/>
      <c r="M248" t="inlineStr">
        <is>
          <t>Mercado Pago account_statement-8f96e9be-cdd7-4687-acae-7eb11216a39b.xlsx</t>
        </is>
      </c>
      <c r="N248" t="inlineStr">
        <is>
          <t>Recebido</t>
        </is>
      </c>
      <c r="O248" t="inlineStr">
        <is>
          <t>Pix recebido MIDIA LIKE LTDA</t>
        </is>
      </c>
    </row>
    <row r="249">
      <c r="A249" s="29" t="n">
        <v>46091</v>
      </c>
      <c r="B249" t="n">
        <v>3</v>
      </c>
      <c r="C249" t="n">
        <v>2026</v>
      </c>
      <c r="D249" t="inlineStr">
        <is>
          <t>Geral</t>
        </is>
      </c>
      <c r="E249" t="inlineStr">
        <is>
          <t>Pessoal</t>
        </is>
      </c>
      <c r="F249" t="inlineStr">
        <is>
          <t>Bruno Luiz (familiar)</t>
        </is>
      </c>
      <c r="G249" t="inlineStr">
        <is>
          <t>Despesa</t>
        </is>
      </c>
      <c r="H249" s="3" t="n">
        <v>-240</v>
      </c>
      <c r="I249" t="inlineStr">
        <is>
          <t>Pix</t>
        </is>
      </c>
      <c r="J249" t="inlineStr">
        <is>
          <t>Não</t>
        </is>
      </c>
      <c r="K249" t="inlineStr">
        <is>
          <t>Eventual</t>
        </is>
      </c>
      <c r="L249" t="inlineStr"/>
      <c r="M249" t="inlineStr">
        <is>
          <t>Nubank NU_370124875_01MAR2026_31MAR2026.csv</t>
        </is>
      </c>
      <c r="N249" t="inlineStr">
        <is>
          <t>Sem comprovante</t>
        </is>
      </c>
      <c r="O249" t="inlineStr">
        <is>
          <t>Transferência enviada pelo Pix - BRUNO LUIZ SASTRE SEUS JUNIOR - •••.516.739-•• - BCO BRADESCO S.A. (0237) Agência: 3925 Conta: 165900-6</t>
        </is>
      </c>
    </row>
    <row r="250">
      <c r="A250" s="29" t="n">
        <v>46091</v>
      </c>
      <c r="B250" t="n">
        <v>3</v>
      </c>
      <c r="C250" t="n">
        <v>2026</v>
      </c>
      <c r="D250" t="inlineStr">
        <is>
          <t>Geral</t>
        </is>
      </c>
      <c r="E250" t="inlineStr">
        <is>
          <t>Outros</t>
        </is>
      </c>
      <c r="F250" t="inlineStr">
        <is>
          <t>Transferência Pix Enviada</t>
        </is>
      </c>
      <c r="G250" t="inlineStr">
        <is>
          <t>Despesa</t>
        </is>
      </c>
      <c r="H250" s="3" t="n">
        <v>-350</v>
      </c>
      <c r="I250" t="inlineStr">
        <is>
          <t>Pix</t>
        </is>
      </c>
      <c r="J250" t="inlineStr">
        <is>
          <t>Não</t>
        </is>
      </c>
      <c r="K250" t="inlineStr">
        <is>
          <t>Eventual</t>
        </is>
      </c>
      <c r="L250" t="inlineStr"/>
      <c r="M250" t="inlineStr">
        <is>
          <t>Nubank NU_370124875_01MAR2026_31MAR2026.csv</t>
        </is>
      </c>
      <c r="N250" t="inlineStr">
        <is>
          <t>Sem comprovante</t>
        </is>
      </c>
      <c r="O250" t="inlineStr">
        <is>
          <t>Transferência enviada pelo Pix - CUIDAR CPAP - 30.285.102/0001-61 - STONE IP S.A. (0197) Agência: 1 Conta: 61809530-1</t>
        </is>
      </c>
    </row>
    <row r="251">
      <c r="A251" s="29" t="n">
        <v>46091</v>
      </c>
      <c r="B251" t="n">
        <v>3</v>
      </c>
      <c r="C251" t="n">
        <v>2026</v>
      </c>
      <c r="D251" t="inlineStr">
        <is>
          <t>Studio</t>
        </is>
      </c>
      <c r="E251" t="inlineStr">
        <is>
          <t>Receita - Denise (Salão)</t>
        </is>
      </c>
      <c r="F251" t="inlineStr">
        <is>
          <t>Depósito recebido de Denise / Salão</t>
        </is>
      </c>
      <c r="G251" t="inlineStr">
        <is>
          <t>Receita</t>
        </is>
      </c>
      <c r="H251" s="3" t="n">
        <v>240</v>
      </c>
      <c r="I251" t="inlineStr">
        <is>
          <t>Pix</t>
        </is>
      </c>
      <c r="J251" t="inlineStr">
        <is>
          <t>Não</t>
        </is>
      </c>
      <c r="K251" t="inlineStr">
        <is>
          <t>Eventual</t>
        </is>
      </c>
      <c r="L251" t="inlineStr"/>
      <c r="M251" t="inlineStr">
        <is>
          <t>Nubank NU_370124875_01MAR2026_31MAR2026.csv</t>
        </is>
      </c>
      <c r="N251" t="inlineStr">
        <is>
          <t>Recebido</t>
        </is>
      </c>
      <c r="O251" t="inlineStr">
        <is>
          <t>Transferência recebida pelo Pix - DENISE DE PAULA CENTRO DE ESTETICA LTDA - 05.823.454/0001-86 - MERCADO PAGO IP LTDA. (0323) Agência: 1 Conta: 8804533771-0</t>
        </is>
      </c>
    </row>
    <row r="252">
      <c r="A252" s="29" t="n">
        <v>46091</v>
      </c>
      <c r="B252" t="n">
        <v>3</v>
      </c>
      <c r="C252" t="n">
        <v>2026</v>
      </c>
      <c r="D252" t="inlineStr">
        <is>
          <t>Studio</t>
        </is>
      </c>
      <c r="E252" t="inlineStr">
        <is>
          <t>Receita - Denise (Salão)</t>
        </is>
      </c>
      <c r="F252" t="inlineStr">
        <is>
          <t>Depósito recebido de Denise / Salão</t>
        </is>
      </c>
      <c r="G252" t="inlineStr">
        <is>
          <t>Receita</t>
        </is>
      </c>
      <c r="H252" s="3" t="n">
        <v>350</v>
      </c>
      <c r="I252" t="inlineStr">
        <is>
          <t>Pix</t>
        </is>
      </c>
      <c r="J252" t="inlineStr">
        <is>
          <t>Não</t>
        </is>
      </c>
      <c r="K252" t="inlineStr">
        <is>
          <t>Eventual</t>
        </is>
      </c>
      <c r="L252" t="inlineStr"/>
      <c r="M252" t="inlineStr">
        <is>
          <t>Nubank NU_370124875_01MAR2026_31MAR2026.csv</t>
        </is>
      </c>
      <c r="N252" t="inlineStr">
        <is>
          <t>Recebido</t>
        </is>
      </c>
      <c r="O252" t="inlineStr">
        <is>
          <t>Transferência recebida pelo Pix - DENISE DE PAULA CENTRO DE ESTETICA LTDA - 05.823.454/0001-86 - MERCADO PAGO IP LTDA. (0323) Agência: 1 Conta: 8804533771-0</t>
        </is>
      </c>
    </row>
    <row r="253">
      <c r="A253" s="29" t="n">
        <v>46092</v>
      </c>
      <c r="B253" t="n">
        <v>3</v>
      </c>
      <c r="C253" t="n">
        <v>2026</v>
      </c>
      <c r="D253" t="inlineStr">
        <is>
          <t>Pessoal</t>
        </is>
      </c>
      <c r="E253" t="inlineStr">
        <is>
          <t>Contas Variáveis</t>
        </is>
      </c>
      <c r="F253" t="inlineStr">
        <is>
          <t>Combustível</t>
        </is>
      </c>
      <c r="G253" t="inlineStr">
        <is>
          <t>Despesa</t>
        </is>
      </c>
      <c r="H253" s="3" t="n">
        <v>-41.87</v>
      </c>
      <c r="I253" t="inlineStr">
        <is>
          <t>Débito</t>
        </is>
      </c>
      <c r="J253" t="inlineStr">
        <is>
          <t>Não</t>
        </is>
      </c>
      <c r="K253" t="inlineStr">
        <is>
          <t>Eventual</t>
        </is>
      </c>
      <c r="L253" t="inlineStr"/>
      <c r="M253" t="inlineStr">
        <is>
          <t>Nubank NU_370124875_01MAR2026_31MAR2026.csv</t>
        </is>
      </c>
      <c r="N253" t="inlineStr">
        <is>
          <t>Sem comprovante</t>
        </is>
      </c>
      <c r="O253" t="inlineStr">
        <is>
          <t>Compra no débito - AUTO POSTO TS LTDA</t>
        </is>
      </c>
    </row>
    <row r="254">
      <c r="A254" s="29" t="n">
        <v>46092</v>
      </c>
      <c r="B254" t="n">
        <v>3</v>
      </c>
      <c r="C254" t="n">
        <v>2026</v>
      </c>
      <c r="D254" t="inlineStr">
        <is>
          <t>Pessoal</t>
        </is>
      </c>
      <c r="E254" t="inlineStr">
        <is>
          <t>Contas Variáveis</t>
        </is>
      </c>
      <c r="F254" t="inlineStr">
        <is>
          <t>Restaurante / Alimentação</t>
        </is>
      </c>
      <c r="G254" t="inlineStr">
        <is>
          <t>Despesa</t>
        </is>
      </c>
      <c r="H254" s="3" t="n">
        <v>-30</v>
      </c>
      <c r="I254" t="inlineStr">
        <is>
          <t>Débito</t>
        </is>
      </c>
      <c r="J254" t="inlineStr">
        <is>
          <t>Não</t>
        </is>
      </c>
      <c r="K254" t="inlineStr">
        <is>
          <t>Eventual</t>
        </is>
      </c>
      <c r="L254" t="inlineStr"/>
      <c r="M254" t="inlineStr">
        <is>
          <t>Nubank NU_370124875_01MAR2026_31MAR2026.csv</t>
        </is>
      </c>
      <c r="N254" t="inlineStr">
        <is>
          <t>Sem comprovante</t>
        </is>
      </c>
      <c r="O254" t="inlineStr">
        <is>
          <t>Compra no débito - RESTAURANTE DO SANDRIN</t>
        </is>
      </c>
    </row>
    <row r="255">
      <c r="A255" s="29" t="n">
        <v>46092</v>
      </c>
      <c r="B255" t="n">
        <v>3</v>
      </c>
      <c r="C255" t="n">
        <v>2026</v>
      </c>
      <c r="D255" t="inlineStr">
        <is>
          <t>Studio</t>
        </is>
      </c>
      <c r="E255" t="inlineStr">
        <is>
          <t>Receita - Liberação de Crédito</t>
        </is>
      </c>
      <c r="F255" t="inlineStr">
        <is>
          <t>Liberação de Crédito (Studio)</t>
        </is>
      </c>
      <c r="G255" t="inlineStr">
        <is>
          <t>Receita</t>
        </is>
      </c>
      <c r="H255" s="3" t="n">
        <v>58.04</v>
      </c>
      <c r="I255" t="inlineStr">
        <is>
          <t>Outro</t>
        </is>
      </c>
      <c r="J255" t="inlineStr">
        <is>
          <t>Não</t>
        </is>
      </c>
      <c r="K255" t="inlineStr">
        <is>
          <t>Eventual</t>
        </is>
      </c>
      <c r="L255" t="inlineStr"/>
      <c r="M255" t="inlineStr">
        <is>
          <t>Mercado Pago account_statement-8f96e9be-cdd7-4687-acae-7eb11216a39b.xlsx</t>
        </is>
      </c>
      <c r="N255" t="inlineStr">
        <is>
          <t>Recebido</t>
        </is>
      </c>
      <c r="O255" t="inlineStr">
        <is>
          <t>Liberação de dinheiro</t>
        </is>
      </c>
    </row>
    <row r="256">
      <c r="A256" s="29" t="n">
        <v>46092</v>
      </c>
      <c r="B256" t="n">
        <v>3</v>
      </c>
      <c r="C256" t="n">
        <v>2026</v>
      </c>
      <c r="D256" t="inlineStr">
        <is>
          <t>Studio</t>
        </is>
      </c>
      <c r="E256" t="inlineStr">
        <is>
          <t>Receita - Liberação de Crédito</t>
        </is>
      </c>
      <c r="F256" t="inlineStr">
        <is>
          <t>Liberação de Crédito (Studio)</t>
        </is>
      </c>
      <c r="G256" t="inlineStr">
        <is>
          <t>Receita</t>
        </is>
      </c>
      <c r="H256" s="3" t="n">
        <v>492.61</v>
      </c>
      <c r="I256" t="inlineStr">
        <is>
          <t>Outro</t>
        </is>
      </c>
      <c r="J256" t="inlineStr">
        <is>
          <t>Não</t>
        </is>
      </c>
      <c r="K256" t="inlineStr">
        <is>
          <t>Eventual</t>
        </is>
      </c>
      <c r="L256" t="inlineStr"/>
      <c r="M256" t="inlineStr">
        <is>
          <t>Mercado Pago account_statement-8f96e9be-cdd7-4687-acae-7eb11216a39b.xlsx</t>
        </is>
      </c>
      <c r="N256" t="inlineStr">
        <is>
          <t>Recebido</t>
        </is>
      </c>
      <c r="O256" t="inlineStr">
        <is>
          <t>Liberação de dinheiro</t>
        </is>
      </c>
    </row>
    <row r="257">
      <c r="A257" s="29" t="n">
        <v>46092</v>
      </c>
      <c r="B257" t="n">
        <v>3</v>
      </c>
      <c r="C257" t="n">
        <v>2026</v>
      </c>
      <c r="D257" t="inlineStr">
        <is>
          <t>Studio</t>
        </is>
      </c>
      <c r="E257" t="inlineStr">
        <is>
          <t>Receita - Liberação de Crédito</t>
        </is>
      </c>
      <c r="F257" t="inlineStr">
        <is>
          <t>Liberação de Crédito (Studio)</t>
        </is>
      </c>
      <c r="G257" t="inlineStr">
        <is>
          <t>Receita</t>
        </is>
      </c>
      <c r="H257" s="3" t="n">
        <v>750.27</v>
      </c>
      <c r="I257" t="inlineStr">
        <is>
          <t>Outro</t>
        </is>
      </c>
      <c r="J257" t="inlineStr">
        <is>
          <t>Não</t>
        </is>
      </c>
      <c r="K257" t="inlineStr">
        <is>
          <t>Eventual</t>
        </is>
      </c>
      <c r="L257" t="inlineStr"/>
      <c r="M257" t="inlineStr">
        <is>
          <t>Mercado Pago account_statement-8f96e9be-cdd7-4687-acae-7eb11216a39b.xlsx</t>
        </is>
      </c>
      <c r="N257" t="inlineStr">
        <is>
          <t>Recebido</t>
        </is>
      </c>
      <c r="O257" t="inlineStr">
        <is>
          <t>Liberação de dinheiro</t>
        </is>
      </c>
    </row>
    <row r="258">
      <c r="A258" s="29" t="n">
        <v>46092</v>
      </c>
      <c r="B258" t="n">
        <v>3</v>
      </c>
      <c r="C258" t="n">
        <v>2026</v>
      </c>
      <c r="D258" t="inlineStr">
        <is>
          <t>Studio</t>
        </is>
      </c>
      <c r="E258" t="inlineStr">
        <is>
          <t>Receita - Outros</t>
        </is>
      </c>
      <c r="F258" t="inlineStr">
        <is>
          <t>Receita não categorizada</t>
        </is>
      </c>
      <c r="G258" t="inlineStr">
        <is>
          <t>Receita</t>
        </is>
      </c>
      <c r="H258" s="3" t="n">
        <v>646.8099999999999</v>
      </c>
      <c r="I258" t="inlineStr">
        <is>
          <t>Pix</t>
        </is>
      </c>
      <c r="J258" t="inlineStr">
        <is>
          <t>Não</t>
        </is>
      </c>
      <c r="K258" t="inlineStr">
        <is>
          <t>Eventual</t>
        </is>
      </c>
      <c r="L258" t="inlineStr"/>
      <c r="M258" t="inlineStr">
        <is>
          <t>Mercado Pago account_statement-8f96e9be-cdd7-4687-acae-7eb11216a39b.xlsx</t>
        </is>
      </c>
      <c r="N258" t="inlineStr">
        <is>
          <t>Recebido</t>
        </is>
      </c>
      <c r="O258" t="inlineStr">
        <is>
          <t>Pagamento com Código QR Pix Yara Lopes Raposo</t>
        </is>
      </c>
    </row>
    <row r="259">
      <c r="A259" s="29" t="n">
        <v>46092</v>
      </c>
      <c r="B259" t="n">
        <v>3</v>
      </c>
      <c r="C259" t="n">
        <v>2026</v>
      </c>
      <c r="D259" t="inlineStr">
        <is>
          <t>Geral</t>
        </is>
      </c>
      <c r="E259" t="inlineStr">
        <is>
          <t>Outros</t>
        </is>
      </c>
      <c r="F259" t="inlineStr">
        <is>
          <t>Maçonaria / Loja Simbólica</t>
        </is>
      </c>
      <c r="G259" t="inlineStr">
        <is>
          <t>Despesa</t>
        </is>
      </c>
      <c r="H259" s="3" t="n">
        <v>-95</v>
      </c>
      <c r="I259" t="inlineStr">
        <is>
          <t>Outro</t>
        </is>
      </c>
      <c r="J259" t="inlineStr">
        <is>
          <t>Não</t>
        </is>
      </c>
      <c r="K259" t="inlineStr">
        <is>
          <t>Eventual</t>
        </is>
      </c>
      <c r="L259" t="inlineStr"/>
      <c r="M259" t="inlineStr">
        <is>
          <t>Nubank NU_370124875_01MAR2026_31MAR2026.csv</t>
        </is>
      </c>
      <c r="N259" t="inlineStr">
        <is>
          <t>Sem comprovante</t>
        </is>
      </c>
      <c r="O259" t="inlineStr">
        <is>
          <t>Pagamento de boleto efetuado - SUPREMO CONSELHO DO GRAU 33 DO REAA DA M</t>
        </is>
      </c>
    </row>
    <row r="260">
      <c r="A260" s="29" t="n">
        <v>46092</v>
      </c>
      <c r="B260" t="n">
        <v>3</v>
      </c>
      <c r="C260" t="n">
        <v>2026</v>
      </c>
      <c r="D260" t="inlineStr">
        <is>
          <t>Geral</t>
        </is>
      </c>
      <c r="E260" t="inlineStr">
        <is>
          <t>Transferência - Bruno (própria)</t>
        </is>
      </c>
      <c r="F260" t="inlineStr">
        <is>
          <t>Pix Bruno→Bruno (entre contas próprias)</t>
        </is>
      </c>
      <c r="G260" t="inlineStr">
        <is>
          <t>Despesa</t>
        </is>
      </c>
      <c r="H260" s="3" t="n">
        <v>-6500</v>
      </c>
      <c r="I260" t="inlineStr">
        <is>
          <t>Pix</t>
        </is>
      </c>
      <c r="J260" t="inlineStr">
        <is>
          <t>Não</t>
        </is>
      </c>
      <c r="K260" t="inlineStr">
        <is>
          <t>Eventual</t>
        </is>
      </c>
      <c r="L260" t="inlineStr"/>
      <c r="M260" t="inlineStr">
        <is>
          <t>Mercado Pago account_statement-8f96e9be-cdd7-4687-acae-7eb11216a39b.xlsx</t>
        </is>
      </c>
      <c r="N260" t="inlineStr">
        <is>
          <t>Sem comprovante</t>
        </is>
      </c>
      <c r="O260" t="inlineStr">
        <is>
          <t>Pix enviado Bruno Porto Seus</t>
        </is>
      </c>
    </row>
    <row r="261">
      <c r="A261" s="29" t="n">
        <v>46092</v>
      </c>
      <c r="B261" t="n">
        <v>3</v>
      </c>
      <c r="C261" t="n">
        <v>2026</v>
      </c>
      <c r="D261" t="inlineStr">
        <is>
          <t>Studio</t>
        </is>
      </c>
      <c r="E261" t="inlineStr">
        <is>
          <t>Outros</t>
        </is>
      </c>
      <c r="F261" t="inlineStr">
        <is>
          <t>Pagamento Cartão Carrefour</t>
        </is>
      </c>
      <c r="G261" t="inlineStr">
        <is>
          <t>Despesa</t>
        </is>
      </c>
      <c r="H261" s="3" t="n">
        <v>-6458.95</v>
      </c>
      <c r="I261" t="inlineStr">
        <is>
          <t>Pix</t>
        </is>
      </c>
      <c r="J261" t="inlineStr">
        <is>
          <t>Não</t>
        </is>
      </c>
      <c r="K261" t="inlineStr">
        <is>
          <t>Eventual</t>
        </is>
      </c>
      <c r="L261" t="inlineStr"/>
      <c r="M261" t="inlineStr">
        <is>
          <t>Nubank NU_370124875_01MAR2026_31MAR2026.csv</t>
        </is>
      </c>
      <c r="N261" t="inlineStr">
        <is>
          <t>Sem comprovante</t>
        </is>
      </c>
      <c r="O261" t="inlineStr">
        <is>
          <t>Transferência enviada pelo Pix - BANCO CSF - 08.357.240/0001-50 - Banco CSF S.A. (0368) Agência: 1 Conta: 835724-0</t>
        </is>
      </c>
    </row>
    <row r="262">
      <c r="A262" s="29" t="n">
        <v>46092</v>
      </c>
      <c r="B262" t="n">
        <v>3</v>
      </c>
      <c r="C262" t="n">
        <v>2026</v>
      </c>
      <c r="D262" t="inlineStr">
        <is>
          <t>Studio</t>
        </is>
      </c>
      <c r="E262" t="inlineStr">
        <is>
          <t>Receita - Denise (Salão)</t>
        </is>
      </c>
      <c r="F262" t="inlineStr">
        <is>
          <t>Depósito recebido de Denise / Salão</t>
        </is>
      </c>
      <c r="G262" t="inlineStr">
        <is>
          <t>Receita</t>
        </is>
      </c>
      <c r="H262" s="3" t="n">
        <v>6500</v>
      </c>
      <c r="I262" t="inlineStr">
        <is>
          <t>Pix</t>
        </is>
      </c>
      <c r="J262" t="inlineStr">
        <is>
          <t>Não</t>
        </is>
      </c>
      <c r="K262" t="inlineStr">
        <is>
          <t>Eventual</t>
        </is>
      </c>
      <c r="L262" t="inlineStr"/>
      <c r="M262" t="inlineStr">
        <is>
          <t>Nubank NU_370124875_01MAR2026_31MAR2026.csv</t>
        </is>
      </c>
      <c r="N262" t="inlineStr">
        <is>
          <t>Recebido</t>
        </is>
      </c>
      <c r="O262" t="inlineStr">
        <is>
          <t>Transferência recebida pelo Pix - DENISE DE PAULA CENTRO DE ESTETICA LTDA - 05.823.454/0001-86 - MERCADO PAGO IP LTDA. (0323) Agência: 1 Conta: 8804533771-0</t>
        </is>
      </c>
    </row>
    <row r="263">
      <c r="A263" s="29" t="n">
        <v>46092</v>
      </c>
      <c r="B263" t="n">
        <v>3</v>
      </c>
      <c r="C263" t="n">
        <v>2026</v>
      </c>
      <c r="D263" t="inlineStr">
        <is>
          <t>Studio</t>
        </is>
      </c>
      <c r="E263" t="inlineStr">
        <is>
          <t>Receita - Outros</t>
        </is>
      </c>
      <c r="F263" t="inlineStr">
        <is>
          <t>Receita não categorizada</t>
        </is>
      </c>
      <c r="G263" t="inlineStr">
        <is>
          <t>Receita</t>
        </is>
      </c>
      <c r="H263" s="3" t="n">
        <v>150</v>
      </c>
      <c r="I263" t="inlineStr">
        <is>
          <t>Pix</t>
        </is>
      </c>
      <c r="J263" t="inlineStr">
        <is>
          <t>Não</t>
        </is>
      </c>
      <c r="K263" t="inlineStr">
        <is>
          <t>Eventual</t>
        </is>
      </c>
      <c r="L263" t="inlineStr"/>
      <c r="M263" t="inlineStr">
        <is>
          <t>Nubank NU_370124875_01MAR2026_31MAR2026.csv</t>
        </is>
      </c>
      <c r="N263" t="inlineStr">
        <is>
          <t>Recebido</t>
        </is>
      </c>
      <c r="O263" t="inlineStr">
        <is>
          <t>Transferência recebida pelo Pix - ZAIDA PORTO SEUS - •••.144.769-•• - BCO BRADESCO S.A. (0237) Agência: 5750 Conta: 655913-1</t>
        </is>
      </c>
    </row>
    <row r="264">
      <c r="A264" s="29" t="n">
        <v>46093</v>
      </c>
      <c r="B264" t="n">
        <v>3</v>
      </c>
      <c r="C264" t="n">
        <v>2026</v>
      </c>
      <c r="D264" t="inlineStr">
        <is>
          <t>Studio</t>
        </is>
      </c>
      <c r="E264" t="inlineStr">
        <is>
          <t>Contas Fixas</t>
        </is>
      </c>
      <c r="F264" t="inlineStr">
        <is>
          <t>Internet / Telecom</t>
        </is>
      </c>
      <c r="G264" t="inlineStr">
        <is>
          <t>Receita</t>
        </is>
      </c>
      <c r="H264" s="3" t="n">
        <v>4000</v>
      </c>
      <c r="I264" t="inlineStr">
        <is>
          <t>Outro</t>
        </is>
      </c>
      <c r="J264" t="inlineStr">
        <is>
          <t>Sim</t>
        </is>
      </c>
      <c r="K264" t="inlineStr">
        <is>
          <t>Mensal</t>
        </is>
      </c>
      <c r="L264" t="inlineStr"/>
      <c r="M264" t="inlineStr">
        <is>
          <t>Mercado Pago account_statement-8f96e9be-cdd7-4687-acae-7eb11216a39b.xlsx</t>
        </is>
      </c>
      <c r="N264" t="inlineStr">
        <is>
          <t>Recebido</t>
        </is>
      </c>
      <c r="O264" t="inlineStr">
        <is>
          <t>Aprovação do Crédito em Parcelas Fixas Empréstimos</t>
        </is>
      </c>
    </row>
    <row r="265">
      <c r="A265" s="29" t="n">
        <v>46093</v>
      </c>
      <c r="B265" t="n">
        <v>3</v>
      </c>
      <c r="C265" t="n">
        <v>2026</v>
      </c>
      <c r="D265" t="inlineStr">
        <is>
          <t>Pessoal</t>
        </is>
      </c>
      <c r="E265" t="inlineStr">
        <is>
          <t>Contas Variáveis</t>
        </is>
      </c>
      <c r="F265" t="inlineStr">
        <is>
          <t>Compra no débito</t>
        </is>
      </c>
      <c r="G265" t="inlineStr">
        <is>
          <t>Despesa</t>
        </is>
      </c>
      <c r="H265" s="3" t="n">
        <v>-2.05</v>
      </c>
      <c r="I265" t="inlineStr">
        <is>
          <t>Débito</t>
        </is>
      </c>
      <c r="J265" t="inlineStr">
        <is>
          <t>Não</t>
        </is>
      </c>
      <c r="K265" t="inlineStr">
        <is>
          <t>Eventual</t>
        </is>
      </c>
      <c r="L265" t="inlineStr"/>
      <c r="M265" t="inlineStr">
        <is>
          <t>Nubank NU_370124875_01MAR2026_31MAR2026.csv</t>
        </is>
      </c>
      <c r="N265" t="inlineStr">
        <is>
          <t>Sem comprovante</t>
        </is>
      </c>
      <c r="O265" t="inlineStr">
        <is>
          <t>Compra no débito - RECEFER FERRAGENS</t>
        </is>
      </c>
    </row>
    <row r="266">
      <c r="A266" s="29" t="n">
        <v>46093</v>
      </c>
      <c r="B266" t="n">
        <v>3</v>
      </c>
      <c r="C266" t="n">
        <v>2026</v>
      </c>
      <c r="D266" t="inlineStr">
        <is>
          <t>Studio</t>
        </is>
      </c>
      <c r="E266" t="inlineStr">
        <is>
          <t>Receita - Liberação de Crédito</t>
        </is>
      </c>
      <c r="F266" t="inlineStr">
        <is>
          <t>Liberação de Crédito (Studio)</t>
        </is>
      </c>
      <c r="G266" t="inlineStr">
        <is>
          <t>Receita</t>
        </is>
      </c>
      <c r="H266" s="3" t="n">
        <v>483.6</v>
      </c>
      <c r="I266" t="inlineStr">
        <is>
          <t>Outro</t>
        </is>
      </c>
      <c r="J266" t="inlineStr">
        <is>
          <t>Não</t>
        </is>
      </c>
      <c r="K266" t="inlineStr">
        <is>
          <t>Eventual</t>
        </is>
      </c>
      <c r="L266" t="inlineStr"/>
      <c r="M266" t="inlineStr">
        <is>
          <t>Mercado Pago account_statement-8f96e9be-cdd7-4687-acae-7eb11216a39b.xlsx</t>
        </is>
      </c>
      <c r="N266" t="inlineStr">
        <is>
          <t>Recebido</t>
        </is>
      </c>
      <c r="O266" t="inlineStr">
        <is>
          <t>Liberação de dinheiro</t>
        </is>
      </c>
    </row>
    <row r="267">
      <c r="A267" s="29" t="n">
        <v>46093</v>
      </c>
      <c r="B267" t="n">
        <v>3</v>
      </c>
      <c r="C267" t="n">
        <v>2026</v>
      </c>
      <c r="D267" t="inlineStr">
        <is>
          <t>Geral</t>
        </is>
      </c>
      <c r="E267" t="inlineStr">
        <is>
          <t>Outros</t>
        </is>
      </c>
      <c r="F267" t="inlineStr">
        <is>
          <t>Consórcio</t>
        </is>
      </c>
      <c r="G267" t="inlineStr">
        <is>
          <t>Despesa</t>
        </is>
      </c>
      <c r="H267" s="3" t="n">
        <v>-348.05</v>
      </c>
      <c r="I267" t="inlineStr">
        <is>
          <t>Pix</t>
        </is>
      </c>
      <c r="J267" t="inlineStr">
        <is>
          <t>Não</t>
        </is>
      </c>
      <c r="K267" t="inlineStr">
        <is>
          <t>Eventual</t>
        </is>
      </c>
      <c r="L267" t="inlineStr"/>
      <c r="M267" t="inlineStr">
        <is>
          <t>Mercado Pago account_statement-8f96e9be-cdd7-4687-acae-7eb11216a39b.xlsx</t>
        </is>
      </c>
      <c r="N267" t="inlineStr">
        <is>
          <t>Sem comprovante</t>
        </is>
      </c>
      <c r="O267" t="inlineStr">
        <is>
          <t>Pagamento com QR Pix CONSORCIO AXS ENERGIA UNIDADE 06</t>
        </is>
      </c>
    </row>
    <row r="268">
      <c r="A268" s="29" t="n">
        <v>46093</v>
      </c>
      <c r="B268" t="n">
        <v>3</v>
      </c>
      <c r="C268" t="n">
        <v>2026</v>
      </c>
      <c r="D268" t="inlineStr">
        <is>
          <t>Pessoal</t>
        </is>
      </c>
      <c r="E268" t="inlineStr">
        <is>
          <t>Contas Fixas</t>
        </is>
      </c>
      <c r="F268" t="inlineStr">
        <is>
          <t>Luz (Copel)</t>
        </is>
      </c>
      <c r="G268" t="inlineStr">
        <is>
          <t>Despesa</t>
        </is>
      </c>
      <c r="H268" s="3" t="n">
        <v>-211.73</v>
      </c>
      <c r="I268" t="inlineStr">
        <is>
          <t>Pix</t>
        </is>
      </c>
      <c r="J268" t="inlineStr">
        <is>
          <t>Sim</t>
        </is>
      </c>
      <c r="K268" t="inlineStr">
        <is>
          <t>Mensal</t>
        </is>
      </c>
      <c r="L268" t="inlineStr">
        <is>
          <t>Copel Casa/00000031-comprovante-150016529296.pdf</t>
        </is>
      </c>
      <c r="M268" t="inlineStr">
        <is>
          <t>Mercado Pago account_statement-8f96e9be-cdd7-4687-acae-7eb11216a39b.xlsx</t>
        </is>
      </c>
      <c r="N268" t="inlineStr">
        <is>
          <t>Pago</t>
        </is>
      </c>
      <c r="O268" t="inlineStr">
        <is>
          <t>Pagamento com QR Pix COPEL DISTRIBUICAO S.A.</t>
        </is>
      </c>
    </row>
    <row r="269">
      <c r="A269" s="29" t="n">
        <v>46093</v>
      </c>
      <c r="B269" t="n">
        <v>3</v>
      </c>
      <c r="C269" t="n">
        <v>2026</v>
      </c>
      <c r="D269" t="inlineStr">
        <is>
          <t>Pessoal</t>
        </is>
      </c>
      <c r="E269" t="inlineStr">
        <is>
          <t>Contas Fixas</t>
        </is>
      </c>
      <c r="F269" t="inlineStr">
        <is>
          <t>Luz (Copel)</t>
        </is>
      </c>
      <c r="G269" t="inlineStr">
        <is>
          <t>Despesa</t>
        </is>
      </c>
      <c r="H269" s="3" t="n">
        <v>-174.05</v>
      </c>
      <c r="I269" t="inlineStr">
        <is>
          <t>Pix</t>
        </is>
      </c>
      <c r="J269" t="inlineStr">
        <is>
          <t>Sim</t>
        </is>
      </c>
      <c r="K269" t="inlineStr">
        <is>
          <t>Mensal</t>
        </is>
      </c>
      <c r="L269" t="inlineStr">
        <is>
          <t>Copel Casa/00000031-comprovante-150016529296.pdf</t>
        </is>
      </c>
      <c r="M269" t="inlineStr">
        <is>
          <t>Mercado Pago account_statement-8f96e9be-cdd7-4687-acae-7eb11216a39b.xlsx</t>
        </is>
      </c>
      <c r="N269" t="inlineStr">
        <is>
          <t>Pago</t>
        </is>
      </c>
      <c r="O269" t="inlineStr">
        <is>
          <t>Pagamento com QR Pix COPEL DISTRIBUICAO S.A.</t>
        </is>
      </c>
    </row>
    <row r="270">
      <c r="A270" s="29" t="n">
        <v>46093</v>
      </c>
      <c r="B270" t="n">
        <v>3</v>
      </c>
      <c r="C270" t="n">
        <v>2026</v>
      </c>
      <c r="D270" t="inlineStr">
        <is>
          <t>Studio</t>
        </is>
      </c>
      <c r="E270" t="inlineStr">
        <is>
          <t>Contas Fixas</t>
        </is>
      </c>
      <c r="F270" t="inlineStr">
        <is>
          <t>Internet / Telecom</t>
        </is>
      </c>
      <c r="G270" t="inlineStr">
        <is>
          <t>Despesa</t>
        </is>
      </c>
      <c r="H270" s="3" t="n">
        <v>-3945.34</v>
      </c>
      <c r="I270" t="inlineStr">
        <is>
          <t>Boleto</t>
        </is>
      </c>
      <c r="J270" t="inlineStr">
        <is>
          <t>Sim</t>
        </is>
      </c>
      <c r="K270" t="inlineStr">
        <is>
          <t>Mensal</t>
        </is>
      </c>
      <c r="L270" t="inlineStr"/>
      <c r="M270" t="inlineStr">
        <is>
          <t>Mercado Pago account_statement-8f96e9be-cdd7-4687-acae-7eb11216a39b.xlsx</t>
        </is>
      </c>
      <c r="N270" t="inlineStr">
        <is>
          <t>Sem comprovante</t>
        </is>
      </c>
      <c r="O270" t="inlineStr">
        <is>
          <t>Pagamento de conta Sorocred - Crédito, Financiamento e Investimento S/A           ...</t>
        </is>
      </c>
    </row>
    <row r="271">
      <c r="A271" s="29" t="n">
        <v>46093</v>
      </c>
      <c r="B271" t="n">
        <v>3</v>
      </c>
      <c r="C271" t="n">
        <v>2026</v>
      </c>
      <c r="D271" t="inlineStr">
        <is>
          <t>Geral</t>
        </is>
      </c>
      <c r="E271" t="inlineStr">
        <is>
          <t>Outros</t>
        </is>
      </c>
      <c r="F271" t="inlineStr">
        <is>
          <t>Pagamento de fatura cartão</t>
        </is>
      </c>
      <c r="G271" t="inlineStr">
        <is>
          <t>Despesa</t>
        </is>
      </c>
      <c r="H271" s="3" t="n">
        <v>-500</v>
      </c>
      <c r="I271" t="inlineStr">
        <is>
          <t>Outro</t>
        </is>
      </c>
      <c r="J271" t="inlineStr">
        <is>
          <t>Não</t>
        </is>
      </c>
      <c r="K271" t="inlineStr">
        <is>
          <t>Eventual</t>
        </is>
      </c>
      <c r="L271" t="inlineStr"/>
      <c r="M271" t="inlineStr">
        <is>
          <t>Nubank NU_370124875_01MAR2026_31MAR2026.csv</t>
        </is>
      </c>
      <c r="N271" t="inlineStr">
        <is>
          <t>Sem comprovante</t>
        </is>
      </c>
      <c r="O271" t="inlineStr">
        <is>
          <t>Pagamento de fatura</t>
        </is>
      </c>
    </row>
    <row r="272">
      <c r="A272" s="29" t="n">
        <v>46093</v>
      </c>
      <c r="B272" t="n">
        <v>3</v>
      </c>
      <c r="C272" t="n">
        <v>2026</v>
      </c>
      <c r="D272" t="inlineStr">
        <is>
          <t>Geral</t>
        </is>
      </c>
      <c r="E272" t="inlineStr">
        <is>
          <t>Transferência - Bruno (própria)</t>
        </is>
      </c>
      <c r="F272" t="inlineStr">
        <is>
          <t>Pix Bruno→Bruno (entre contas próprias)</t>
        </is>
      </c>
      <c r="G272" t="inlineStr">
        <is>
          <t>Despesa</t>
        </is>
      </c>
      <c r="H272" s="3" t="n">
        <v>-500</v>
      </c>
      <c r="I272" t="inlineStr">
        <is>
          <t>Pix</t>
        </is>
      </c>
      <c r="J272" t="inlineStr">
        <is>
          <t>Não</t>
        </is>
      </c>
      <c r="K272" t="inlineStr">
        <is>
          <t>Eventual</t>
        </is>
      </c>
      <c r="L272" t="inlineStr"/>
      <c r="M272" t="inlineStr">
        <is>
          <t>Mercado Pago account_statement-8f96e9be-cdd7-4687-acae-7eb11216a39b.xlsx</t>
        </is>
      </c>
      <c r="N272" t="inlineStr">
        <is>
          <t>Sem comprovante</t>
        </is>
      </c>
      <c r="O272" t="inlineStr">
        <is>
          <t>Pix enviado Bruno Porto Seus</t>
        </is>
      </c>
    </row>
    <row r="273">
      <c r="A273" s="29" t="n">
        <v>46093</v>
      </c>
      <c r="B273" t="n">
        <v>3</v>
      </c>
      <c r="C273" t="n">
        <v>2026</v>
      </c>
      <c r="D273" t="inlineStr">
        <is>
          <t>Studio</t>
        </is>
      </c>
      <c r="E273" t="inlineStr">
        <is>
          <t>Receita - Denise (Salão)</t>
        </is>
      </c>
      <c r="F273" t="inlineStr">
        <is>
          <t>Depósito recebido de Denise / Salão</t>
        </is>
      </c>
      <c r="G273" t="inlineStr">
        <is>
          <t>Receita</t>
        </is>
      </c>
      <c r="H273" s="3" t="n">
        <v>500</v>
      </c>
      <c r="I273" t="inlineStr">
        <is>
          <t>Pix</t>
        </is>
      </c>
      <c r="J273" t="inlineStr">
        <is>
          <t>Não</t>
        </is>
      </c>
      <c r="K273" t="inlineStr">
        <is>
          <t>Eventual</t>
        </is>
      </c>
      <c r="L273" t="inlineStr"/>
      <c r="M273" t="inlineStr">
        <is>
          <t>Nubank NU_370124875_01MAR2026_31MAR2026.csv</t>
        </is>
      </c>
      <c r="N273" t="inlineStr">
        <is>
          <t>Recebido</t>
        </is>
      </c>
      <c r="O273" t="inlineStr">
        <is>
          <t>Transferência recebida pelo Pix - DENISE DE PAULA CENTRO DE ESTETICA LTDA - 05.823.454/0001-86 - MERCADO PAGO IP LTDA. (0323) Agência: 1 Conta: 8804533771-0</t>
        </is>
      </c>
    </row>
    <row r="274">
      <c r="A274" s="29" t="n">
        <v>46094</v>
      </c>
      <c r="B274" t="n">
        <v>3</v>
      </c>
      <c r="C274" t="n">
        <v>2026</v>
      </c>
      <c r="D274" t="inlineStr">
        <is>
          <t>Studio</t>
        </is>
      </c>
      <c r="E274" t="inlineStr">
        <is>
          <t>Receita - Liberação de Crédito</t>
        </is>
      </c>
      <c r="F274" t="inlineStr">
        <is>
          <t>Liberação de Crédito (Studio)</t>
        </is>
      </c>
      <c r="G274" t="inlineStr">
        <is>
          <t>Receita</t>
        </is>
      </c>
      <c r="H274" s="3" t="n">
        <v>246.8</v>
      </c>
      <c r="I274" t="inlineStr">
        <is>
          <t>Outro</t>
        </is>
      </c>
      <c r="J274" t="inlineStr">
        <is>
          <t>Não</t>
        </is>
      </c>
      <c r="K274" t="inlineStr">
        <is>
          <t>Eventual</t>
        </is>
      </c>
      <c r="L274" t="inlineStr"/>
      <c r="M274" t="inlineStr">
        <is>
          <t>Mercado Pago account_statement-8f96e9be-cdd7-4687-acae-7eb11216a39b.xlsx</t>
        </is>
      </c>
      <c r="N274" t="inlineStr">
        <is>
          <t>Recebido</t>
        </is>
      </c>
      <c r="O274" t="inlineStr">
        <is>
          <t>Liberação de dinheiro</t>
        </is>
      </c>
    </row>
    <row r="275">
      <c r="A275" s="29" t="n">
        <v>46094</v>
      </c>
      <c r="B275" t="n">
        <v>3</v>
      </c>
      <c r="C275" t="n">
        <v>2026</v>
      </c>
      <c r="D275" t="inlineStr">
        <is>
          <t>Studio</t>
        </is>
      </c>
      <c r="E275" t="inlineStr">
        <is>
          <t>Receita - Liberação de Crédito</t>
        </is>
      </c>
      <c r="F275" t="inlineStr">
        <is>
          <t>Liberação de Crédito (Studio)</t>
        </is>
      </c>
      <c r="G275" t="inlineStr">
        <is>
          <t>Receita</t>
        </is>
      </c>
      <c r="H275" s="3" t="n">
        <v>329.73</v>
      </c>
      <c r="I275" t="inlineStr">
        <is>
          <t>Outro</t>
        </is>
      </c>
      <c r="J275" t="inlineStr">
        <is>
          <t>Não</t>
        </is>
      </c>
      <c r="K275" t="inlineStr">
        <is>
          <t>Eventual</t>
        </is>
      </c>
      <c r="L275" t="inlineStr"/>
      <c r="M275" t="inlineStr">
        <is>
          <t>Mercado Pago account_statement-8f96e9be-cdd7-4687-acae-7eb11216a39b.xlsx</t>
        </is>
      </c>
      <c r="N275" t="inlineStr">
        <is>
          <t>Recebido</t>
        </is>
      </c>
      <c r="O275" t="inlineStr">
        <is>
          <t>Liberação de dinheiro</t>
        </is>
      </c>
    </row>
    <row r="276">
      <c r="A276" s="29" t="n">
        <v>46094</v>
      </c>
      <c r="B276" t="n">
        <v>3</v>
      </c>
      <c r="C276" t="n">
        <v>2026</v>
      </c>
      <c r="D276" t="inlineStr">
        <is>
          <t>Pessoal</t>
        </is>
      </c>
      <c r="E276" t="inlineStr">
        <is>
          <t>Contas Variáveis</t>
        </is>
      </c>
      <c r="F276" t="inlineStr">
        <is>
          <t>iFood</t>
        </is>
      </c>
      <c r="G276" t="inlineStr">
        <is>
          <t>Despesa</t>
        </is>
      </c>
      <c r="H276" s="3" t="n">
        <v>-40.89</v>
      </c>
      <c r="I276" t="inlineStr">
        <is>
          <t>Pix</t>
        </is>
      </c>
      <c r="J276" t="inlineStr">
        <is>
          <t>Não</t>
        </is>
      </c>
      <c r="K276" t="inlineStr">
        <is>
          <t>Eventual</t>
        </is>
      </c>
      <c r="L276" t="inlineStr"/>
      <c r="M276" t="inlineStr">
        <is>
          <t>Mercado Pago account_statement-8f96e9be-cdd7-4687-acae-7eb11216a39b.xlsx</t>
        </is>
      </c>
      <c r="N276" t="inlineStr">
        <is>
          <t>Sem comprovante</t>
        </is>
      </c>
      <c r="O276" t="inlineStr">
        <is>
          <t>Pagamento com QR Pix IFOOD.COM AGENCIA DE RESTAURANTES ONLINE S.A.</t>
        </is>
      </c>
    </row>
    <row r="277">
      <c r="A277" s="29" t="n">
        <v>46094</v>
      </c>
      <c r="B277" t="n">
        <v>3</v>
      </c>
      <c r="C277" t="n">
        <v>2026</v>
      </c>
      <c r="D277" t="inlineStr">
        <is>
          <t>Geral</t>
        </is>
      </c>
      <c r="E277" t="inlineStr">
        <is>
          <t>Outros</t>
        </is>
      </c>
      <c r="F277" t="inlineStr">
        <is>
          <t>Não identificado</t>
        </is>
      </c>
      <c r="G277" t="inlineStr">
        <is>
          <t>Despesa</t>
        </is>
      </c>
      <c r="H277" s="3" t="n">
        <v>-53.59</v>
      </c>
      <c r="I277" t="inlineStr">
        <is>
          <t>Pix</t>
        </is>
      </c>
      <c r="J277" t="inlineStr">
        <is>
          <t>Não</t>
        </is>
      </c>
      <c r="K277" t="inlineStr">
        <is>
          <t>Eventual</t>
        </is>
      </c>
      <c r="L277" t="inlineStr"/>
      <c r="M277" t="inlineStr">
        <is>
          <t>Mercado Pago account_statement-8f96e9be-cdd7-4687-acae-7eb11216a39b.xlsx</t>
        </is>
      </c>
      <c r="N277" t="inlineStr">
        <is>
          <t>Sem comprovante</t>
        </is>
      </c>
      <c r="O277" t="inlineStr">
        <is>
          <t>Pagamento com QR Pix PADARIA E CONFEITARIA SANTTINI LTDA</t>
        </is>
      </c>
    </row>
    <row r="278">
      <c r="A278" s="29" t="n">
        <v>46094</v>
      </c>
      <c r="B278" t="n">
        <v>3</v>
      </c>
      <c r="C278" t="n">
        <v>2026</v>
      </c>
      <c r="D278" t="inlineStr">
        <is>
          <t>Geral</t>
        </is>
      </c>
      <c r="E278" t="inlineStr">
        <is>
          <t>Outros</t>
        </is>
      </c>
      <c r="F278" t="inlineStr">
        <is>
          <t>Pagamento Caixa</t>
        </is>
      </c>
      <c r="G278" t="inlineStr">
        <is>
          <t>Despesa</t>
        </is>
      </c>
      <c r="H278" s="3" t="n">
        <v>-958.1799999999999</v>
      </c>
      <c r="I278" t="inlineStr">
        <is>
          <t>Boleto</t>
        </is>
      </c>
      <c r="J278" t="inlineStr">
        <is>
          <t>Não</t>
        </is>
      </c>
      <c r="K278" t="inlineStr">
        <is>
          <t>Eventual</t>
        </is>
      </c>
      <c r="L278" t="inlineStr"/>
      <c r="M278" t="inlineStr">
        <is>
          <t>Mercado Pago account_statement-8f96e9be-cdd7-4687-acae-7eb11216a39b.xlsx</t>
        </is>
      </c>
      <c r="N278" t="inlineStr">
        <is>
          <t>Sem comprovante</t>
        </is>
      </c>
      <c r="O278" t="inlineStr">
        <is>
          <t>Pagamento de conta Caixa Econômica Federal</t>
        </is>
      </c>
    </row>
    <row r="279">
      <c r="A279" s="29" t="n">
        <v>46094</v>
      </c>
      <c r="B279" t="n">
        <v>3</v>
      </c>
      <c r="C279" t="n">
        <v>2026</v>
      </c>
      <c r="D279" t="inlineStr">
        <is>
          <t>Geral</t>
        </is>
      </c>
      <c r="E279" t="inlineStr">
        <is>
          <t>Transferência - Bruno (própria)</t>
        </is>
      </c>
      <c r="F279" t="inlineStr">
        <is>
          <t>Pix Bruno→Bruno (entre contas próprias)</t>
        </is>
      </c>
      <c r="G279" t="inlineStr">
        <is>
          <t>Despesa</t>
        </is>
      </c>
      <c r="H279" s="3" t="n">
        <v>-200</v>
      </c>
      <c r="I279" t="inlineStr">
        <is>
          <t>Pix</t>
        </is>
      </c>
      <c r="J279" t="inlineStr">
        <is>
          <t>Não</t>
        </is>
      </c>
      <c r="K279" t="inlineStr">
        <is>
          <t>Eventual</t>
        </is>
      </c>
      <c r="L279" t="inlineStr"/>
      <c r="M279" t="inlineStr">
        <is>
          <t>Mercado Pago account_statement-8f96e9be-cdd7-4687-acae-7eb11216a39b.xlsx</t>
        </is>
      </c>
      <c r="N279" t="inlineStr">
        <is>
          <t>Sem comprovante</t>
        </is>
      </c>
      <c r="O279" t="inlineStr">
        <is>
          <t>Pix enviado Bruno Porto Seus</t>
        </is>
      </c>
    </row>
    <row r="280">
      <c r="A280" s="29" t="n">
        <v>46094</v>
      </c>
      <c r="B280" t="n">
        <v>3</v>
      </c>
      <c r="C280" t="n">
        <v>2026</v>
      </c>
      <c r="D280" t="inlineStr">
        <is>
          <t>Geral</t>
        </is>
      </c>
      <c r="E280" t="inlineStr">
        <is>
          <t>Transferência - Bruno (própria)</t>
        </is>
      </c>
      <c r="F280" t="inlineStr">
        <is>
          <t>Pix Bruno→Bruno (entre contas próprias)</t>
        </is>
      </c>
      <c r="G280" t="inlineStr">
        <is>
          <t>Despesa</t>
        </is>
      </c>
      <c r="H280" s="3" t="n">
        <v>-100</v>
      </c>
      <c r="I280" t="inlineStr">
        <is>
          <t>Pix</t>
        </is>
      </c>
      <c r="J280" t="inlineStr">
        <is>
          <t>Não</t>
        </is>
      </c>
      <c r="K280" t="inlineStr">
        <is>
          <t>Eventual</t>
        </is>
      </c>
      <c r="L280" t="inlineStr"/>
      <c r="M280" t="inlineStr">
        <is>
          <t>Mercado Pago account_statement-8f96e9be-cdd7-4687-acae-7eb11216a39b.xlsx</t>
        </is>
      </c>
      <c r="N280" t="inlineStr">
        <is>
          <t>Sem comprovante</t>
        </is>
      </c>
      <c r="O280" t="inlineStr">
        <is>
          <t>Pix enviado Bruno Porto Seus</t>
        </is>
      </c>
    </row>
    <row r="281">
      <c r="A281" s="29" t="n">
        <v>46094</v>
      </c>
      <c r="B281" t="n">
        <v>3</v>
      </c>
      <c r="C281" t="n">
        <v>2026</v>
      </c>
      <c r="D281" t="inlineStr">
        <is>
          <t>Geral</t>
        </is>
      </c>
      <c r="E281" t="inlineStr">
        <is>
          <t>Pessoal</t>
        </is>
      </c>
      <c r="F281" t="inlineStr">
        <is>
          <t>Bruno Luiz (familiar)</t>
        </is>
      </c>
      <c r="G281" t="inlineStr">
        <is>
          <t>Despesa</t>
        </is>
      </c>
      <c r="H281" s="3" t="n">
        <v>-200</v>
      </c>
      <c r="I281" t="inlineStr">
        <is>
          <t>Pix</t>
        </is>
      </c>
      <c r="J281" t="inlineStr">
        <is>
          <t>Não</t>
        </is>
      </c>
      <c r="K281" t="inlineStr">
        <is>
          <t>Eventual</t>
        </is>
      </c>
      <c r="L281" t="inlineStr"/>
      <c r="M281" t="inlineStr">
        <is>
          <t>Nubank NU_370124875_01MAR2026_31MAR2026.csv</t>
        </is>
      </c>
      <c r="N281" t="inlineStr">
        <is>
          <t>Sem comprovante</t>
        </is>
      </c>
      <c r="O281" t="inlineStr">
        <is>
          <t>Transferência enviada pelo Pix - BRUNO LUIZ SASTRE SEUS JUNIOR - •••.516.739-•• - BCO BRADESCO S.A. (0237) Agência: 3925 Conta: 165900-6</t>
        </is>
      </c>
    </row>
    <row r="282">
      <c r="A282" s="29" t="n">
        <v>46094</v>
      </c>
      <c r="B282" t="n">
        <v>3</v>
      </c>
      <c r="C282" t="n">
        <v>2026</v>
      </c>
      <c r="D282" t="inlineStr">
        <is>
          <t>Geral</t>
        </is>
      </c>
      <c r="E282" t="inlineStr">
        <is>
          <t>Outros</t>
        </is>
      </c>
      <c r="F282" t="inlineStr">
        <is>
          <t>Transferência Pix Enviada</t>
        </is>
      </c>
      <c r="G282" t="inlineStr">
        <is>
          <t>Despesa</t>
        </is>
      </c>
      <c r="H282" s="3" t="n">
        <v>-151.61</v>
      </c>
      <c r="I282" t="inlineStr">
        <is>
          <t>Pix</t>
        </is>
      </c>
      <c r="J282" t="inlineStr">
        <is>
          <t>Não</t>
        </is>
      </c>
      <c r="K282" t="inlineStr">
        <is>
          <t>Eventual</t>
        </is>
      </c>
      <c r="L282" t="inlineStr"/>
      <c r="M282" t="inlineStr">
        <is>
          <t>Nubank NU_370124875_01MAR2026_31MAR2026.csv</t>
        </is>
      </c>
      <c r="N282" t="inlineStr">
        <is>
          <t>Sem comprovante</t>
        </is>
      </c>
      <c r="O282" t="inlineStr">
        <is>
          <t>Transferência enviada pelo Pix - GOVERNO DO PARANA SECRETARIA DE ESTADO DA FAZENDA - 76.416.890/0001-89 - BCO DO BRASIL S.A. (0001) Agência: 3793 Conta: 300000-1</t>
        </is>
      </c>
    </row>
    <row r="283">
      <c r="A283" s="29" t="n">
        <v>46094</v>
      </c>
      <c r="B283" t="n">
        <v>3</v>
      </c>
      <c r="C283" t="n">
        <v>2026</v>
      </c>
      <c r="D283" t="inlineStr">
        <is>
          <t>Studio</t>
        </is>
      </c>
      <c r="E283" t="inlineStr">
        <is>
          <t>Receita - Denise (Salão)</t>
        </is>
      </c>
      <c r="F283" t="inlineStr">
        <is>
          <t>Depósito recebido de Denise / Salão</t>
        </is>
      </c>
      <c r="G283" t="inlineStr">
        <is>
          <t>Receita</t>
        </is>
      </c>
      <c r="H283" s="3" t="n">
        <v>200</v>
      </c>
      <c r="I283" t="inlineStr">
        <is>
          <t>Pix</t>
        </is>
      </c>
      <c r="J283" t="inlineStr">
        <is>
          <t>Não</t>
        </is>
      </c>
      <c r="K283" t="inlineStr">
        <is>
          <t>Eventual</t>
        </is>
      </c>
      <c r="L283" t="inlineStr"/>
      <c r="M283" t="inlineStr">
        <is>
          <t>Nubank NU_370124875_01MAR2026_31MAR2026.csv</t>
        </is>
      </c>
      <c r="N283" t="inlineStr">
        <is>
          <t>Recebido</t>
        </is>
      </c>
      <c r="O283" t="inlineStr">
        <is>
          <t>Transferência recebida pelo Pix - DENISE DE PAULA CENTRO DE ESTETICA LTDA - 05.823.454/0001-86 - MERCADO PAGO IP LTDA. (0323) Agência: 1 Conta: 8804533771-0</t>
        </is>
      </c>
    </row>
    <row r="284">
      <c r="A284" s="29" t="n">
        <v>46094</v>
      </c>
      <c r="B284" t="n">
        <v>3</v>
      </c>
      <c r="C284" t="n">
        <v>2026</v>
      </c>
      <c r="D284" t="inlineStr">
        <is>
          <t>Studio</t>
        </is>
      </c>
      <c r="E284" t="inlineStr">
        <is>
          <t>Receita - Denise (Salão)</t>
        </is>
      </c>
      <c r="F284" t="inlineStr">
        <is>
          <t>Depósito recebido de Denise / Salão</t>
        </is>
      </c>
      <c r="G284" t="inlineStr">
        <is>
          <t>Receita</t>
        </is>
      </c>
      <c r="H284" s="3" t="n">
        <v>100</v>
      </c>
      <c r="I284" t="inlineStr">
        <is>
          <t>Pix</t>
        </is>
      </c>
      <c r="J284" t="inlineStr">
        <is>
          <t>Não</t>
        </is>
      </c>
      <c r="K284" t="inlineStr">
        <is>
          <t>Eventual</t>
        </is>
      </c>
      <c r="L284" t="inlineStr"/>
      <c r="M284" t="inlineStr">
        <is>
          <t>Nubank NU_370124875_01MAR2026_31MAR2026.csv</t>
        </is>
      </c>
      <c r="N284" t="inlineStr">
        <is>
          <t>Recebido</t>
        </is>
      </c>
      <c r="O284" t="inlineStr">
        <is>
          <t>Transferência recebida pelo Pix - DENISE DE PAULA CENTRO DE ESTETICA LTDA - 05.823.454/0001-86 - MERCADO PAGO IP LTDA. (0323) Agência: 1 Conta: 8804533771-0</t>
        </is>
      </c>
    </row>
    <row r="285">
      <c r="A285" s="29" t="n">
        <v>46095</v>
      </c>
      <c r="B285" t="n">
        <v>3</v>
      </c>
      <c r="C285" t="n">
        <v>2026</v>
      </c>
      <c r="D285" t="inlineStr">
        <is>
          <t>Studio</t>
        </is>
      </c>
      <c r="E285" t="inlineStr">
        <is>
          <t>Receita - Liberação de Crédito</t>
        </is>
      </c>
      <c r="F285" t="inlineStr">
        <is>
          <t>Liberação de Crédito (Studio)</t>
        </is>
      </c>
      <c r="G285" t="inlineStr">
        <is>
          <t>Receita</t>
        </is>
      </c>
      <c r="H285" s="3" t="n">
        <v>644.83</v>
      </c>
      <c r="I285" t="inlineStr">
        <is>
          <t>Outro</t>
        </is>
      </c>
      <c r="J285" t="inlineStr">
        <is>
          <t>Não</t>
        </is>
      </c>
      <c r="K285" t="inlineStr">
        <is>
          <t>Eventual</t>
        </is>
      </c>
      <c r="L285" t="inlineStr"/>
      <c r="M285" t="inlineStr">
        <is>
          <t>Mercado Pago account_statement-8f96e9be-cdd7-4687-acae-7eb11216a39b.xlsx</t>
        </is>
      </c>
      <c r="N285" t="inlineStr">
        <is>
          <t>Recebido</t>
        </is>
      </c>
      <c r="O285" t="inlineStr">
        <is>
          <t>Liberação de dinheiro</t>
        </is>
      </c>
    </row>
    <row r="286">
      <c r="A286" s="29" t="n">
        <v>46095</v>
      </c>
      <c r="B286" t="n">
        <v>3</v>
      </c>
      <c r="C286" t="n">
        <v>2026</v>
      </c>
      <c r="D286" t="inlineStr">
        <is>
          <t>Geral</t>
        </is>
      </c>
      <c r="E286" t="inlineStr">
        <is>
          <t>Outros</t>
        </is>
      </c>
      <c r="F286" t="inlineStr">
        <is>
          <t>Não identificado</t>
        </is>
      </c>
      <c r="G286" t="inlineStr">
        <is>
          <t>Despesa</t>
        </is>
      </c>
      <c r="H286" s="3" t="n">
        <v>-97.31</v>
      </c>
      <c r="I286" t="inlineStr">
        <is>
          <t>Pix</t>
        </is>
      </c>
      <c r="J286" t="inlineStr">
        <is>
          <t>Não</t>
        </is>
      </c>
      <c r="K286" t="inlineStr">
        <is>
          <t>Eventual</t>
        </is>
      </c>
      <c r="L286" t="inlineStr"/>
      <c r="M286" t="inlineStr">
        <is>
          <t>Mercado Pago account_statement-8f96e9be-cdd7-4687-acae-7eb11216a39b.xlsx</t>
        </is>
      </c>
      <c r="N286" t="inlineStr">
        <is>
          <t>Sem comprovante</t>
        </is>
      </c>
      <c r="O286" t="inlineStr">
        <is>
          <t>Pagamento com QR Pix DIMED SA DISTRIBUIDORA DE MEDICAMENTOS</t>
        </is>
      </c>
    </row>
    <row r="287">
      <c r="A287" s="29" t="n">
        <v>46095</v>
      </c>
      <c r="B287" t="n">
        <v>3</v>
      </c>
      <c r="C287" t="n">
        <v>2026</v>
      </c>
      <c r="D287" t="inlineStr">
        <is>
          <t>Studio</t>
        </is>
      </c>
      <c r="E287" t="inlineStr">
        <is>
          <t>Pessoal</t>
        </is>
      </c>
      <c r="F287" t="inlineStr">
        <is>
          <t>Marco</t>
        </is>
      </c>
      <c r="G287" t="inlineStr">
        <is>
          <t>Despesa</t>
        </is>
      </c>
      <c r="H287" s="3" t="n">
        <v>-637.17</v>
      </c>
      <c r="I287" t="inlineStr">
        <is>
          <t>Pix</t>
        </is>
      </c>
      <c r="J287" t="inlineStr">
        <is>
          <t>Não</t>
        </is>
      </c>
      <c r="K287" t="inlineStr">
        <is>
          <t>Eventual</t>
        </is>
      </c>
      <c r="L287" t="inlineStr"/>
      <c r="M287" t="inlineStr">
        <is>
          <t>Mercado Pago account_statement-8f96e9be-cdd7-4687-acae-7eb11216a39b.xlsx</t>
        </is>
      </c>
      <c r="N287" t="inlineStr">
        <is>
          <t>Sem comprovante</t>
        </is>
      </c>
      <c r="O287" t="inlineStr">
        <is>
          <t>Pix enviado Marco Aurelio de Moura Leite</t>
        </is>
      </c>
    </row>
    <row r="288">
      <c r="A288" s="29" t="n">
        <v>46096</v>
      </c>
      <c r="B288" t="n">
        <v>3</v>
      </c>
      <c r="C288" t="n">
        <v>2026</v>
      </c>
      <c r="D288" t="inlineStr">
        <is>
          <t>Pessoal</t>
        </is>
      </c>
      <c r="E288" t="inlineStr">
        <is>
          <t>Contas Variáveis</t>
        </is>
      </c>
      <c r="F288" t="inlineStr">
        <is>
          <t>Compra no débito</t>
        </is>
      </c>
      <c r="G288" t="inlineStr">
        <is>
          <t>Despesa</t>
        </is>
      </c>
      <c r="H288" s="3" t="n">
        <v>-13.49</v>
      </c>
      <c r="I288" t="inlineStr">
        <is>
          <t>Débito</t>
        </is>
      </c>
      <c r="J288" t="inlineStr">
        <is>
          <t>Não</t>
        </is>
      </c>
      <c r="K288" t="inlineStr">
        <is>
          <t>Eventual</t>
        </is>
      </c>
      <c r="L288" t="inlineStr"/>
      <c r="M288" t="inlineStr">
        <is>
          <t>Nubank NU_370124875_01MAR2026_31MAR2026.csv</t>
        </is>
      </c>
      <c r="N288" t="inlineStr">
        <is>
          <t>Sem comprovante</t>
        </is>
      </c>
      <c r="O288" t="inlineStr">
        <is>
          <t>Compra no débito - CAFE VICTORIA LTDA</t>
        </is>
      </c>
    </row>
    <row r="289">
      <c r="A289" s="29" t="n">
        <v>46097</v>
      </c>
      <c r="B289" t="n">
        <v>3</v>
      </c>
      <c r="C289" t="n">
        <v>2026</v>
      </c>
      <c r="D289" t="inlineStr">
        <is>
          <t>Studio</t>
        </is>
      </c>
      <c r="E289" t="inlineStr">
        <is>
          <t>Receita - Liberação de Crédito</t>
        </is>
      </c>
      <c r="F289" t="inlineStr">
        <is>
          <t>Liberação de Crédito (Studio)</t>
        </is>
      </c>
      <c r="G289" t="inlineStr">
        <is>
          <t>Receita</t>
        </is>
      </c>
      <c r="H289" s="3" t="n">
        <v>518.15</v>
      </c>
      <c r="I289" t="inlineStr">
        <is>
          <t>Outro</t>
        </is>
      </c>
      <c r="J289" t="inlineStr">
        <is>
          <t>Não</t>
        </is>
      </c>
      <c r="K289" t="inlineStr">
        <is>
          <t>Eventual</t>
        </is>
      </c>
      <c r="L289" t="inlineStr"/>
      <c r="M289" t="inlineStr">
        <is>
          <t>Mercado Pago account_statement-8f96e9be-cdd7-4687-acae-7eb11216a39b.xlsx</t>
        </is>
      </c>
      <c r="N289" t="inlineStr">
        <is>
          <t>Recebido</t>
        </is>
      </c>
      <c r="O289" t="inlineStr">
        <is>
          <t>Liberação de dinheiro</t>
        </is>
      </c>
    </row>
    <row r="290">
      <c r="A290" s="29" t="n">
        <v>46097</v>
      </c>
      <c r="B290" t="n">
        <v>3</v>
      </c>
      <c r="C290" t="n">
        <v>2026</v>
      </c>
      <c r="D290" t="inlineStr">
        <is>
          <t>Studio</t>
        </is>
      </c>
      <c r="E290" t="inlineStr">
        <is>
          <t>Receita - Liberação de Crédito</t>
        </is>
      </c>
      <c r="F290" t="inlineStr">
        <is>
          <t>Liberação de Crédito (Studio)</t>
        </is>
      </c>
      <c r="G290" t="inlineStr">
        <is>
          <t>Receita</t>
        </is>
      </c>
      <c r="H290" s="3" t="n">
        <v>650.21</v>
      </c>
      <c r="I290" t="inlineStr">
        <is>
          <t>Outro</t>
        </is>
      </c>
      <c r="J290" t="inlineStr">
        <is>
          <t>Não</t>
        </is>
      </c>
      <c r="K290" t="inlineStr">
        <is>
          <t>Eventual</t>
        </is>
      </c>
      <c r="L290" t="inlineStr"/>
      <c r="M290" t="inlineStr">
        <is>
          <t>Mercado Pago account_statement-8f96e9be-cdd7-4687-acae-7eb11216a39b.xlsx</t>
        </is>
      </c>
      <c r="N290" t="inlineStr">
        <is>
          <t>Recebido</t>
        </is>
      </c>
      <c r="O290" t="inlineStr">
        <is>
          <t>Liberação de dinheiro</t>
        </is>
      </c>
    </row>
    <row r="291">
      <c r="A291" s="29" t="n">
        <v>46097</v>
      </c>
      <c r="B291" t="n">
        <v>3</v>
      </c>
      <c r="C291" t="n">
        <v>2026</v>
      </c>
      <c r="D291" t="inlineStr">
        <is>
          <t>Pessoal</t>
        </is>
      </c>
      <c r="E291" t="inlineStr">
        <is>
          <t>Contas Fixas</t>
        </is>
      </c>
      <c r="F291" t="inlineStr">
        <is>
          <t>Água (Sanepar)</t>
        </is>
      </c>
      <c r="G291" t="inlineStr">
        <is>
          <t>Despesa</t>
        </is>
      </c>
      <c r="H291" s="3" t="n">
        <v>-225.53</v>
      </c>
      <c r="I291" t="inlineStr">
        <is>
          <t>Pix</t>
        </is>
      </c>
      <c r="J291" t="inlineStr">
        <is>
          <t>Sim</t>
        </is>
      </c>
      <c r="K291" t="inlineStr">
        <is>
          <t>Mensal</t>
        </is>
      </c>
      <c r="L291" t="inlineStr">
        <is>
          <t>Sanepar Curitiba/00000028-comprovante-150594897970.pdf</t>
        </is>
      </c>
      <c r="M291" t="inlineStr">
        <is>
          <t>Mercado Pago account_statement-8f96e9be-cdd7-4687-acae-7eb11216a39b.xlsx</t>
        </is>
      </c>
      <c r="N291" t="inlineStr">
        <is>
          <t>Pago</t>
        </is>
      </c>
      <c r="O291" t="inlineStr">
        <is>
          <t>Pagamento com QR Pix COMPANHIA DE SANEAMENTO DO PARANA SANEPAR</t>
        </is>
      </c>
    </row>
    <row r="292">
      <c r="A292" s="29" t="n">
        <v>46097</v>
      </c>
      <c r="B292" t="n">
        <v>3</v>
      </c>
      <c r="C292" t="n">
        <v>2026</v>
      </c>
      <c r="D292" t="inlineStr">
        <is>
          <t>Pessoal</t>
        </is>
      </c>
      <c r="E292" t="inlineStr">
        <is>
          <t>Contas Fixas</t>
        </is>
      </c>
      <c r="F292" t="inlineStr">
        <is>
          <t>Água (Sanepar)</t>
        </is>
      </c>
      <c r="G292" t="inlineStr">
        <is>
          <t>Despesa</t>
        </is>
      </c>
      <c r="H292" s="3" t="n">
        <v>-154.58</v>
      </c>
      <c r="I292" t="inlineStr">
        <is>
          <t>Pix</t>
        </is>
      </c>
      <c r="J292" t="inlineStr">
        <is>
          <t>Sim</t>
        </is>
      </c>
      <c r="K292" t="inlineStr">
        <is>
          <t>Mensal</t>
        </is>
      </c>
      <c r="L292" t="inlineStr">
        <is>
          <t>Sanepar Curitiba/00000028-comprovante-150594897970.pdf</t>
        </is>
      </c>
      <c r="M292" t="inlineStr">
        <is>
          <t>Mercado Pago account_statement-8f96e9be-cdd7-4687-acae-7eb11216a39b.xlsx</t>
        </is>
      </c>
      <c r="N292" t="inlineStr">
        <is>
          <t>Pago</t>
        </is>
      </c>
      <c r="O292" t="inlineStr">
        <is>
          <t>Pagamento com QR Pix COMPANHIA DE SANEAMENTO DO PARANA SANEPAR</t>
        </is>
      </c>
    </row>
    <row r="293">
      <c r="A293" s="29" t="n">
        <v>46097</v>
      </c>
      <c r="B293" t="n">
        <v>3</v>
      </c>
      <c r="C293" t="n">
        <v>2026</v>
      </c>
      <c r="D293" t="inlineStr">
        <is>
          <t>Pessoal</t>
        </is>
      </c>
      <c r="E293" t="inlineStr">
        <is>
          <t>Contas Fixas</t>
        </is>
      </c>
      <c r="F293" t="inlineStr">
        <is>
          <t>Água (Sanepar)</t>
        </is>
      </c>
      <c r="G293" t="inlineStr">
        <is>
          <t>Despesa</t>
        </is>
      </c>
      <c r="H293" s="3" t="n">
        <v>-154.58</v>
      </c>
      <c r="I293" t="inlineStr">
        <is>
          <t>Pix</t>
        </is>
      </c>
      <c r="J293" t="inlineStr">
        <is>
          <t>Sim</t>
        </is>
      </c>
      <c r="K293" t="inlineStr">
        <is>
          <t>Mensal</t>
        </is>
      </c>
      <c r="L293" t="inlineStr">
        <is>
          <t>Sanepar Curitiba/00000028-comprovante-150594897970.pdf</t>
        </is>
      </c>
      <c r="M293" t="inlineStr">
        <is>
          <t>Mercado Pago account_statement-8f96e9be-cdd7-4687-acae-7eb11216a39b.xlsx</t>
        </is>
      </c>
      <c r="N293" t="inlineStr">
        <is>
          <t>Pago</t>
        </is>
      </c>
      <c r="O293" t="inlineStr">
        <is>
          <t>Pagamento com QR Pix COMPANHIA DE SANEAMENTO DO PARANA SANEPAR</t>
        </is>
      </c>
    </row>
    <row r="294">
      <c r="A294" s="29" t="n">
        <v>46097</v>
      </c>
      <c r="B294" t="n">
        <v>3</v>
      </c>
      <c r="C294" t="n">
        <v>2026</v>
      </c>
      <c r="D294" t="inlineStr">
        <is>
          <t>Pessoal</t>
        </is>
      </c>
      <c r="E294" t="inlineStr">
        <is>
          <t>Contas Fixas</t>
        </is>
      </c>
      <c r="F294" t="inlineStr">
        <is>
          <t>Água (Sanepar)</t>
        </is>
      </c>
      <c r="G294" t="inlineStr">
        <is>
          <t>Despesa</t>
        </is>
      </c>
      <c r="H294" s="3" t="n">
        <v>-200.44</v>
      </c>
      <c r="I294" t="inlineStr">
        <is>
          <t>Pix</t>
        </is>
      </c>
      <c r="J294" t="inlineStr">
        <is>
          <t>Sim</t>
        </is>
      </c>
      <c r="K294" t="inlineStr">
        <is>
          <t>Mensal</t>
        </is>
      </c>
      <c r="L294" t="inlineStr">
        <is>
          <t>Sanepar Curitiba/00000028-comprovante-150594897970.pdf</t>
        </is>
      </c>
      <c r="M294" t="inlineStr">
        <is>
          <t>Mercado Pago account_statement-8f96e9be-cdd7-4687-acae-7eb11216a39b.xlsx</t>
        </is>
      </c>
      <c r="N294" t="inlineStr">
        <is>
          <t>Pago</t>
        </is>
      </c>
      <c r="O294" t="inlineStr">
        <is>
          <t>Pagamento com QR Pix COMPANHIA DE SANEAMENTO DO PARANA SANEPAR</t>
        </is>
      </c>
    </row>
    <row r="295">
      <c r="A295" s="29" t="n">
        <v>46097</v>
      </c>
      <c r="B295" t="n">
        <v>3</v>
      </c>
      <c r="C295" t="n">
        <v>2026</v>
      </c>
      <c r="D295" t="inlineStr">
        <is>
          <t>Pessoal</t>
        </is>
      </c>
      <c r="E295" t="inlineStr">
        <is>
          <t>Contas Fixas</t>
        </is>
      </c>
      <c r="F295" t="inlineStr">
        <is>
          <t>Água (Sanepar)</t>
        </is>
      </c>
      <c r="G295" t="inlineStr">
        <is>
          <t>Despesa</t>
        </is>
      </c>
      <c r="H295" s="3" t="n">
        <v>-260.54</v>
      </c>
      <c r="I295" t="inlineStr">
        <is>
          <t>Pix</t>
        </is>
      </c>
      <c r="J295" t="inlineStr">
        <is>
          <t>Sim</t>
        </is>
      </c>
      <c r="K295" t="inlineStr">
        <is>
          <t>Mensal</t>
        </is>
      </c>
      <c r="L295" t="inlineStr">
        <is>
          <t>Sanepar Curitiba/00000028-comprovante-150594897970.pdf</t>
        </is>
      </c>
      <c r="M295" t="inlineStr">
        <is>
          <t>Mercado Pago account_statement-8f96e9be-cdd7-4687-acae-7eb11216a39b.xlsx</t>
        </is>
      </c>
      <c r="N295" t="inlineStr">
        <is>
          <t>Pago</t>
        </is>
      </c>
      <c r="O295" t="inlineStr">
        <is>
          <t>Pagamento com QR Pix COMPANHIA DE SANEAMENTO DO PARANA SANEPAR</t>
        </is>
      </c>
    </row>
    <row r="296">
      <c r="A296" s="29" t="n">
        <v>46097</v>
      </c>
      <c r="B296" t="n">
        <v>3</v>
      </c>
      <c r="C296" t="n">
        <v>2026</v>
      </c>
      <c r="D296" t="inlineStr">
        <is>
          <t>Geral</t>
        </is>
      </c>
      <c r="E296" t="inlineStr">
        <is>
          <t>Outros</t>
        </is>
      </c>
      <c r="F296" t="inlineStr">
        <is>
          <t>Não identificado</t>
        </is>
      </c>
      <c r="G296" t="inlineStr">
        <is>
          <t>Despesa</t>
        </is>
      </c>
      <c r="H296" s="3" t="n">
        <v>-302.89</v>
      </c>
      <c r="I296" t="inlineStr">
        <is>
          <t>Boleto</t>
        </is>
      </c>
      <c r="J296" t="inlineStr">
        <is>
          <t>Não</t>
        </is>
      </c>
      <c r="K296" t="inlineStr">
        <is>
          <t>Eventual</t>
        </is>
      </c>
      <c r="L296" t="inlineStr"/>
      <c r="M296" t="inlineStr">
        <is>
          <t>Mercado Pago account_statement-8f96e9be-cdd7-4687-acae-7eb11216a39b.xlsx</t>
        </is>
      </c>
      <c r="N296" t="inlineStr">
        <is>
          <t>Sem comprovante</t>
        </is>
      </c>
      <c r="O296" t="inlineStr">
        <is>
          <t>Pagamento de conta Itaú Unibanco  S.A.</t>
        </is>
      </c>
    </row>
    <row r="297">
      <c r="A297" s="29" t="n">
        <v>46097</v>
      </c>
      <c r="B297" t="n">
        <v>3</v>
      </c>
      <c r="C297" t="n">
        <v>2026</v>
      </c>
      <c r="D297" t="inlineStr">
        <is>
          <t>Geral</t>
        </is>
      </c>
      <c r="E297" t="inlineStr">
        <is>
          <t>Transferência - Bruno (própria)</t>
        </is>
      </c>
      <c r="F297" t="inlineStr">
        <is>
          <t>Pix Bruno→Bruno (entre contas próprias)</t>
        </is>
      </c>
      <c r="G297" t="inlineStr">
        <is>
          <t>Despesa</t>
        </is>
      </c>
      <c r="H297" s="3" t="n">
        <v>-350</v>
      </c>
      <c r="I297" t="inlineStr">
        <is>
          <t>Pix</t>
        </is>
      </c>
      <c r="J297" t="inlineStr">
        <is>
          <t>Não</t>
        </is>
      </c>
      <c r="K297" t="inlineStr">
        <is>
          <t>Eventual</t>
        </is>
      </c>
      <c r="L297" t="inlineStr"/>
      <c r="M297" t="inlineStr">
        <is>
          <t>Mercado Pago account_statement-8f96e9be-cdd7-4687-acae-7eb11216a39b.xlsx</t>
        </is>
      </c>
      <c r="N297" t="inlineStr">
        <is>
          <t>Sem comprovante</t>
        </is>
      </c>
      <c r="O297" t="inlineStr">
        <is>
          <t>Pix enviado Bruno Porto Seus</t>
        </is>
      </c>
    </row>
    <row r="298">
      <c r="A298" s="29" t="n">
        <v>46097</v>
      </c>
      <c r="B298" t="n">
        <v>3</v>
      </c>
      <c r="C298" t="n">
        <v>2026</v>
      </c>
      <c r="D298" t="inlineStr">
        <is>
          <t>Geral</t>
        </is>
      </c>
      <c r="E298" t="inlineStr">
        <is>
          <t>Transferência - Denise</t>
        </is>
      </c>
      <c r="F298" t="inlineStr">
        <is>
          <t>Pix Bruno→Denise</t>
        </is>
      </c>
      <c r="G298" t="inlineStr">
        <is>
          <t>Despesa</t>
        </is>
      </c>
      <c r="H298" s="3" t="n">
        <v>-500</v>
      </c>
      <c r="I298" t="inlineStr">
        <is>
          <t>Pix</t>
        </is>
      </c>
      <c r="J298" t="inlineStr">
        <is>
          <t>Não</t>
        </is>
      </c>
      <c r="K298" t="inlineStr">
        <is>
          <t>Eventual</t>
        </is>
      </c>
      <c r="L298" t="inlineStr"/>
      <c r="M298" t="inlineStr">
        <is>
          <t>Mercado Pago account_statement-8f96e9be-cdd7-4687-acae-7eb11216a39b.xlsx</t>
        </is>
      </c>
      <c r="N298" t="inlineStr">
        <is>
          <t>Sem comprovante</t>
        </is>
      </c>
      <c r="O298" t="inlineStr">
        <is>
          <t>Pix enviado Denise de Paula</t>
        </is>
      </c>
    </row>
    <row r="299">
      <c r="A299" s="29" t="n">
        <v>46097</v>
      </c>
      <c r="B299" t="n">
        <v>3</v>
      </c>
      <c r="C299" t="n">
        <v>2026</v>
      </c>
      <c r="D299" t="inlineStr">
        <is>
          <t>Geral</t>
        </is>
      </c>
      <c r="E299" t="inlineStr">
        <is>
          <t>Outros</t>
        </is>
      </c>
      <c r="F299" t="inlineStr">
        <is>
          <t>Transferência Pix Enviada</t>
        </is>
      </c>
      <c r="G299" t="inlineStr">
        <is>
          <t>Despesa</t>
        </is>
      </c>
      <c r="H299" s="3" t="n">
        <v>-250</v>
      </c>
      <c r="I299" t="inlineStr">
        <is>
          <t>Pix</t>
        </is>
      </c>
      <c r="J299" t="inlineStr">
        <is>
          <t>Não</t>
        </is>
      </c>
      <c r="K299" t="inlineStr">
        <is>
          <t>Eventual</t>
        </is>
      </c>
      <c r="L299" t="inlineStr"/>
      <c r="M299" t="inlineStr">
        <is>
          <t>Mercado Pago account_statement-8f96e9be-cdd7-4687-acae-7eb11216a39b.xlsx</t>
        </is>
      </c>
      <c r="N299" t="inlineStr">
        <is>
          <t>Sem comprovante</t>
        </is>
      </c>
      <c r="O299" t="inlineStr">
        <is>
          <t>Pix enviado Mvd Marketing Estrategico Ltda</t>
        </is>
      </c>
    </row>
    <row r="300">
      <c r="A300" s="29" t="n">
        <v>46097</v>
      </c>
      <c r="B300" t="n">
        <v>3</v>
      </c>
      <c r="C300" t="n">
        <v>2026</v>
      </c>
      <c r="D300" t="inlineStr">
        <is>
          <t>Studio</t>
        </is>
      </c>
      <c r="E300" t="inlineStr">
        <is>
          <t>Receita - Denise (Salão)</t>
        </is>
      </c>
      <c r="F300" t="inlineStr">
        <is>
          <t>Depósito recebido de Denise / Salão</t>
        </is>
      </c>
      <c r="G300" t="inlineStr">
        <is>
          <t>Receita</t>
        </is>
      </c>
      <c r="H300" s="3" t="n">
        <v>350</v>
      </c>
      <c r="I300" t="inlineStr">
        <is>
          <t>Pix</t>
        </is>
      </c>
      <c r="J300" t="inlineStr">
        <is>
          <t>Não</t>
        </is>
      </c>
      <c r="K300" t="inlineStr">
        <is>
          <t>Eventual</t>
        </is>
      </c>
      <c r="L300" t="inlineStr"/>
      <c r="M300" t="inlineStr">
        <is>
          <t>Nubank NU_370124875_01MAR2026_31MAR2026.csv</t>
        </is>
      </c>
      <c r="N300" t="inlineStr">
        <is>
          <t>Recebido</t>
        </is>
      </c>
      <c r="O300" t="inlineStr">
        <is>
          <t>Transferência recebida pelo Pix - DENISE DE PAULA CENTRO DE ESTETICA LTDA - 05.823.454/0001-86 - MERCADO PAGO IP LTDA. (0323) Agência: 1 Conta: 8804533771-0</t>
        </is>
      </c>
    </row>
    <row r="301">
      <c r="A301" s="29" t="n">
        <v>46098</v>
      </c>
      <c r="B301" t="n">
        <v>3</v>
      </c>
      <c r="C301" t="n">
        <v>2026</v>
      </c>
      <c r="D301" t="inlineStr">
        <is>
          <t>Studio</t>
        </is>
      </c>
      <c r="E301" t="inlineStr">
        <is>
          <t>Receita - Liberação de Crédito</t>
        </is>
      </c>
      <c r="F301" t="inlineStr">
        <is>
          <t>Liberação de Crédito (Studio)</t>
        </is>
      </c>
      <c r="G301" t="inlineStr">
        <is>
          <t>Receita</t>
        </is>
      </c>
      <c r="H301" s="3" t="n">
        <v>473.89</v>
      </c>
      <c r="I301" t="inlineStr">
        <is>
          <t>Outro</t>
        </is>
      </c>
      <c r="J301" t="inlineStr">
        <is>
          <t>Não</t>
        </is>
      </c>
      <c r="K301" t="inlineStr">
        <is>
          <t>Eventual</t>
        </is>
      </c>
      <c r="L301" t="inlineStr"/>
      <c r="M301" t="inlineStr">
        <is>
          <t>Mercado Pago account_statement-8f96e9be-cdd7-4687-acae-7eb11216a39b.xlsx</t>
        </is>
      </c>
      <c r="N301" t="inlineStr">
        <is>
          <t>Recebido</t>
        </is>
      </c>
      <c r="O301" t="inlineStr">
        <is>
          <t>Liberação de dinheiro</t>
        </is>
      </c>
    </row>
    <row r="302">
      <c r="A302" s="29" t="n">
        <v>46098</v>
      </c>
      <c r="B302" t="n">
        <v>3</v>
      </c>
      <c r="C302" t="n">
        <v>2026</v>
      </c>
      <c r="D302" t="inlineStr">
        <is>
          <t>Studio</t>
        </is>
      </c>
      <c r="E302" t="inlineStr">
        <is>
          <t>Receita - Liberação de Crédito</t>
        </is>
      </c>
      <c r="F302" t="inlineStr">
        <is>
          <t>Liberação de Crédito (Studio)</t>
        </is>
      </c>
      <c r="G302" t="inlineStr">
        <is>
          <t>Receita</t>
        </is>
      </c>
      <c r="H302" s="3" t="n">
        <v>406.05</v>
      </c>
      <c r="I302" t="inlineStr">
        <is>
          <t>Outro</t>
        </is>
      </c>
      <c r="J302" t="inlineStr">
        <is>
          <t>Não</t>
        </is>
      </c>
      <c r="K302" t="inlineStr">
        <is>
          <t>Eventual</t>
        </is>
      </c>
      <c r="L302" t="inlineStr"/>
      <c r="M302" t="inlineStr">
        <is>
          <t>Mercado Pago account_statement-8f96e9be-cdd7-4687-acae-7eb11216a39b.xlsx</t>
        </is>
      </c>
      <c r="N302" t="inlineStr">
        <is>
          <t>Recebido</t>
        </is>
      </c>
      <c r="O302" t="inlineStr">
        <is>
          <t>Liberação de dinheiro</t>
        </is>
      </c>
    </row>
    <row r="303">
      <c r="A303" s="29" t="n">
        <v>46098</v>
      </c>
      <c r="B303" t="n">
        <v>3</v>
      </c>
      <c r="C303" t="n">
        <v>2026</v>
      </c>
      <c r="D303" t="inlineStr">
        <is>
          <t>Studio</t>
        </is>
      </c>
      <c r="E303" t="inlineStr">
        <is>
          <t>Receita - Liberação de Crédito</t>
        </is>
      </c>
      <c r="F303" t="inlineStr">
        <is>
          <t>Liberação de Crédito (Studio)</t>
        </is>
      </c>
      <c r="G303" t="inlineStr">
        <is>
          <t>Receita</t>
        </is>
      </c>
      <c r="H303" s="3" t="n">
        <v>404.8</v>
      </c>
      <c r="I303" t="inlineStr">
        <is>
          <t>Outro</t>
        </is>
      </c>
      <c r="J303" t="inlineStr">
        <is>
          <t>Não</t>
        </is>
      </c>
      <c r="K303" t="inlineStr">
        <is>
          <t>Eventual</t>
        </is>
      </c>
      <c r="L303" t="inlineStr"/>
      <c r="M303" t="inlineStr">
        <is>
          <t>Mercado Pago account_statement-8f96e9be-cdd7-4687-acae-7eb11216a39b.xlsx</t>
        </is>
      </c>
      <c r="N303" t="inlineStr">
        <is>
          <t>Recebido</t>
        </is>
      </c>
      <c r="O303" t="inlineStr">
        <is>
          <t>Liberação de dinheiro</t>
        </is>
      </c>
    </row>
    <row r="304">
      <c r="A304" s="29" t="n">
        <v>46098</v>
      </c>
      <c r="B304" t="n">
        <v>3</v>
      </c>
      <c r="C304" t="n">
        <v>2026</v>
      </c>
      <c r="D304" t="inlineStr">
        <is>
          <t>Studio</t>
        </is>
      </c>
      <c r="E304" t="inlineStr">
        <is>
          <t>Receita - Liberação de Crédito</t>
        </is>
      </c>
      <c r="F304" t="inlineStr">
        <is>
          <t>Liberação de Crédito (Studio)</t>
        </is>
      </c>
      <c r="G304" t="inlineStr">
        <is>
          <t>Receita</t>
        </is>
      </c>
      <c r="H304" s="3" t="n">
        <v>472.13</v>
      </c>
      <c r="I304" t="inlineStr">
        <is>
          <t>Outro</t>
        </is>
      </c>
      <c r="J304" t="inlineStr">
        <is>
          <t>Não</t>
        </is>
      </c>
      <c r="K304" t="inlineStr">
        <is>
          <t>Eventual</t>
        </is>
      </c>
      <c r="L304" t="inlineStr"/>
      <c r="M304" t="inlineStr">
        <is>
          <t>Mercado Pago account_statement-8f96e9be-cdd7-4687-acae-7eb11216a39b.xlsx</t>
        </is>
      </c>
      <c r="N304" t="inlineStr">
        <is>
          <t>Recebido</t>
        </is>
      </c>
      <c r="O304" t="inlineStr">
        <is>
          <t>Liberação de dinheiro</t>
        </is>
      </c>
    </row>
    <row r="305">
      <c r="A305" s="29" t="n">
        <v>46098</v>
      </c>
      <c r="B305" t="n">
        <v>3</v>
      </c>
      <c r="C305" t="n">
        <v>2026</v>
      </c>
      <c r="D305" t="inlineStr">
        <is>
          <t>Studio</t>
        </is>
      </c>
      <c r="E305" t="inlineStr">
        <is>
          <t>Receita - Liberação de Crédito</t>
        </is>
      </c>
      <c r="F305" t="inlineStr">
        <is>
          <t>Liberação de Crédito (Studio)</t>
        </is>
      </c>
      <c r="G305" t="inlineStr">
        <is>
          <t>Receita</t>
        </is>
      </c>
      <c r="H305" s="3" t="n">
        <v>404.8</v>
      </c>
      <c r="I305" t="inlineStr">
        <is>
          <t>Outro</t>
        </is>
      </c>
      <c r="J305" t="inlineStr">
        <is>
          <t>Não</t>
        </is>
      </c>
      <c r="K305" t="inlineStr">
        <is>
          <t>Eventual</t>
        </is>
      </c>
      <c r="L305" t="inlineStr"/>
      <c r="M305" t="inlineStr">
        <is>
          <t>Mercado Pago account_statement-8f96e9be-cdd7-4687-acae-7eb11216a39b.xlsx</t>
        </is>
      </c>
      <c r="N305" t="inlineStr">
        <is>
          <t>Recebido</t>
        </is>
      </c>
      <c r="O305" t="inlineStr">
        <is>
          <t>Liberação de dinheiro</t>
        </is>
      </c>
    </row>
    <row r="306">
      <c r="A306" s="29" t="n">
        <v>46098</v>
      </c>
      <c r="B306" t="n">
        <v>3</v>
      </c>
      <c r="C306" t="n">
        <v>2026</v>
      </c>
      <c r="D306" t="inlineStr">
        <is>
          <t>Studio</t>
        </is>
      </c>
      <c r="E306" t="inlineStr">
        <is>
          <t>Receita - Liberação de Crédito</t>
        </is>
      </c>
      <c r="F306" t="inlineStr">
        <is>
          <t>Liberação de Crédito (Studio)</t>
        </is>
      </c>
      <c r="G306" t="inlineStr">
        <is>
          <t>Receita</t>
        </is>
      </c>
      <c r="H306" s="3" t="n">
        <v>473.89</v>
      </c>
      <c r="I306" t="inlineStr">
        <is>
          <t>Outro</t>
        </is>
      </c>
      <c r="J306" t="inlineStr">
        <is>
          <t>Não</t>
        </is>
      </c>
      <c r="K306" t="inlineStr">
        <is>
          <t>Eventual</t>
        </is>
      </c>
      <c r="L306" t="inlineStr"/>
      <c r="M306" t="inlineStr">
        <is>
          <t>Mercado Pago account_statement-8f96e9be-cdd7-4687-acae-7eb11216a39b.xlsx</t>
        </is>
      </c>
      <c r="N306" t="inlineStr">
        <is>
          <t>Recebido</t>
        </is>
      </c>
      <c r="O306" t="inlineStr">
        <is>
          <t>Liberação de dinheiro</t>
        </is>
      </c>
    </row>
    <row r="307">
      <c r="A307" s="29" t="n">
        <v>46098</v>
      </c>
      <c r="B307" t="n">
        <v>3</v>
      </c>
      <c r="C307" t="n">
        <v>2026</v>
      </c>
      <c r="D307" t="inlineStr">
        <is>
          <t>Studio</t>
        </is>
      </c>
      <c r="E307" t="inlineStr">
        <is>
          <t>Receita - Liberação de Crédito</t>
        </is>
      </c>
      <c r="F307" t="inlineStr">
        <is>
          <t>Liberação de Crédito (Studio)</t>
        </is>
      </c>
      <c r="G307" t="inlineStr">
        <is>
          <t>Receita</t>
        </is>
      </c>
      <c r="H307" s="3" t="n">
        <v>406.05</v>
      </c>
      <c r="I307" t="inlineStr">
        <is>
          <t>Outro</t>
        </is>
      </c>
      <c r="J307" t="inlineStr">
        <is>
          <t>Não</t>
        </is>
      </c>
      <c r="K307" t="inlineStr">
        <is>
          <t>Eventual</t>
        </is>
      </c>
      <c r="L307" t="inlineStr"/>
      <c r="M307" t="inlineStr">
        <is>
          <t>Mercado Pago account_statement-8f96e9be-cdd7-4687-acae-7eb11216a39b.xlsx</t>
        </is>
      </c>
      <c r="N307" t="inlineStr">
        <is>
          <t>Recebido</t>
        </is>
      </c>
      <c r="O307" t="inlineStr">
        <is>
          <t>Liberação de dinheiro</t>
        </is>
      </c>
    </row>
    <row r="308">
      <c r="A308" s="29" t="n">
        <v>46098</v>
      </c>
      <c r="B308" t="n">
        <v>3</v>
      </c>
      <c r="C308" t="n">
        <v>2026</v>
      </c>
      <c r="D308" t="inlineStr">
        <is>
          <t>Studio</t>
        </is>
      </c>
      <c r="E308" t="inlineStr">
        <is>
          <t>Receita - Liberação de Crédito</t>
        </is>
      </c>
      <c r="F308" t="inlineStr">
        <is>
          <t>Liberação de Crédito (Studio)</t>
        </is>
      </c>
      <c r="G308" t="inlineStr">
        <is>
          <t>Receita</t>
        </is>
      </c>
      <c r="H308" s="3" t="n">
        <v>404.54</v>
      </c>
      <c r="I308" t="inlineStr">
        <is>
          <t>Outro</t>
        </is>
      </c>
      <c r="J308" t="inlineStr">
        <is>
          <t>Não</t>
        </is>
      </c>
      <c r="K308" t="inlineStr">
        <is>
          <t>Eventual</t>
        </is>
      </c>
      <c r="L308" t="inlineStr"/>
      <c r="M308" t="inlineStr">
        <is>
          <t>Mercado Pago account_statement-8f96e9be-cdd7-4687-acae-7eb11216a39b.xlsx</t>
        </is>
      </c>
      <c r="N308" t="inlineStr">
        <is>
          <t>Recebido</t>
        </is>
      </c>
      <c r="O308" t="inlineStr">
        <is>
          <t>Liberação de dinheiro</t>
        </is>
      </c>
    </row>
    <row r="309">
      <c r="A309" s="29" t="n">
        <v>46098</v>
      </c>
      <c r="B309" t="n">
        <v>3</v>
      </c>
      <c r="C309" t="n">
        <v>2026</v>
      </c>
      <c r="D309" t="inlineStr">
        <is>
          <t>Studio</t>
        </is>
      </c>
      <c r="E309" t="inlineStr">
        <is>
          <t>Receita - Liberação de Crédito</t>
        </is>
      </c>
      <c r="F309" t="inlineStr">
        <is>
          <t>Liberação de Crédito (Studio)</t>
        </is>
      </c>
      <c r="G309" t="inlineStr">
        <is>
          <t>Receita</t>
        </is>
      </c>
      <c r="H309" s="3" t="n">
        <v>579.35</v>
      </c>
      <c r="I309" t="inlineStr">
        <is>
          <t>Outro</t>
        </is>
      </c>
      <c r="J309" t="inlineStr">
        <is>
          <t>Não</t>
        </is>
      </c>
      <c r="K309" t="inlineStr">
        <is>
          <t>Eventual</t>
        </is>
      </c>
      <c r="L309" t="inlineStr"/>
      <c r="M309" t="inlineStr">
        <is>
          <t>Mercado Pago account_statement-8f96e9be-cdd7-4687-acae-7eb11216a39b.xlsx</t>
        </is>
      </c>
      <c r="N309" t="inlineStr">
        <is>
          <t>Recebido</t>
        </is>
      </c>
      <c r="O309" t="inlineStr">
        <is>
          <t>Liberação de dinheiro</t>
        </is>
      </c>
    </row>
    <row r="310">
      <c r="A310" s="29" t="n">
        <v>46098</v>
      </c>
      <c r="B310" t="n">
        <v>3</v>
      </c>
      <c r="C310" t="n">
        <v>2026</v>
      </c>
      <c r="D310" t="inlineStr">
        <is>
          <t>Studio</t>
        </is>
      </c>
      <c r="E310" t="inlineStr">
        <is>
          <t>Receita - Liberação de Crédito</t>
        </is>
      </c>
      <c r="F310" t="inlineStr">
        <is>
          <t>Liberação de Crédito (Studio)</t>
        </is>
      </c>
      <c r="G310" t="inlineStr">
        <is>
          <t>Receita</t>
        </is>
      </c>
      <c r="H310" s="3" t="n">
        <v>1291.68</v>
      </c>
      <c r="I310" t="inlineStr">
        <is>
          <t>Outro</t>
        </is>
      </c>
      <c r="J310" t="inlineStr">
        <is>
          <t>Não</t>
        </is>
      </c>
      <c r="K310" t="inlineStr">
        <is>
          <t>Eventual</t>
        </is>
      </c>
      <c r="L310" t="inlineStr"/>
      <c r="M310" t="inlineStr">
        <is>
          <t>Mercado Pago account_statement-8f96e9be-cdd7-4687-acae-7eb11216a39b.xlsx</t>
        </is>
      </c>
      <c r="N310" t="inlineStr">
        <is>
          <t>Recebido</t>
        </is>
      </c>
      <c r="O310" t="inlineStr">
        <is>
          <t>Liberação de dinheiro</t>
        </is>
      </c>
    </row>
    <row r="311">
      <c r="A311" s="29" t="n">
        <v>46098</v>
      </c>
      <c r="B311" t="n">
        <v>3</v>
      </c>
      <c r="C311" t="n">
        <v>2026</v>
      </c>
      <c r="D311" t="inlineStr">
        <is>
          <t>Studio</t>
        </is>
      </c>
      <c r="E311" t="inlineStr">
        <is>
          <t>Receita - Liberação de Crédito</t>
        </is>
      </c>
      <c r="F311" t="inlineStr">
        <is>
          <t>Liberação de Crédito (Studio)</t>
        </is>
      </c>
      <c r="G311" t="inlineStr">
        <is>
          <t>Receita</t>
        </is>
      </c>
      <c r="H311" s="3" t="n">
        <v>473.89</v>
      </c>
      <c r="I311" t="inlineStr">
        <is>
          <t>Outro</t>
        </is>
      </c>
      <c r="J311" t="inlineStr">
        <is>
          <t>Não</t>
        </is>
      </c>
      <c r="K311" t="inlineStr">
        <is>
          <t>Eventual</t>
        </is>
      </c>
      <c r="L311" t="inlineStr"/>
      <c r="M311" t="inlineStr">
        <is>
          <t>Mercado Pago account_statement-8f96e9be-cdd7-4687-acae-7eb11216a39b.xlsx</t>
        </is>
      </c>
      <c r="N311" t="inlineStr">
        <is>
          <t>Recebido</t>
        </is>
      </c>
      <c r="O311" t="inlineStr">
        <is>
          <t>Liberação de dinheiro</t>
        </is>
      </c>
    </row>
    <row r="312">
      <c r="A312" s="29" t="n">
        <v>46098</v>
      </c>
      <c r="B312" t="n">
        <v>3</v>
      </c>
      <c r="C312" t="n">
        <v>2026</v>
      </c>
      <c r="D312" t="inlineStr">
        <is>
          <t>Studio</t>
        </is>
      </c>
      <c r="E312" t="inlineStr">
        <is>
          <t>Receita - Liberação de Crédito</t>
        </is>
      </c>
      <c r="F312" t="inlineStr">
        <is>
          <t>Liberação de Crédito (Studio)</t>
        </is>
      </c>
      <c r="G312" t="inlineStr">
        <is>
          <t>Receita</t>
        </is>
      </c>
      <c r="H312" s="3" t="n">
        <v>473.89</v>
      </c>
      <c r="I312" t="inlineStr">
        <is>
          <t>Outro</t>
        </is>
      </c>
      <c r="J312" t="inlineStr">
        <is>
          <t>Não</t>
        </is>
      </c>
      <c r="K312" t="inlineStr">
        <is>
          <t>Eventual</t>
        </is>
      </c>
      <c r="L312" t="inlineStr"/>
      <c r="M312" t="inlineStr">
        <is>
          <t>Mercado Pago account_statement-8f96e9be-cdd7-4687-acae-7eb11216a39b.xlsx</t>
        </is>
      </c>
      <c r="N312" t="inlineStr">
        <is>
          <t>Recebido</t>
        </is>
      </c>
      <c r="O312" t="inlineStr">
        <is>
          <t>Liberação de dinheiro</t>
        </is>
      </c>
    </row>
    <row r="313">
      <c r="A313" s="29" t="n">
        <v>46098</v>
      </c>
      <c r="B313" t="n">
        <v>3</v>
      </c>
      <c r="C313" t="n">
        <v>2026</v>
      </c>
      <c r="D313" t="inlineStr">
        <is>
          <t>Studio</t>
        </is>
      </c>
      <c r="E313" t="inlineStr">
        <is>
          <t>Receita - Liberação de Crédito</t>
        </is>
      </c>
      <c r="F313" t="inlineStr">
        <is>
          <t>Liberação de Crédito (Studio)</t>
        </is>
      </c>
      <c r="G313" t="inlineStr">
        <is>
          <t>Receita</t>
        </is>
      </c>
      <c r="H313" s="3" t="n">
        <v>433.78</v>
      </c>
      <c r="I313" t="inlineStr">
        <is>
          <t>Outro</t>
        </is>
      </c>
      <c r="J313" t="inlineStr">
        <is>
          <t>Não</t>
        </is>
      </c>
      <c r="K313" t="inlineStr">
        <is>
          <t>Eventual</t>
        </is>
      </c>
      <c r="L313" t="inlineStr"/>
      <c r="M313" t="inlineStr">
        <is>
          <t>Mercado Pago account_statement-8f96e9be-cdd7-4687-acae-7eb11216a39b.xlsx</t>
        </is>
      </c>
      <c r="N313" t="inlineStr">
        <is>
          <t>Recebido</t>
        </is>
      </c>
      <c r="O313" t="inlineStr">
        <is>
          <t>Liberação de dinheiro</t>
        </is>
      </c>
    </row>
    <row r="314">
      <c r="A314" s="29" t="n">
        <v>46098</v>
      </c>
      <c r="B314" t="n">
        <v>3</v>
      </c>
      <c r="C314" t="n">
        <v>2026</v>
      </c>
      <c r="D314" t="inlineStr">
        <is>
          <t>Studio</t>
        </is>
      </c>
      <c r="E314" t="inlineStr">
        <is>
          <t>Receita - Liberação de Crédito</t>
        </is>
      </c>
      <c r="F314" t="inlineStr">
        <is>
          <t>Liberação de Crédito (Studio)</t>
        </is>
      </c>
      <c r="G314" t="inlineStr">
        <is>
          <t>Receita</t>
        </is>
      </c>
      <c r="H314" s="3" t="n">
        <v>541.73</v>
      </c>
      <c r="I314" t="inlineStr">
        <is>
          <t>Outro</t>
        </is>
      </c>
      <c r="J314" t="inlineStr">
        <is>
          <t>Não</t>
        </is>
      </c>
      <c r="K314" t="inlineStr">
        <is>
          <t>Eventual</t>
        </is>
      </c>
      <c r="L314" t="inlineStr"/>
      <c r="M314" t="inlineStr">
        <is>
          <t>Mercado Pago account_statement-8f96e9be-cdd7-4687-acae-7eb11216a39b.xlsx</t>
        </is>
      </c>
      <c r="N314" t="inlineStr">
        <is>
          <t>Recebido</t>
        </is>
      </c>
      <c r="O314" t="inlineStr">
        <is>
          <t>Liberação de dinheiro</t>
        </is>
      </c>
    </row>
    <row r="315">
      <c r="A315" s="29" t="n">
        <v>46098</v>
      </c>
      <c r="B315" t="n">
        <v>3</v>
      </c>
      <c r="C315" t="n">
        <v>2026</v>
      </c>
      <c r="D315" t="inlineStr">
        <is>
          <t>Studio</t>
        </is>
      </c>
      <c r="E315" t="inlineStr">
        <is>
          <t>Receita - Liberação de Crédito</t>
        </is>
      </c>
      <c r="F315" t="inlineStr">
        <is>
          <t>Liberação de Crédito (Studio)</t>
        </is>
      </c>
      <c r="G315" t="inlineStr">
        <is>
          <t>Receita</t>
        </is>
      </c>
      <c r="H315" s="3" t="n">
        <v>939.0599999999999</v>
      </c>
      <c r="I315" t="inlineStr">
        <is>
          <t>Outro</t>
        </is>
      </c>
      <c r="J315" t="inlineStr">
        <is>
          <t>Não</t>
        </is>
      </c>
      <c r="K315" t="inlineStr">
        <is>
          <t>Eventual</t>
        </is>
      </c>
      <c r="L315" t="inlineStr"/>
      <c r="M315" t="inlineStr">
        <is>
          <t>Mercado Pago account_statement-8f96e9be-cdd7-4687-acae-7eb11216a39b.xlsx</t>
        </is>
      </c>
      <c r="N315" t="inlineStr">
        <is>
          <t>Recebido</t>
        </is>
      </c>
      <c r="O315" t="inlineStr">
        <is>
          <t>Liberação de dinheiro</t>
        </is>
      </c>
    </row>
    <row r="316">
      <c r="A316" s="29" t="n">
        <v>46098</v>
      </c>
      <c r="B316" t="n">
        <v>3</v>
      </c>
      <c r="C316" t="n">
        <v>2026</v>
      </c>
      <c r="D316" t="inlineStr">
        <is>
          <t>Studio</t>
        </is>
      </c>
      <c r="E316" t="inlineStr">
        <is>
          <t>Receita - Liberação de Crédito</t>
        </is>
      </c>
      <c r="F316" t="inlineStr">
        <is>
          <t>Liberação de Crédito (Studio)</t>
        </is>
      </c>
      <c r="G316" t="inlineStr">
        <is>
          <t>Receita</t>
        </is>
      </c>
      <c r="H316" s="3" t="n">
        <v>472.13</v>
      </c>
      <c r="I316" t="inlineStr">
        <is>
          <t>Outro</t>
        </is>
      </c>
      <c r="J316" t="inlineStr">
        <is>
          <t>Não</t>
        </is>
      </c>
      <c r="K316" t="inlineStr">
        <is>
          <t>Eventual</t>
        </is>
      </c>
      <c r="L316" t="inlineStr"/>
      <c r="M316" t="inlineStr">
        <is>
          <t>Mercado Pago account_statement-8f96e9be-cdd7-4687-acae-7eb11216a39b.xlsx</t>
        </is>
      </c>
      <c r="N316" t="inlineStr">
        <is>
          <t>Recebido</t>
        </is>
      </c>
      <c r="O316" t="inlineStr">
        <is>
          <t>Liberação de dinheiro</t>
        </is>
      </c>
    </row>
    <row r="317">
      <c r="A317" s="29" t="n">
        <v>46098</v>
      </c>
      <c r="B317" t="n">
        <v>3</v>
      </c>
      <c r="C317" t="n">
        <v>2026</v>
      </c>
      <c r="D317" t="inlineStr">
        <is>
          <t>Studio</t>
        </is>
      </c>
      <c r="E317" t="inlineStr">
        <is>
          <t>Receita - Liberação de Crédito</t>
        </is>
      </c>
      <c r="F317" t="inlineStr">
        <is>
          <t>Liberação de Crédito (Studio)</t>
        </is>
      </c>
      <c r="G317" t="inlineStr">
        <is>
          <t>Receita</t>
        </is>
      </c>
      <c r="H317" s="3" t="n">
        <v>935.5700000000001</v>
      </c>
      <c r="I317" t="inlineStr">
        <is>
          <t>Outro</t>
        </is>
      </c>
      <c r="J317" t="inlineStr">
        <is>
          <t>Não</t>
        </is>
      </c>
      <c r="K317" t="inlineStr">
        <is>
          <t>Eventual</t>
        </is>
      </c>
      <c r="L317" t="inlineStr"/>
      <c r="M317" t="inlineStr">
        <is>
          <t>Mercado Pago account_statement-8f96e9be-cdd7-4687-acae-7eb11216a39b.xlsx</t>
        </is>
      </c>
      <c r="N317" t="inlineStr">
        <is>
          <t>Recebido</t>
        </is>
      </c>
      <c r="O317" t="inlineStr">
        <is>
          <t>Liberação de dinheiro</t>
        </is>
      </c>
    </row>
    <row r="318">
      <c r="A318" s="29" t="n">
        <v>46098</v>
      </c>
      <c r="B318" t="n">
        <v>3</v>
      </c>
      <c r="C318" t="n">
        <v>2026</v>
      </c>
      <c r="D318" t="inlineStr">
        <is>
          <t>Studio</t>
        </is>
      </c>
      <c r="E318" t="inlineStr">
        <is>
          <t>Receita - Outros</t>
        </is>
      </c>
      <c r="F318" t="inlineStr">
        <is>
          <t>Receita não categorizada</t>
        </is>
      </c>
      <c r="G318" t="inlineStr">
        <is>
          <t>Receita</t>
        </is>
      </c>
      <c r="H318" s="3" t="n">
        <v>446.8</v>
      </c>
      <c r="I318" t="inlineStr">
        <is>
          <t>Pix</t>
        </is>
      </c>
      <c r="J318" t="inlineStr">
        <is>
          <t>Não</t>
        </is>
      </c>
      <c r="K318" t="inlineStr">
        <is>
          <t>Eventual</t>
        </is>
      </c>
      <c r="L318" t="inlineStr"/>
      <c r="M318" t="inlineStr">
        <is>
          <t>Mercado Pago account_statement-8f96e9be-cdd7-4687-acae-7eb11216a39b.xlsx</t>
        </is>
      </c>
      <c r="N318" t="inlineStr">
        <is>
          <t>Recebido</t>
        </is>
      </c>
      <c r="O318" t="inlineStr">
        <is>
          <t>Pagamento com Código QR Pix MARIA A S PASSOS</t>
        </is>
      </c>
    </row>
    <row r="319">
      <c r="A319" s="29" t="n">
        <v>46098</v>
      </c>
      <c r="B319" t="n">
        <v>3</v>
      </c>
      <c r="C319" t="n">
        <v>2026</v>
      </c>
      <c r="D319" t="inlineStr">
        <is>
          <t>Studio</t>
        </is>
      </c>
      <c r="E319" t="inlineStr">
        <is>
          <t>Receita - Clientes Studio</t>
        </is>
      </c>
      <c r="F319" t="inlineStr">
        <is>
          <t>Pix recebido (cliente)</t>
        </is>
      </c>
      <c r="G319" t="inlineStr">
        <is>
          <t>Receita</t>
        </is>
      </c>
      <c r="H319" s="3" t="n">
        <v>489</v>
      </c>
      <c r="I319" t="inlineStr">
        <is>
          <t>Pix</t>
        </is>
      </c>
      <c r="J319" t="inlineStr">
        <is>
          <t>Não</t>
        </is>
      </c>
      <c r="K319" t="inlineStr">
        <is>
          <t>Eventual</t>
        </is>
      </c>
      <c r="L319" t="inlineStr"/>
      <c r="M319" t="inlineStr">
        <is>
          <t>Mercado Pago account_statement-8f96e9be-cdd7-4687-acae-7eb11216a39b.xlsx</t>
        </is>
      </c>
      <c r="N319" t="inlineStr">
        <is>
          <t>Recebido</t>
        </is>
      </c>
      <c r="O319" t="inlineStr">
        <is>
          <t>Pix recebido ALANDE ERONIDES TISSIANI</t>
        </is>
      </c>
    </row>
    <row r="320">
      <c r="A320" s="29" t="n">
        <v>46098</v>
      </c>
      <c r="B320" t="n">
        <v>3</v>
      </c>
      <c r="C320" t="n">
        <v>2026</v>
      </c>
      <c r="D320" t="inlineStr">
        <is>
          <t>Studio</t>
        </is>
      </c>
      <c r="E320" t="inlineStr">
        <is>
          <t>Receita - Clientes Studio</t>
        </is>
      </c>
      <c r="F320" t="inlineStr">
        <is>
          <t>Pix recebido (cliente)</t>
        </is>
      </c>
      <c r="G320" t="inlineStr">
        <is>
          <t>Receita</t>
        </is>
      </c>
      <c r="H320" s="3" t="n">
        <v>489</v>
      </c>
      <c r="I320" t="inlineStr">
        <is>
          <t>Pix</t>
        </is>
      </c>
      <c r="J320" t="inlineStr">
        <is>
          <t>Não</t>
        </is>
      </c>
      <c r="K320" t="inlineStr">
        <is>
          <t>Eventual</t>
        </is>
      </c>
      <c r="L320" t="inlineStr"/>
      <c r="M320" t="inlineStr">
        <is>
          <t>Mercado Pago account_statement-8f96e9be-cdd7-4687-acae-7eb11216a39b.xlsx</t>
        </is>
      </c>
      <c r="N320" t="inlineStr">
        <is>
          <t>Recebido</t>
        </is>
      </c>
      <c r="O320" t="inlineStr">
        <is>
          <t>Pix recebido AMANDA LUCIA AZCUY CASTRO</t>
        </is>
      </c>
    </row>
    <row r="321">
      <c r="A321" s="29" t="n">
        <v>46098</v>
      </c>
      <c r="B321" t="n">
        <v>3</v>
      </c>
      <c r="C321" t="n">
        <v>2026</v>
      </c>
      <c r="D321" t="inlineStr">
        <is>
          <t>Studio</t>
        </is>
      </c>
      <c r="E321" t="inlineStr">
        <is>
          <t>Receita - Clientes Studio</t>
        </is>
      </c>
      <c r="F321" t="inlineStr">
        <is>
          <t>Pix recebido (cliente)</t>
        </is>
      </c>
      <c r="G321" t="inlineStr">
        <is>
          <t>Receita</t>
        </is>
      </c>
      <c r="H321" s="3" t="n">
        <v>419</v>
      </c>
      <c r="I321" t="inlineStr">
        <is>
          <t>Pix</t>
        </is>
      </c>
      <c r="J321" t="inlineStr">
        <is>
          <t>Não</t>
        </is>
      </c>
      <c r="K321" t="inlineStr">
        <is>
          <t>Eventual</t>
        </is>
      </c>
      <c r="L321" t="inlineStr"/>
      <c r="M321" t="inlineStr">
        <is>
          <t>Mercado Pago account_statement-8f96e9be-cdd7-4687-acae-7eb11216a39b.xlsx</t>
        </is>
      </c>
      <c r="N321" t="inlineStr">
        <is>
          <t>Recebido</t>
        </is>
      </c>
      <c r="O321" t="inlineStr">
        <is>
          <t>Pix recebido CACILDA DE FATIMA CORREIA BAYER</t>
        </is>
      </c>
    </row>
    <row r="322">
      <c r="A322" s="29" t="n">
        <v>46098</v>
      </c>
      <c r="B322" t="n">
        <v>3</v>
      </c>
      <c r="C322" t="n">
        <v>2026</v>
      </c>
      <c r="D322" t="inlineStr">
        <is>
          <t>Studio</t>
        </is>
      </c>
      <c r="E322" t="inlineStr">
        <is>
          <t>Receita - Clientes Studio</t>
        </is>
      </c>
      <c r="F322" t="inlineStr">
        <is>
          <t>Pix recebido (cliente)</t>
        </is>
      </c>
      <c r="G322" t="inlineStr">
        <is>
          <t>Receita</t>
        </is>
      </c>
      <c r="H322" s="3" t="n">
        <v>489</v>
      </c>
      <c r="I322" t="inlineStr">
        <is>
          <t>Pix</t>
        </is>
      </c>
      <c r="J322" t="inlineStr">
        <is>
          <t>Não</t>
        </is>
      </c>
      <c r="K322" t="inlineStr">
        <is>
          <t>Eventual</t>
        </is>
      </c>
      <c r="L322" t="inlineStr"/>
      <c r="M322" t="inlineStr">
        <is>
          <t>Mercado Pago account_statement-8f96e9be-cdd7-4687-acae-7eb11216a39b.xlsx</t>
        </is>
      </c>
      <c r="N322" t="inlineStr">
        <is>
          <t>Recebido</t>
        </is>
      </c>
      <c r="O322" t="inlineStr">
        <is>
          <t>Pix recebido GISLEINE JARENKO STEIL</t>
        </is>
      </c>
    </row>
    <row r="323">
      <c r="A323" s="29" t="n">
        <v>46098</v>
      </c>
      <c r="B323" t="n">
        <v>3</v>
      </c>
      <c r="C323" t="n">
        <v>2026</v>
      </c>
      <c r="D323" t="inlineStr">
        <is>
          <t>Studio</t>
        </is>
      </c>
      <c r="E323" t="inlineStr">
        <is>
          <t>Receita - Clientes Studio</t>
        </is>
      </c>
      <c r="F323" t="inlineStr">
        <is>
          <t>Pix recebido (cliente)</t>
        </is>
      </c>
      <c r="G323" t="inlineStr">
        <is>
          <t>Receita</t>
        </is>
      </c>
      <c r="H323" s="3" t="n">
        <v>419</v>
      </c>
      <c r="I323" t="inlineStr">
        <is>
          <t>Pix</t>
        </is>
      </c>
      <c r="J323" t="inlineStr">
        <is>
          <t>Não</t>
        </is>
      </c>
      <c r="K323" t="inlineStr">
        <is>
          <t>Eventual</t>
        </is>
      </c>
      <c r="L323" t="inlineStr"/>
      <c r="M323" t="inlineStr">
        <is>
          <t>Mercado Pago account_statement-8f96e9be-cdd7-4687-acae-7eb11216a39b.xlsx</t>
        </is>
      </c>
      <c r="N323" t="inlineStr">
        <is>
          <t>Recebido</t>
        </is>
      </c>
      <c r="O323" t="inlineStr">
        <is>
          <t>Pix recebido Gracirene Pereira Saito Psicologia</t>
        </is>
      </c>
    </row>
    <row r="324">
      <c r="A324" s="29" t="n">
        <v>46098</v>
      </c>
      <c r="B324" t="n">
        <v>3</v>
      </c>
      <c r="C324" t="n">
        <v>2026</v>
      </c>
      <c r="D324" t="inlineStr">
        <is>
          <t>Studio</t>
        </is>
      </c>
      <c r="E324" t="inlineStr">
        <is>
          <t>Receita - Clientes Studio</t>
        </is>
      </c>
      <c r="F324" t="inlineStr">
        <is>
          <t>Pix recebido (cliente)</t>
        </is>
      </c>
      <c r="G324" t="inlineStr">
        <is>
          <t>Receita</t>
        </is>
      </c>
      <c r="H324" s="3" t="n">
        <v>419</v>
      </c>
      <c r="I324" t="inlineStr">
        <is>
          <t>Pix</t>
        </is>
      </c>
      <c r="J324" t="inlineStr">
        <is>
          <t>Não</t>
        </is>
      </c>
      <c r="K324" t="inlineStr">
        <is>
          <t>Eventual</t>
        </is>
      </c>
      <c r="L324" t="inlineStr"/>
      <c r="M324" t="inlineStr">
        <is>
          <t>Mercado Pago account_statement-8f96e9be-cdd7-4687-acae-7eb11216a39b.xlsx</t>
        </is>
      </c>
      <c r="N324" t="inlineStr">
        <is>
          <t>Recebido</t>
        </is>
      </c>
      <c r="O324" t="inlineStr">
        <is>
          <t>Pix recebido JUAN FELIPE FRANCO</t>
        </is>
      </c>
    </row>
    <row r="325">
      <c r="A325" s="29" t="n">
        <v>46098</v>
      </c>
      <c r="B325" t="n">
        <v>3</v>
      </c>
      <c r="C325" t="n">
        <v>2026</v>
      </c>
      <c r="D325" t="inlineStr">
        <is>
          <t>Studio</t>
        </is>
      </c>
      <c r="E325" t="inlineStr">
        <is>
          <t>Receita - Clientes Studio</t>
        </is>
      </c>
      <c r="F325" t="inlineStr">
        <is>
          <t>Pix recebido (cliente)</t>
        </is>
      </c>
      <c r="G325" t="inlineStr">
        <is>
          <t>Receita</t>
        </is>
      </c>
      <c r="H325" s="3" t="n">
        <v>209.5</v>
      </c>
      <c r="I325" t="inlineStr">
        <is>
          <t>Pix</t>
        </is>
      </c>
      <c r="J325" t="inlineStr">
        <is>
          <t>Não</t>
        </is>
      </c>
      <c r="K325" t="inlineStr">
        <is>
          <t>Eventual</t>
        </is>
      </c>
      <c r="L325" t="inlineStr"/>
      <c r="M325" t="inlineStr">
        <is>
          <t>Mercado Pago account_statement-8f96e9be-cdd7-4687-acae-7eb11216a39b.xlsx</t>
        </is>
      </c>
      <c r="N325" t="inlineStr">
        <is>
          <t>Recebido</t>
        </is>
      </c>
      <c r="O325" t="inlineStr">
        <is>
          <t>Pix recebido JUSSARA DE ALMEIDA JORGE</t>
        </is>
      </c>
    </row>
    <row r="326">
      <c r="A326" s="29" t="n">
        <v>46098</v>
      </c>
      <c r="B326" t="n">
        <v>3</v>
      </c>
      <c r="C326" t="n">
        <v>2026</v>
      </c>
      <c r="D326" t="inlineStr">
        <is>
          <t>Geral</t>
        </is>
      </c>
      <c r="E326" t="inlineStr">
        <is>
          <t>Outros</t>
        </is>
      </c>
      <c r="F326" t="inlineStr">
        <is>
          <t>Transferência Pix Enviada</t>
        </is>
      </c>
      <c r="G326" t="inlineStr">
        <is>
          <t>Despesa</t>
        </is>
      </c>
      <c r="H326" s="3" t="n">
        <v>-150</v>
      </c>
      <c r="I326" t="inlineStr">
        <is>
          <t>Pix</t>
        </is>
      </c>
      <c r="J326" t="inlineStr">
        <is>
          <t>Não</t>
        </is>
      </c>
      <c r="K326" t="inlineStr">
        <is>
          <t>Eventual</t>
        </is>
      </c>
      <c r="L326" t="inlineStr"/>
      <c r="M326" t="inlineStr">
        <is>
          <t>Nubank NU_370124875_01MAR2026_31MAR2026.csv</t>
        </is>
      </c>
      <c r="N326" t="inlineStr">
        <is>
          <t>Sem comprovante</t>
        </is>
      </c>
      <c r="O326" t="inlineStr">
        <is>
          <t>Transferência enviada pelo Pix - SERGIO SEITI SUGUIMATSU - •••.793.389-•• - BCO DO BRASIL S.A. (0001) Agência: 3390 Conta: 14247-6</t>
        </is>
      </c>
    </row>
    <row r="327">
      <c r="A327" s="29" t="n">
        <v>46099</v>
      </c>
      <c r="B327" t="n">
        <v>3</v>
      </c>
      <c r="C327" t="n">
        <v>2026</v>
      </c>
      <c r="D327" t="inlineStr">
        <is>
          <t>Studio</t>
        </is>
      </c>
      <c r="E327" t="inlineStr">
        <is>
          <t>Receita - Liberação de Crédito</t>
        </is>
      </c>
      <c r="F327" t="inlineStr">
        <is>
          <t>Liberação de Crédito (Studio)</t>
        </is>
      </c>
      <c r="G327" t="inlineStr">
        <is>
          <t>Receita</t>
        </is>
      </c>
      <c r="H327" s="3" t="n">
        <v>465.1</v>
      </c>
      <c r="I327" t="inlineStr">
        <is>
          <t>Outro</t>
        </is>
      </c>
      <c r="J327" t="inlineStr">
        <is>
          <t>Não</t>
        </is>
      </c>
      <c r="K327" t="inlineStr">
        <is>
          <t>Eventual</t>
        </is>
      </c>
      <c r="L327" t="inlineStr"/>
      <c r="M327" t="inlineStr">
        <is>
          <t>Mercado Pago account_statement-8f96e9be-cdd7-4687-acae-7eb11216a39b.xlsx</t>
        </is>
      </c>
      <c r="N327" t="inlineStr">
        <is>
          <t>Recebido</t>
        </is>
      </c>
      <c r="O327" t="inlineStr">
        <is>
          <t>Liberação de dinheiro</t>
        </is>
      </c>
    </row>
    <row r="328">
      <c r="A328" s="29" t="n">
        <v>46099</v>
      </c>
      <c r="B328" t="n">
        <v>3</v>
      </c>
      <c r="C328" t="n">
        <v>2026</v>
      </c>
      <c r="D328" t="inlineStr">
        <is>
          <t>Studio</t>
        </is>
      </c>
      <c r="E328" t="inlineStr">
        <is>
          <t>Receita - Liberação de Crédito</t>
        </is>
      </c>
      <c r="F328" t="inlineStr">
        <is>
          <t>Liberação de Crédito (Studio)</t>
        </is>
      </c>
      <c r="G328" t="inlineStr">
        <is>
          <t>Receita</t>
        </is>
      </c>
      <c r="H328" s="3" t="n">
        <v>98.72</v>
      </c>
      <c r="I328" t="inlineStr">
        <is>
          <t>Outro</t>
        </is>
      </c>
      <c r="J328" t="inlineStr">
        <is>
          <t>Não</t>
        </is>
      </c>
      <c r="K328" t="inlineStr">
        <is>
          <t>Eventual</t>
        </is>
      </c>
      <c r="L328" t="inlineStr"/>
      <c r="M328" t="inlineStr">
        <is>
          <t>Mercado Pago account_statement-8f96e9be-cdd7-4687-acae-7eb11216a39b.xlsx</t>
        </is>
      </c>
      <c r="N328" t="inlineStr">
        <is>
          <t>Recebido</t>
        </is>
      </c>
      <c r="O328" t="inlineStr">
        <is>
          <t>Liberação de dinheiro</t>
        </is>
      </c>
    </row>
    <row r="329">
      <c r="A329" s="29" t="n">
        <v>46099</v>
      </c>
      <c r="B329" t="n">
        <v>3</v>
      </c>
      <c r="C329" t="n">
        <v>2026</v>
      </c>
      <c r="D329" t="inlineStr">
        <is>
          <t>Studio</t>
        </is>
      </c>
      <c r="E329" t="inlineStr">
        <is>
          <t>Receita - Outros</t>
        </is>
      </c>
      <c r="F329" t="inlineStr">
        <is>
          <t>Receita não categorizada</t>
        </is>
      </c>
      <c r="G329" t="inlineStr">
        <is>
          <t>Receita</t>
        </is>
      </c>
      <c r="H329" s="3" t="n">
        <v>98.51000000000001</v>
      </c>
      <c r="I329" t="inlineStr">
        <is>
          <t>Pix</t>
        </is>
      </c>
      <c r="J329" t="inlineStr">
        <is>
          <t>Não</t>
        </is>
      </c>
      <c r="K329" t="inlineStr">
        <is>
          <t>Eventual</t>
        </is>
      </c>
      <c r="L329" t="inlineStr"/>
      <c r="M329" t="inlineStr">
        <is>
          <t>Mercado Pago account_statement-8f96e9be-cdd7-4687-acae-7eb11216a39b.xlsx</t>
        </is>
      </c>
      <c r="N329" t="inlineStr">
        <is>
          <t>Recebido</t>
        </is>
      </c>
      <c r="O329" t="inlineStr">
        <is>
          <t>Pagamento com Código QR Pix ELIANE APARECIDA BATISTA</t>
        </is>
      </c>
    </row>
    <row r="330">
      <c r="A330" s="29" t="n">
        <v>46099</v>
      </c>
      <c r="B330" t="n">
        <v>3</v>
      </c>
      <c r="C330" t="n">
        <v>2026</v>
      </c>
      <c r="D330" t="inlineStr">
        <is>
          <t>Studio</t>
        </is>
      </c>
      <c r="E330" t="inlineStr">
        <is>
          <t>Outros</t>
        </is>
      </c>
      <c r="F330" t="inlineStr">
        <is>
          <t>Pix recebido cliente Studio</t>
        </is>
      </c>
      <c r="G330" t="inlineStr">
        <is>
          <t>Receita</t>
        </is>
      </c>
      <c r="H330" s="3" t="n">
        <v>59.71</v>
      </c>
      <c r="I330" t="inlineStr">
        <is>
          <t>Pix</t>
        </is>
      </c>
      <c r="J330" t="inlineStr">
        <is>
          <t>Não</t>
        </is>
      </c>
      <c r="K330" t="inlineStr">
        <is>
          <t>Eventual</t>
        </is>
      </c>
      <c r="L330" t="inlineStr"/>
      <c r="M330" t="inlineStr">
        <is>
          <t>Mercado Pago account_statement-8f96e9be-cdd7-4687-acae-7eb11216a39b.xlsx</t>
        </is>
      </c>
      <c r="N330" t="inlineStr">
        <is>
          <t>Recebido</t>
        </is>
      </c>
      <c r="O330" t="inlineStr">
        <is>
          <t>Pagamento com Código QR Pix JULIANA CAROLINA BORTOLAZ</t>
        </is>
      </c>
    </row>
    <row r="331">
      <c r="A331" s="29" t="n">
        <v>46099</v>
      </c>
      <c r="B331" t="n">
        <v>3</v>
      </c>
      <c r="C331" t="n">
        <v>2026</v>
      </c>
      <c r="D331" t="inlineStr">
        <is>
          <t>Geral</t>
        </is>
      </c>
      <c r="E331" t="inlineStr">
        <is>
          <t>Outros</t>
        </is>
      </c>
      <c r="F331" t="inlineStr">
        <is>
          <t>Serviço Médico</t>
        </is>
      </c>
      <c r="G331" t="inlineStr">
        <is>
          <t>Despesa</t>
        </is>
      </c>
      <c r="H331" s="3" t="n">
        <v>-326.68</v>
      </c>
      <c r="I331" t="inlineStr">
        <is>
          <t>Pix</t>
        </is>
      </c>
      <c r="J331" t="inlineStr">
        <is>
          <t>Não</t>
        </is>
      </c>
      <c r="K331" t="inlineStr">
        <is>
          <t>Eventual</t>
        </is>
      </c>
      <c r="L331" t="inlineStr"/>
      <c r="M331" t="inlineStr">
        <is>
          <t>Mercado Pago account_statement-8f96e9be-cdd7-4687-acae-7eb11216a39b.xlsx</t>
        </is>
      </c>
      <c r="N331" t="inlineStr">
        <is>
          <t>Sem comprovante</t>
        </is>
      </c>
      <c r="O331" t="inlineStr">
        <is>
          <t>Pagamento com QR Pix SALVA SERVICOS MEDICOS DE EMERGENCIA LTDA</t>
        </is>
      </c>
    </row>
    <row r="332">
      <c r="A332" s="29" t="n">
        <v>46099</v>
      </c>
      <c r="B332" t="n">
        <v>3</v>
      </c>
      <c r="C332" t="n">
        <v>2026</v>
      </c>
      <c r="D332" t="inlineStr">
        <is>
          <t>Geral</t>
        </is>
      </c>
      <c r="E332" t="inlineStr">
        <is>
          <t>Outros</t>
        </is>
      </c>
      <c r="F332" t="inlineStr">
        <is>
          <t>Transferência Pix Enviada</t>
        </is>
      </c>
      <c r="G332" t="inlineStr">
        <is>
          <t>Despesa</t>
        </is>
      </c>
      <c r="H332" s="3" t="n">
        <v>-1250</v>
      </c>
      <c r="I332" t="inlineStr">
        <is>
          <t>Pix</t>
        </is>
      </c>
      <c r="J332" t="inlineStr">
        <is>
          <t>Não</t>
        </is>
      </c>
      <c r="K332" t="inlineStr">
        <is>
          <t>Eventual</t>
        </is>
      </c>
      <c r="L332" t="inlineStr"/>
      <c r="M332" t="inlineStr">
        <is>
          <t>Mercado Pago account_statement-8f96e9be-cdd7-4687-acae-7eb11216a39b.xlsx</t>
        </is>
      </c>
      <c r="N332" t="inlineStr">
        <is>
          <t>Sem comprovante</t>
        </is>
      </c>
      <c r="O332" t="inlineStr">
        <is>
          <t>Pix enviado Assessoria Percus Ltda</t>
        </is>
      </c>
    </row>
    <row r="333">
      <c r="A333" s="29" t="n">
        <v>46099</v>
      </c>
      <c r="B333" t="n">
        <v>3</v>
      </c>
      <c r="C333" t="n">
        <v>2026</v>
      </c>
      <c r="D333" t="inlineStr">
        <is>
          <t>Studio</t>
        </is>
      </c>
      <c r="E333" t="inlineStr">
        <is>
          <t>Pessoal</t>
        </is>
      </c>
      <c r="F333" t="inlineStr">
        <is>
          <t>Eliane</t>
        </is>
      </c>
      <c r="G333" t="inlineStr">
        <is>
          <t>Despesa</t>
        </is>
      </c>
      <c r="H333" s="3" t="n">
        <v>-136</v>
      </c>
      <c r="I333" t="inlineStr">
        <is>
          <t>Pix</t>
        </is>
      </c>
      <c r="J333" t="inlineStr">
        <is>
          <t>Não</t>
        </is>
      </c>
      <c r="K333" t="inlineStr">
        <is>
          <t>Eventual</t>
        </is>
      </c>
      <c r="L333" t="inlineStr"/>
      <c r="M333" t="inlineStr">
        <is>
          <t>Mercado Pago account_statement-8f96e9be-cdd7-4687-acae-7eb11216a39b.xlsx</t>
        </is>
      </c>
      <c r="N333" t="inlineStr">
        <is>
          <t>Sem comprovante</t>
        </is>
      </c>
      <c r="O333" t="inlineStr">
        <is>
          <t>Pix enviado Eliane do Rocio de Lima</t>
        </is>
      </c>
    </row>
    <row r="334">
      <c r="A334" s="29" t="n">
        <v>46099</v>
      </c>
      <c r="B334" t="n">
        <v>3</v>
      </c>
      <c r="C334" t="n">
        <v>2026</v>
      </c>
      <c r="D334" t="inlineStr">
        <is>
          <t>Studio</t>
        </is>
      </c>
      <c r="E334" t="inlineStr">
        <is>
          <t>Contas Fixas</t>
        </is>
      </c>
      <c r="F334" t="inlineStr">
        <is>
          <t>Estacionamento Studio</t>
        </is>
      </c>
      <c r="G334" t="inlineStr">
        <is>
          <t>Despesa</t>
        </is>
      </c>
      <c r="H334" s="3" t="n">
        <v>-170</v>
      </c>
      <c r="I334" t="inlineStr">
        <is>
          <t>Pix</t>
        </is>
      </c>
      <c r="J334" t="inlineStr">
        <is>
          <t>Sim</t>
        </is>
      </c>
      <c r="K334" t="inlineStr">
        <is>
          <t>Mensal</t>
        </is>
      </c>
      <c r="L334" t="inlineStr">
        <is>
          <t>Estacionameto Studio/00000002-PHOTO-2026-03-18-17-32-40.jpg</t>
        </is>
      </c>
      <c r="M334" t="inlineStr">
        <is>
          <t>Mercado Pago account_statement-8f96e9be-cdd7-4687-acae-7eb11216a39b.xlsx</t>
        </is>
      </c>
      <c r="N334" t="inlineStr">
        <is>
          <t>Pago</t>
        </is>
      </c>
      <c r="O334" t="inlineStr">
        <is>
          <t>Pix enviado Independencia Park Estacionamentos Ltda</t>
        </is>
      </c>
    </row>
    <row r="335">
      <c r="A335" s="29" t="n">
        <v>46099</v>
      </c>
      <c r="B335" t="n">
        <v>3</v>
      </c>
      <c r="C335" t="n">
        <v>2026</v>
      </c>
      <c r="D335" t="inlineStr">
        <is>
          <t>Geral</t>
        </is>
      </c>
      <c r="E335" t="inlineStr">
        <is>
          <t>Outros</t>
        </is>
      </c>
      <c r="F335" t="inlineStr">
        <is>
          <t>Transferência Pix Enviada</t>
        </is>
      </c>
      <c r="G335" t="inlineStr">
        <is>
          <t>Despesa</t>
        </is>
      </c>
      <c r="H335" s="3" t="n">
        <v>-1100</v>
      </c>
      <c r="I335" t="inlineStr">
        <is>
          <t>Pix</t>
        </is>
      </c>
      <c r="J335" t="inlineStr">
        <is>
          <t>Não</t>
        </is>
      </c>
      <c r="K335" t="inlineStr">
        <is>
          <t>Eventual</t>
        </is>
      </c>
      <c r="L335" t="inlineStr"/>
      <c r="M335" t="inlineStr">
        <is>
          <t>Mercado Pago account_statement-8f96e9be-cdd7-4687-acae-7eb11216a39b.xlsx</t>
        </is>
      </c>
      <c r="N335" t="inlineStr">
        <is>
          <t>Sem comprovante</t>
        </is>
      </c>
      <c r="O335" t="inlineStr">
        <is>
          <t>Pix enviado Mvd Marketing Estrategico Ltda</t>
        </is>
      </c>
    </row>
    <row r="336">
      <c r="A336" s="29" t="n">
        <v>46099</v>
      </c>
      <c r="B336" t="n">
        <v>3</v>
      </c>
      <c r="C336" t="n">
        <v>2026</v>
      </c>
      <c r="D336" t="inlineStr">
        <is>
          <t>Geral</t>
        </is>
      </c>
      <c r="E336" t="inlineStr">
        <is>
          <t>Outros</t>
        </is>
      </c>
      <c r="F336" t="inlineStr">
        <is>
          <t>Transferência Pix Enviada</t>
        </is>
      </c>
      <c r="G336" t="inlineStr">
        <is>
          <t>Despesa</t>
        </is>
      </c>
      <c r="H336" s="3" t="n">
        <v>-45.8</v>
      </c>
      <c r="I336" t="inlineStr">
        <is>
          <t>Pix</t>
        </is>
      </c>
      <c r="J336" t="inlineStr">
        <is>
          <t>Não</t>
        </is>
      </c>
      <c r="K336" t="inlineStr">
        <is>
          <t>Eventual</t>
        </is>
      </c>
      <c r="L336" t="inlineStr"/>
      <c r="M336" t="inlineStr">
        <is>
          <t>Nubank NU_370124875_01MAR2026_31MAR2026.csv</t>
        </is>
      </c>
      <c r="N336" t="inlineStr">
        <is>
          <t>Sem comprovante</t>
        </is>
      </c>
      <c r="O336" t="inlineStr">
        <is>
          <t>Transferência enviada pelo Pix - AGENCIA DE CORREIOS FRANQUEADA SAO BRAZ LTDA - 85.500.437/0001-47 - ITAÚ UNIBANCO S.A. (0341) Agência: 3708 Conta: 99293-2</t>
        </is>
      </c>
    </row>
    <row r="337">
      <c r="A337" s="29" t="n">
        <v>46099</v>
      </c>
      <c r="B337" t="n">
        <v>3</v>
      </c>
      <c r="C337" t="n">
        <v>2026</v>
      </c>
      <c r="D337" t="inlineStr">
        <is>
          <t>Geral</t>
        </is>
      </c>
      <c r="E337" t="inlineStr">
        <is>
          <t>Outros</t>
        </is>
      </c>
      <c r="F337" t="inlineStr">
        <is>
          <t>Transferência Pix Enviada</t>
        </is>
      </c>
      <c r="G337" t="inlineStr">
        <is>
          <t>Despesa</t>
        </is>
      </c>
      <c r="H337" s="3" t="n">
        <v>-27.45</v>
      </c>
      <c r="I337" t="inlineStr">
        <is>
          <t>Pix</t>
        </is>
      </c>
      <c r="J337" t="inlineStr">
        <is>
          <t>Não</t>
        </is>
      </c>
      <c r="K337" t="inlineStr">
        <is>
          <t>Eventual</t>
        </is>
      </c>
      <c r="L337" t="inlineStr"/>
      <c r="M337" t="inlineStr">
        <is>
          <t>Nubank NU_370124875_01MAR2026_31MAR2026.csv</t>
        </is>
      </c>
      <c r="N337" t="inlineStr">
        <is>
          <t>Sem comprovante</t>
        </is>
      </c>
      <c r="O337" t="inlineStr">
        <is>
          <t>Transferência enviada pelo Pix - ANDRE WIPPEL DOS SANTOS - •••.085.119-•• - BCO DO BRASIL S.A. (0001) Agência: 695 Conta: 15670-1</t>
        </is>
      </c>
    </row>
    <row r="338">
      <c r="A338" s="29" t="n">
        <v>46099</v>
      </c>
      <c r="B338" t="n">
        <v>3</v>
      </c>
      <c r="C338" t="n">
        <v>2026</v>
      </c>
      <c r="D338" t="inlineStr">
        <is>
          <t>Studio</t>
        </is>
      </c>
      <c r="E338" t="inlineStr">
        <is>
          <t>Receita - Outros</t>
        </is>
      </c>
      <c r="F338" t="inlineStr">
        <is>
          <t>Receita não categorizada</t>
        </is>
      </c>
      <c r="G338" t="inlineStr">
        <is>
          <t>Receita</t>
        </is>
      </c>
      <c r="H338" s="3" t="n">
        <v>45.8</v>
      </c>
      <c r="I338" t="inlineStr">
        <is>
          <t>Pix</t>
        </is>
      </c>
      <c r="J338" t="inlineStr">
        <is>
          <t>Não</t>
        </is>
      </c>
      <c r="K338" t="inlineStr">
        <is>
          <t>Eventual</t>
        </is>
      </c>
      <c r="L338" t="inlineStr"/>
      <c r="M338" t="inlineStr">
        <is>
          <t>Nubank NU_370124875_01MAR2026_31MAR2026.csv</t>
        </is>
      </c>
      <c r="N338" t="inlineStr">
        <is>
          <t>Recebido</t>
        </is>
      </c>
      <c r="O338" t="inlineStr">
        <is>
          <t>Transferência recebida pelo Pix - BRUNO DE PAULA SEUS - •••.848.059-•• - ITAÚ UNIBANCO S.A. (0341) Agência: 5590 Conta: 13297-2</t>
        </is>
      </c>
    </row>
    <row r="339">
      <c r="A339" s="29" t="n">
        <v>46100</v>
      </c>
      <c r="B339" t="n">
        <v>3</v>
      </c>
      <c r="C339" t="n">
        <v>2026</v>
      </c>
      <c r="D339" t="inlineStr">
        <is>
          <t>Pessoal</t>
        </is>
      </c>
      <c r="E339" t="inlineStr">
        <is>
          <t>Contas Variáveis</t>
        </is>
      </c>
      <c r="F339" t="inlineStr">
        <is>
          <t>Compra no débito</t>
        </is>
      </c>
      <c r="G339" t="inlineStr">
        <is>
          <t>Despesa</t>
        </is>
      </c>
      <c r="H339" s="3" t="n">
        <v>-50.29</v>
      </c>
      <c r="I339" t="inlineStr">
        <is>
          <t>Débito</t>
        </is>
      </c>
      <c r="J339" t="inlineStr">
        <is>
          <t>Não</t>
        </is>
      </c>
      <c r="K339" t="inlineStr">
        <is>
          <t>Eventual</t>
        </is>
      </c>
      <c r="L339" t="inlineStr"/>
      <c r="M339" t="inlineStr">
        <is>
          <t>Nubank NU_370124875_01MAR2026_31MAR2026.csv</t>
        </is>
      </c>
      <c r="N339" t="inlineStr">
        <is>
          <t>Sem comprovante</t>
        </is>
      </c>
      <c r="O339" t="inlineStr">
        <is>
          <t>Compra no débito - CAFE VICTORIA LTDA</t>
        </is>
      </c>
    </row>
    <row r="340">
      <c r="A340" s="29" t="n">
        <v>46100</v>
      </c>
      <c r="B340" t="n">
        <v>3</v>
      </c>
      <c r="C340" t="n">
        <v>2026</v>
      </c>
      <c r="D340" t="inlineStr">
        <is>
          <t>Studio</t>
        </is>
      </c>
      <c r="E340" t="inlineStr">
        <is>
          <t>Receita - Liberação de Crédito</t>
        </is>
      </c>
      <c r="F340" t="inlineStr">
        <is>
          <t>Liberação de Crédito (Studio)</t>
        </is>
      </c>
      <c r="G340" t="inlineStr">
        <is>
          <t>Receita</t>
        </is>
      </c>
      <c r="H340" s="3" t="n">
        <v>296.16</v>
      </c>
      <c r="I340" t="inlineStr">
        <is>
          <t>Outro</t>
        </is>
      </c>
      <c r="J340" t="inlineStr">
        <is>
          <t>Não</t>
        </is>
      </c>
      <c r="K340" t="inlineStr">
        <is>
          <t>Eventual</t>
        </is>
      </c>
      <c r="L340" t="inlineStr"/>
      <c r="M340" t="inlineStr">
        <is>
          <t>Mercado Pago account_statement-8f96e9be-cdd7-4687-acae-7eb11216a39b.xlsx</t>
        </is>
      </c>
      <c r="N340" t="inlineStr">
        <is>
          <t>Recebido</t>
        </is>
      </c>
      <c r="O340" t="inlineStr">
        <is>
          <t>Liberação de dinheiro</t>
        </is>
      </c>
    </row>
    <row r="341">
      <c r="A341" s="29" t="n">
        <v>46100</v>
      </c>
      <c r="B341" t="n">
        <v>3</v>
      </c>
      <c r="C341" t="n">
        <v>2026</v>
      </c>
      <c r="D341" t="inlineStr">
        <is>
          <t>Pessoal</t>
        </is>
      </c>
      <c r="E341" t="inlineStr">
        <is>
          <t>Contas Variáveis</t>
        </is>
      </c>
      <c r="F341" t="inlineStr">
        <is>
          <t>iFood</t>
        </is>
      </c>
      <c r="G341" t="inlineStr">
        <is>
          <t>Despesa</t>
        </is>
      </c>
      <c r="H341" s="3" t="n">
        <v>-88.11</v>
      </c>
      <c r="I341" t="inlineStr">
        <is>
          <t>Pix</t>
        </is>
      </c>
      <c r="J341" t="inlineStr">
        <is>
          <t>Não</t>
        </is>
      </c>
      <c r="K341" t="inlineStr">
        <is>
          <t>Eventual</t>
        </is>
      </c>
      <c r="L341" t="inlineStr"/>
      <c r="M341" t="inlineStr">
        <is>
          <t>Mercado Pago account_statement-8f96e9be-cdd7-4687-acae-7eb11216a39b.xlsx</t>
        </is>
      </c>
      <c r="N341" t="inlineStr">
        <is>
          <t>Sem comprovante</t>
        </is>
      </c>
      <c r="O341" t="inlineStr">
        <is>
          <t>Pagamento com QR Pix IFOOD.COM AGENCIA DE RESTAURANTES ONLINE S.A.</t>
        </is>
      </c>
    </row>
    <row r="342">
      <c r="A342" s="29" t="n">
        <v>46100</v>
      </c>
      <c r="B342" t="n">
        <v>3</v>
      </c>
      <c r="C342" t="n">
        <v>2026</v>
      </c>
      <c r="D342" t="inlineStr">
        <is>
          <t>Geral</t>
        </is>
      </c>
      <c r="E342" t="inlineStr">
        <is>
          <t>Transferência - Bruno (própria)</t>
        </is>
      </c>
      <c r="F342" t="inlineStr">
        <is>
          <t>Pix Bruno→Bruno (entre contas próprias)</t>
        </is>
      </c>
      <c r="G342" t="inlineStr">
        <is>
          <t>Despesa</t>
        </is>
      </c>
      <c r="H342" s="3" t="n">
        <v>-500</v>
      </c>
      <c r="I342" t="inlineStr">
        <is>
          <t>Pix</t>
        </is>
      </c>
      <c r="J342" t="inlineStr">
        <is>
          <t>Não</t>
        </is>
      </c>
      <c r="K342" t="inlineStr">
        <is>
          <t>Eventual</t>
        </is>
      </c>
      <c r="L342" t="inlineStr"/>
      <c r="M342" t="inlineStr">
        <is>
          <t>Mercado Pago account_statement-8f96e9be-cdd7-4687-acae-7eb11216a39b.xlsx</t>
        </is>
      </c>
      <c r="N342" t="inlineStr">
        <is>
          <t>Sem comprovante</t>
        </is>
      </c>
      <c r="O342" t="inlineStr">
        <is>
          <t>Pix enviado Bruno Porto Seus</t>
        </is>
      </c>
    </row>
    <row r="343">
      <c r="A343" s="29" t="n">
        <v>46100</v>
      </c>
      <c r="B343" t="n">
        <v>3</v>
      </c>
      <c r="C343" t="n">
        <v>2026</v>
      </c>
      <c r="D343" t="inlineStr">
        <is>
          <t>Geral</t>
        </is>
      </c>
      <c r="E343" t="inlineStr">
        <is>
          <t>Transferência - Bruno (própria)</t>
        </is>
      </c>
      <c r="F343" t="inlineStr">
        <is>
          <t>Pix Bruno→Bruno (entre contas próprias)</t>
        </is>
      </c>
      <c r="G343" t="inlineStr">
        <is>
          <t>Despesa</t>
        </is>
      </c>
      <c r="H343" s="3" t="n">
        <v>-6000</v>
      </c>
      <c r="I343" t="inlineStr">
        <is>
          <t>Pix</t>
        </is>
      </c>
      <c r="J343" t="inlineStr">
        <is>
          <t>Não</t>
        </is>
      </c>
      <c r="K343" t="inlineStr">
        <is>
          <t>Eventual</t>
        </is>
      </c>
      <c r="L343" t="inlineStr"/>
      <c r="M343" t="inlineStr">
        <is>
          <t>Mercado Pago account_statement-8f96e9be-cdd7-4687-acae-7eb11216a39b.xlsx</t>
        </is>
      </c>
      <c r="N343" t="inlineStr">
        <is>
          <t>Sem comprovante</t>
        </is>
      </c>
      <c r="O343" t="inlineStr">
        <is>
          <t>Pix enviado Bruno Porto Seus</t>
        </is>
      </c>
    </row>
    <row r="344">
      <c r="A344" s="29" t="n">
        <v>46100</v>
      </c>
      <c r="B344" t="n">
        <v>3</v>
      </c>
      <c r="C344" t="n">
        <v>2026</v>
      </c>
      <c r="D344" t="inlineStr">
        <is>
          <t>Studio</t>
        </is>
      </c>
      <c r="E344" t="inlineStr">
        <is>
          <t>Pessoal</t>
        </is>
      </c>
      <c r="F344" t="inlineStr">
        <is>
          <t>Marco</t>
        </is>
      </c>
      <c r="G344" t="inlineStr">
        <is>
          <t>Despesa</t>
        </is>
      </c>
      <c r="H344" s="3" t="n">
        <v>-484.38</v>
      </c>
      <c r="I344" t="inlineStr">
        <is>
          <t>Pix</t>
        </is>
      </c>
      <c r="J344" t="inlineStr">
        <is>
          <t>Não</t>
        </is>
      </c>
      <c r="K344" t="inlineStr">
        <is>
          <t>Eventual</t>
        </is>
      </c>
      <c r="L344" t="inlineStr"/>
      <c r="M344" t="inlineStr">
        <is>
          <t>Mercado Pago account_statement-8f96e9be-cdd7-4687-acae-7eb11216a39b.xlsx</t>
        </is>
      </c>
      <c r="N344" t="inlineStr">
        <is>
          <t>Sem comprovante</t>
        </is>
      </c>
      <c r="O344" t="inlineStr">
        <is>
          <t>Pix enviado Marco Aurelio de Moura Leite</t>
        </is>
      </c>
    </row>
    <row r="345">
      <c r="A345" s="29" t="n">
        <v>46100</v>
      </c>
      <c r="B345" t="n">
        <v>3</v>
      </c>
      <c r="C345" t="n">
        <v>2026</v>
      </c>
      <c r="D345" t="inlineStr">
        <is>
          <t>Studio</t>
        </is>
      </c>
      <c r="E345" t="inlineStr">
        <is>
          <t>Receita - Denise (Salão)</t>
        </is>
      </c>
      <c r="F345" t="inlineStr">
        <is>
          <t>Depósito recebido de Denise / Salão</t>
        </is>
      </c>
      <c r="G345" t="inlineStr">
        <is>
          <t>Receita</t>
        </is>
      </c>
      <c r="H345" s="3" t="n">
        <v>3305</v>
      </c>
      <c r="I345" t="inlineStr">
        <is>
          <t>Pix</t>
        </is>
      </c>
      <c r="J345" t="inlineStr">
        <is>
          <t>Não</t>
        </is>
      </c>
      <c r="K345" t="inlineStr">
        <is>
          <t>Eventual</t>
        </is>
      </c>
      <c r="L345" t="inlineStr"/>
      <c r="M345" t="inlineStr">
        <is>
          <t>Mercado Pago account_statement-8f96e9be-cdd7-4687-acae-7eb11216a39b.xlsx</t>
        </is>
      </c>
      <c r="N345" t="inlineStr">
        <is>
          <t>Recebido</t>
        </is>
      </c>
      <c r="O345" t="inlineStr">
        <is>
          <t>Pix recebido DENISE DE PAULA</t>
        </is>
      </c>
    </row>
    <row r="346">
      <c r="A346" s="29" t="n">
        <v>46100</v>
      </c>
      <c r="B346" t="n">
        <v>3</v>
      </c>
      <c r="C346" t="n">
        <v>2026</v>
      </c>
      <c r="D346" t="inlineStr">
        <is>
          <t>Geral</t>
        </is>
      </c>
      <c r="E346" t="inlineStr">
        <is>
          <t>Pessoal</t>
        </is>
      </c>
      <c r="F346" t="inlineStr">
        <is>
          <t>Bruno Luiz (familiar)</t>
        </is>
      </c>
      <c r="G346" t="inlineStr">
        <is>
          <t>Despesa</t>
        </is>
      </c>
      <c r="H346" s="3" t="n">
        <v>-200</v>
      </c>
      <c r="I346" t="inlineStr">
        <is>
          <t>Pix</t>
        </is>
      </c>
      <c r="J346" t="inlineStr">
        <is>
          <t>Não</t>
        </is>
      </c>
      <c r="K346" t="inlineStr">
        <is>
          <t>Eventual</t>
        </is>
      </c>
      <c r="L346" t="inlineStr"/>
      <c r="M346" t="inlineStr">
        <is>
          <t>Nubank NU_370124875_01MAR2026_31MAR2026.csv</t>
        </is>
      </c>
      <c r="N346" t="inlineStr">
        <is>
          <t>Sem comprovante</t>
        </is>
      </c>
      <c r="O346" t="inlineStr">
        <is>
          <t>Transferência enviada pelo Pix - BRUNO LUIZ SASTRE SEUS JUNIOR - •••.516.739-•• - BCO BRADESCO S.A. (0237) Agência: 3925 Conta: 165900-6</t>
        </is>
      </c>
    </row>
    <row r="347">
      <c r="A347" s="29" t="n">
        <v>46100</v>
      </c>
      <c r="B347" t="n">
        <v>3</v>
      </c>
      <c r="C347" t="n">
        <v>2026</v>
      </c>
      <c r="D347" t="inlineStr">
        <is>
          <t>Studio</t>
        </is>
      </c>
      <c r="E347" t="inlineStr">
        <is>
          <t>Impostos</t>
        </is>
      </c>
      <c r="F347" t="inlineStr">
        <is>
          <t>Tributo Municipal</t>
        </is>
      </c>
      <c r="G347" t="inlineStr">
        <is>
          <t>Despesa</t>
        </is>
      </c>
      <c r="H347" s="3" t="n">
        <v>-6004.85</v>
      </c>
      <c r="I347" t="inlineStr">
        <is>
          <t>Pix</t>
        </is>
      </c>
      <c r="J347" t="inlineStr">
        <is>
          <t>Não</t>
        </is>
      </c>
      <c r="K347" t="inlineStr">
        <is>
          <t>Eventual</t>
        </is>
      </c>
      <c r="L347" t="inlineStr"/>
      <c r="M347" t="inlineStr">
        <is>
          <t>Nubank NU_370124875_01MAR2026_31MAR2026.csv</t>
        </is>
      </c>
      <c r="N347" t="inlineStr">
        <is>
          <t>Sem comprovante</t>
        </is>
      </c>
      <c r="O347" t="inlineStr">
        <is>
          <t>Transferência enviada pelo Pix - MUNICIPIO DE CURITIBA - 76.417.005/0001-86 - BCO DO BRASIL S.A. (0001) Agência: 3793 Conta: 73555-8</t>
        </is>
      </c>
    </row>
    <row r="348">
      <c r="A348" s="29" t="n">
        <v>46100</v>
      </c>
      <c r="B348" t="n">
        <v>3</v>
      </c>
      <c r="C348" t="n">
        <v>2026</v>
      </c>
      <c r="D348" t="inlineStr">
        <is>
          <t>Studio</t>
        </is>
      </c>
      <c r="E348" t="inlineStr">
        <is>
          <t>Receita - Denise (Salão)</t>
        </is>
      </c>
      <c r="F348" t="inlineStr">
        <is>
          <t>Depósito recebido de Denise / Salão</t>
        </is>
      </c>
      <c r="G348" t="inlineStr">
        <is>
          <t>Receita</t>
        </is>
      </c>
      <c r="H348" s="3" t="n">
        <v>500</v>
      </c>
      <c r="I348" t="inlineStr">
        <is>
          <t>Pix</t>
        </is>
      </c>
      <c r="J348" t="inlineStr">
        <is>
          <t>Não</t>
        </is>
      </c>
      <c r="K348" t="inlineStr">
        <is>
          <t>Eventual</t>
        </is>
      </c>
      <c r="L348" t="inlineStr"/>
      <c r="M348" t="inlineStr">
        <is>
          <t>Nubank NU_370124875_01MAR2026_31MAR2026.csv</t>
        </is>
      </c>
      <c r="N348" t="inlineStr">
        <is>
          <t>Recebido</t>
        </is>
      </c>
      <c r="O348" t="inlineStr">
        <is>
          <t>Transferência recebida pelo Pix - DENISE DE PAULA CENTRO DE ESTETICA LTDA - 05.823.454/0001-86 - MERCADO PAGO IP LTDA. (0323) Agência: 1 Conta: 8804533771-0</t>
        </is>
      </c>
    </row>
    <row r="349">
      <c r="A349" s="29" t="n">
        <v>46100</v>
      </c>
      <c r="B349" t="n">
        <v>3</v>
      </c>
      <c r="C349" t="n">
        <v>2026</v>
      </c>
      <c r="D349" t="inlineStr">
        <is>
          <t>Studio</t>
        </is>
      </c>
      <c r="E349" t="inlineStr">
        <is>
          <t>Receita - Denise (Salão)</t>
        </is>
      </c>
      <c r="F349" t="inlineStr">
        <is>
          <t>Depósito recebido de Denise / Salão</t>
        </is>
      </c>
      <c r="G349" t="inlineStr">
        <is>
          <t>Receita</t>
        </is>
      </c>
      <c r="H349" s="3" t="n">
        <v>6000</v>
      </c>
      <c r="I349" t="inlineStr">
        <is>
          <t>Pix</t>
        </is>
      </c>
      <c r="J349" t="inlineStr">
        <is>
          <t>Não</t>
        </is>
      </c>
      <c r="K349" t="inlineStr">
        <is>
          <t>Eventual</t>
        </is>
      </c>
      <c r="L349" t="inlineStr"/>
      <c r="M349" t="inlineStr">
        <is>
          <t>Nubank NU_370124875_01MAR2026_31MAR2026.csv</t>
        </is>
      </c>
      <c r="N349" t="inlineStr">
        <is>
          <t>Recebido</t>
        </is>
      </c>
      <c r="O349" t="inlineStr">
        <is>
          <t>Transferência recebida pelo Pix - DENISE DE PAULA CENTRO DE ESTETICA LTDA - 05.823.454/0001-86 - MERCADO PAGO IP LTDA. (0323) Agência: 1 Conta: 8804533771-0</t>
        </is>
      </c>
    </row>
    <row r="350">
      <c r="A350" s="29" t="n">
        <v>46101</v>
      </c>
      <c r="B350" t="n">
        <v>3</v>
      </c>
      <c r="C350" t="n">
        <v>2026</v>
      </c>
      <c r="D350" t="inlineStr">
        <is>
          <t>Studio</t>
        </is>
      </c>
      <c r="E350" t="inlineStr">
        <is>
          <t>Contas Fixas</t>
        </is>
      </c>
      <c r="F350" t="inlineStr">
        <is>
          <t>Internet / Telecom</t>
        </is>
      </c>
      <c r="G350" t="inlineStr">
        <is>
          <t>Despesa</t>
        </is>
      </c>
      <c r="H350" s="3" t="n">
        <v>-220</v>
      </c>
      <c r="I350" t="inlineStr">
        <is>
          <t>Pix</t>
        </is>
      </c>
      <c r="J350" t="inlineStr">
        <is>
          <t>Sim</t>
        </is>
      </c>
      <c r="K350" t="inlineStr">
        <is>
          <t>Mensal</t>
        </is>
      </c>
      <c r="L350" t="inlineStr"/>
      <c r="M350" t="inlineStr">
        <is>
          <t>Mercado Pago account_statement-8f96e9be-cdd7-4687-acae-7eb11216a39b.xlsx</t>
        </is>
      </c>
      <c r="N350" t="inlineStr">
        <is>
          <t>Sem comprovante</t>
        </is>
      </c>
      <c r="O350" t="inlineStr">
        <is>
          <t>Pix enviado Inet Solucoes Em Internet Ltda</t>
        </is>
      </c>
    </row>
    <row r="351">
      <c r="A351" s="29" t="n">
        <v>46101</v>
      </c>
      <c r="B351" t="n">
        <v>3</v>
      </c>
      <c r="C351" t="n">
        <v>2026</v>
      </c>
      <c r="D351" t="inlineStr">
        <is>
          <t>Studio</t>
        </is>
      </c>
      <c r="E351" t="inlineStr">
        <is>
          <t>Receita - Clientes Studio</t>
        </is>
      </c>
      <c r="F351" t="inlineStr">
        <is>
          <t>Pix recebido (cliente)</t>
        </is>
      </c>
      <c r="G351" t="inlineStr">
        <is>
          <t>Receita</t>
        </is>
      </c>
      <c r="H351" s="3" t="n">
        <v>489</v>
      </c>
      <c r="I351" t="inlineStr">
        <is>
          <t>Pix</t>
        </is>
      </c>
      <c r="J351" t="inlineStr">
        <is>
          <t>Não</t>
        </is>
      </c>
      <c r="K351" t="inlineStr">
        <is>
          <t>Eventual</t>
        </is>
      </c>
      <c r="L351" t="inlineStr"/>
      <c r="M351" t="inlineStr">
        <is>
          <t>Mercado Pago account_statement-8f96e9be-cdd7-4687-acae-7eb11216a39b.xlsx</t>
        </is>
      </c>
      <c r="N351" t="inlineStr">
        <is>
          <t>Recebido</t>
        </is>
      </c>
      <c r="O351" t="inlineStr">
        <is>
          <t>Pix recebido MARIA APARECIDA DE OLIVEIRA E</t>
        </is>
      </c>
    </row>
    <row r="352">
      <c r="A352" s="29" t="n">
        <v>46101</v>
      </c>
      <c r="B352" t="n">
        <v>3</v>
      </c>
      <c r="C352" t="n">
        <v>2026</v>
      </c>
      <c r="D352" t="inlineStr">
        <is>
          <t>Geral</t>
        </is>
      </c>
      <c r="E352" t="inlineStr">
        <is>
          <t>Outros</t>
        </is>
      </c>
      <c r="F352" t="inlineStr">
        <is>
          <t>Transferência Pix Enviada</t>
        </is>
      </c>
      <c r="G352" t="inlineStr">
        <is>
          <t>Despesa</t>
        </is>
      </c>
      <c r="H352" s="3" t="n">
        <v>-260</v>
      </c>
      <c r="I352" t="inlineStr">
        <is>
          <t>Pix</t>
        </is>
      </c>
      <c r="J352" t="inlineStr">
        <is>
          <t>Não</t>
        </is>
      </c>
      <c r="K352" t="inlineStr">
        <is>
          <t>Eventual</t>
        </is>
      </c>
      <c r="L352" t="inlineStr"/>
      <c r="M352" t="inlineStr">
        <is>
          <t>Nubank NU_370124875_01MAR2026_31MAR2026.csv</t>
        </is>
      </c>
      <c r="N352" t="inlineStr">
        <is>
          <t>Sem comprovante</t>
        </is>
      </c>
      <c r="O352" t="inlineStr">
        <is>
          <t>Transferência enviada pelo Pix - ROBSON RODRIGUES DOS SANTOS - •••.638.839-•• - BCO BRADESCO S.A. (0237) Agência: 3860 Conta: 153448-3</t>
        </is>
      </c>
    </row>
    <row r="353">
      <c r="A353" s="29" t="n">
        <v>46102</v>
      </c>
      <c r="B353" t="n">
        <v>3</v>
      </c>
      <c r="C353" t="n">
        <v>2026</v>
      </c>
      <c r="D353" t="inlineStr">
        <is>
          <t>Geral</t>
        </is>
      </c>
      <c r="E353" t="inlineStr">
        <is>
          <t>Outros</t>
        </is>
      </c>
      <c r="F353" t="inlineStr">
        <is>
          <t>Não identificado</t>
        </is>
      </c>
      <c r="G353" t="inlineStr">
        <is>
          <t>Despesa</t>
        </is>
      </c>
      <c r="H353" s="3" t="n">
        <v>-526.88</v>
      </c>
      <c r="I353" t="inlineStr">
        <is>
          <t>Pix</t>
        </is>
      </c>
      <c r="J353" t="inlineStr">
        <is>
          <t>Não</t>
        </is>
      </c>
      <c r="K353" t="inlineStr">
        <is>
          <t>Eventual</t>
        </is>
      </c>
      <c r="L353" t="inlineStr"/>
      <c r="M353" t="inlineStr">
        <is>
          <t>Mercado Pago account_statement-8f96e9be-cdd7-4687-acae-7eb11216a39b.xlsx</t>
        </is>
      </c>
      <c r="N353" t="inlineStr">
        <is>
          <t>Sem comprovante</t>
        </is>
      </c>
      <c r="O353" t="inlineStr">
        <is>
          <t>Pagamento com QR Pix DEPARTAMENTO DE TRANSITO DETRAN</t>
        </is>
      </c>
    </row>
    <row r="354">
      <c r="A354" s="29" t="n">
        <v>46102</v>
      </c>
      <c r="B354" t="n">
        <v>3</v>
      </c>
      <c r="C354" t="n">
        <v>2026</v>
      </c>
      <c r="D354" t="inlineStr">
        <is>
          <t>Geral</t>
        </is>
      </c>
      <c r="E354" t="inlineStr">
        <is>
          <t>Outros</t>
        </is>
      </c>
      <c r="F354" t="inlineStr">
        <is>
          <t>Não identificado</t>
        </is>
      </c>
      <c r="G354" t="inlineStr">
        <is>
          <t>Despesa</t>
        </is>
      </c>
      <c r="H354" s="3" t="n">
        <v>-149.84</v>
      </c>
      <c r="I354" t="inlineStr">
        <is>
          <t>Pix</t>
        </is>
      </c>
      <c r="J354" t="inlineStr">
        <is>
          <t>Não</t>
        </is>
      </c>
      <c r="K354" t="inlineStr">
        <is>
          <t>Eventual</t>
        </is>
      </c>
      <c r="L354" t="inlineStr"/>
      <c r="M354" t="inlineStr">
        <is>
          <t>Mercado Pago account_statement-8f96e9be-cdd7-4687-acae-7eb11216a39b.xlsx</t>
        </is>
      </c>
      <c r="N354" t="inlineStr">
        <is>
          <t>Sem comprovante</t>
        </is>
      </c>
      <c r="O354" t="inlineStr">
        <is>
          <t>Pagamento com QR Pix GOVERNO DO PARANA SECRETARIA DE ESTADO DA FAZENDA</t>
        </is>
      </c>
    </row>
    <row r="355">
      <c r="A355" s="29" t="n">
        <v>46103</v>
      </c>
      <c r="B355" t="n">
        <v>3</v>
      </c>
      <c r="C355" t="n">
        <v>2026</v>
      </c>
      <c r="D355" t="inlineStr">
        <is>
          <t>Pessoal</t>
        </is>
      </c>
      <c r="E355" t="inlineStr">
        <is>
          <t>Contas Variáveis</t>
        </is>
      </c>
      <c r="F355" t="inlineStr">
        <is>
          <t>Combustível</t>
        </is>
      </c>
      <c r="G355" t="inlineStr">
        <is>
          <t>Despesa</t>
        </is>
      </c>
      <c r="H355" s="3" t="n">
        <v>-38.89</v>
      </c>
      <c r="I355" t="inlineStr">
        <is>
          <t>Débito</t>
        </is>
      </c>
      <c r="J355" t="inlineStr">
        <is>
          <t>Não</t>
        </is>
      </c>
      <c r="K355" t="inlineStr">
        <is>
          <t>Eventual</t>
        </is>
      </c>
      <c r="L355" t="inlineStr"/>
      <c r="M355" t="inlineStr">
        <is>
          <t>Nubank NU_370124875_01MAR2026_31MAR2026.csv</t>
        </is>
      </c>
      <c r="N355" t="inlineStr">
        <is>
          <t>Sem comprovante</t>
        </is>
      </c>
      <c r="O355" t="inlineStr">
        <is>
          <t>Compra no débito - AutoPostoJardim</t>
        </is>
      </c>
    </row>
    <row r="356">
      <c r="A356" s="29" t="n">
        <v>46103</v>
      </c>
      <c r="B356" t="n">
        <v>3</v>
      </c>
      <c r="C356" t="n">
        <v>2026</v>
      </c>
      <c r="D356" t="inlineStr">
        <is>
          <t>Pessoal</t>
        </is>
      </c>
      <c r="E356" t="inlineStr">
        <is>
          <t>Contas Variáveis</t>
        </is>
      </c>
      <c r="F356" t="inlineStr">
        <is>
          <t>Compra no débito</t>
        </is>
      </c>
      <c r="G356" t="inlineStr">
        <is>
          <t>Despesa</t>
        </is>
      </c>
      <c r="H356" s="3" t="n">
        <v>-26</v>
      </c>
      <c r="I356" t="inlineStr">
        <is>
          <t>Débito</t>
        </is>
      </c>
      <c r="J356" t="inlineStr">
        <is>
          <t>Não</t>
        </is>
      </c>
      <c r="K356" t="inlineStr">
        <is>
          <t>Eventual</t>
        </is>
      </c>
      <c r="L356" t="inlineStr"/>
      <c r="M356" t="inlineStr">
        <is>
          <t>Nubank NU_370124875_01MAR2026_31MAR2026.csv</t>
        </is>
      </c>
      <c r="N356" t="inlineStr">
        <is>
          <t>Sem comprovante</t>
        </is>
      </c>
      <c r="O356" t="inlineStr">
        <is>
          <t>Compra no débito - LETTS BURGER AND BAR</t>
        </is>
      </c>
    </row>
    <row r="357">
      <c r="A357" s="29" t="n">
        <v>46103</v>
      </c>
      <c r="B357" t="n">
        <v>3</v>
      </c>
      <c r="C357" t="n">
        <v>2026</v>
      </c>
      <c r="D357" t="inlineStr">
        <is>
          <t>Studio</t>
        </is>
      </c>
      <c r="E357" t="inlineStr">
        <is>
          <t>Outros</t>
        </is>
      </c>
      <c r="F357" t="inlineStr">
        <is>
          <t>Serviços Online / Domínio</t>
        </is>
      </c>
      <c r="G357" t="inlineStr">
        <is>
          <t>Despesa</t>
        </is>
      </c>
      <c r="H357" s="3" t="n">
        <v>-44</v>
      </c>
      <c r="I357" t="inlineStr">
        <is>
          <t>Pix</t>
        </is>
      </c>
      <c r="J357" t="inlineStr">
        <is>
          <t>Não</t>
        </is>
      </c>
      <c r="K357" t="inlineStr">
        <is>
          <t>Eventual</t>
        </is>
      </c>
      <c r="L357" t="inlineStr"/>
      <c r="M357" t="inlineStr">
        <is>
          <t>Nubank NU_370124875_01MAR2026_31MAR2026.csv</t>
        </is>
      </c>
      <c r="N357" t="inlineStr">
        <is>
          <t>Sem comprovante</t>
        </is>
      </c>
      <c r="O357" t="inlineStr">
        <is>
          <t>Transferência enviada pelo Pix - BYTEDANCE BRASIL TECNOLOGIA LTDA. - 27.415.911/0001-36 - EBANX IP LTDA. (0383) Agência: 1 Conta: 1004462179-2</t>
        </is>
      </c>
    </row>
    <row r="358">
      <c r="A358" s="29" t="n">
        <v>46104</v>
      </c>
      <c r="B358" t="n">
        <v>3</v>
      </c>
      <c r="C358" t="n">
        <v>2026</v>
      </c>
      <c r="D358" t="inlineStr">
        <is>
          <t>Geral</t>
        </is>
      </c>
      <c r="E358" t="inlineStr">
        <is>
          <t>Outros</t>
        </is>
      </c>
      <c r="F358" t="inlineStr">
        <is>
          <t>Não identificado</t>
        </is>
      </c>
      <c r="G358" t="inlineStr">
        <is>
          <t>Despesa</t>
        </is>
      </c>
      <c r="H358" s="3" t="n">
        <v>-200.68</v>
      </c>
      <c r="I358" t="inlineStr">
        <is>
          <t>Pix</t>
        </is>
      </c>
      <c r="J358" t="inlineStr">
        <is>
          <t>Não</t>
        </is>
      </c>
      <c r="K358" t="inlineStr">
        <is>
          <t>Eventual</t>
        </is>
      </c>
      <c r="L358" t="inlineStr"/>
      <c r="M358" t="inlineStr">
        <is>
          <t>Mercado Pago account_statement-8f96e9be-cdd7-4687-acae-7eb11216a39b.xlsx</t>
        </is>
      </c>
      <c r="N358" t="inlineStr">
        <is>
          <t>Sem comprovante</t>
        </is>
      </c>
      <c r="O358" t="inlineStr">
        <is>
          <t>Pagamento com QR Pix AIBR INSTITUICAO DE PAGAMENTO LTDA.</t>
        </is>
      </c>
    </row>
    <row r="359">
      <c r="A359" s="29" t="n">
        <v>46105</v>
      </c>
      <c r="B359" t="n">
        <v>3</v>
      </c>
      <c r="C359" t="n">
        <v>2026</v>
      </c>
      <c r="D359" t="inlineStr">
        <is>
          <t>Pessoal</t>
        </is>
      </c>
      <c r="E359" t="inlineStr">
        <is>
          <t>Contas Variáveis</t>
        </is>
      </c>
      <c r="F359" t="inlineStr">
        <is>
          <t>Compra no débito</t>
        </is>
      </c>
      <c r="G359" t="inlineStr">
        <is>
          <t>Despesa</t>
        </is>
      </c>
      <c r="H359" s="3" t="n">
        <v>-29</v>
      </c>
      <c r="I359" t="inlineStr">
        <is>
          <t>Débito</t>
        </is>
      </c>
      <c r="J359" t="inlineStr">
        <is>
          <t>Não</t>
        </is>
      </c>
      <c r="K359" t="inlineStr">
        <is>
          <t>Eventual</t>
        </is>
      </c>
      <c r="L359" t="inlineStr"/>
      <c r="M359" t="inlineStr">
        <is>
          <t>Nubank NU_370124875_01MAR2026_31MAR2026.csv</t>
        </is>
      </c>
      <c r="N359" t="inlineStr">
        <is>
          <t>Sem comprovante</t>
        </is>
      </c>
      <c r="O359" t="inlineStr">
        <is>
          <t>Compra no débito - BrownCafeGourmet</t>
        </is>
      </c>
    </row>
    <row r="360">
      <c r="A360" s="29" t="n">
        <v>46105</v>
      </c>
      <c r="B360" t="n">
        <v>3</v>
      </c>
      <c r="C360" t="n">
        <v>2026</v>
      </c>
      <c r="D360" t="inlineStr">
        <is>
          <t>Studio</t>
        </is>
      </c>
      <c r="E360" t="inlineStr">
        <is>
          <t>Receita - Liberação de Crédito</t>
        </is>
      </c>
      <c r="F360" t="inlineStr">
        <is>
          <t>Liberação de Crédito (Studio)</t>
        </is>
      </c>
      <c r="G360" t="inlineStr">
        <is>
          <t>Receita</t>
        </is>
      </c>
      <c r="H360" s="3" t="n">
        <v>235.52</v>
      </c>
      <c r="I360" t="inlineStr">
        <is>
          <t>Outro</t>
        </is>
      </c>
      <c r="J360" t="inlineStr">
        <is>
          <t>Não</t>
        </is>
      </c>
      <c r="K360" t="inlineStr">
        <is>
          <t>Eventual</t>
        </is>
      </c>
      <c r="L360" t="inlineStr"/>
      <c r="M360" t="inlineStr">
        <is>
          <t>Mercado Pago account_statement-8f96e9be-cdd7-4687-acae-7eb11216a39b.xlsx</t>
        </is>
      </c>
      <c r="N360" t="inlineStr">
        <is>
          <t>Recebido</t>
        </is>
      </c>
      <c r="O360" t="inlineStr">
        <is>
          <t>Liberação de dinheiro</t>
        </is>
      </c>
    </row>
    <row r="361">
      <c r="A361" s="29" t="n">
        <v>46105</v>
      </c>
      <c r="B361" t="n">
        <v>3</v>
      </c>
      <c r="C361" t="n">
        <v>2026</v>
      </c>
      <c r="D361" t="inlineStr">
        <is>
          <t>Studio</t>
        </is>
      </c>
      <c r="E361" t="inlineStr">
        <is>
          <t>Receita - Liberação de Crédito</t>
        </is>
      </c>
      <c r="F361" t="inlineStr">
        <is>
          <t>Liberação de Crédito (Studio)</t>
        </is>
      </c>
      <c r="G361" t="inlineStr">
        <is>
          <t>Receita</t>
        </is>
      </c>
      <c r="H361" s="3" t="n">
        <v>108.59</v>
      </c>
      <c r="I361" t="inlineStr">
        <is>
          <t>Outro</t>
        </is>
      </c>
      <c r="J361" t="inlineStr">
        <is>
          <t>Não</t>
        </is>
      </c>
      <c r="K361" t="inlineStr">
        <is>
          <t>Eventual</t>
        </is>
      </c>
      <c r="L361" t="inlineStr"/>
      <c r="M361" t="inlineStr">
        <is>
          <t>Mercado Pago account_statement-8f96e9be-cdd7-4687-acae-7eb11216a39b.xlsx</t>
        </is>
      </c>
      <c r="N361" t="inlineStr">
        <is>
          <t>Recebido</t>
        </is>
      </c>
      <c r="O361" t="inlineStr">
        <is>
          <t>Liberação de dinheiro</t>
        </is>
      </c>
    </row>
    <row r="362">
      <c r="A362" s="29" t="n">
        <v>46105</v>
      </c>
      <c r="B362" t="n">
        <v>3</v>
      </c>
      <c r="C362" t="n">
        <v>2026</v>
      </c>
      <c r="D362" t="inlineStr">
        <is>
          <t>Studio</t>
        </is>
      </c>
      <c r="E362" t="inlineStr">
        <is>
          <t>Receita - Liberação de Crédito</t>
        </is>
      </c>
      <c r="F362" t="inlineStr">
        <is>
          <t>Liberação de Crédito (Studio)</t>
        </is>
      </c>
      <c r="G362" t="inlineStr">
        <is>
          <t>Receita</t>
        </is>
      </c>
      <c r="H362" s="3" t="n">
        <v>87.05</v>
      </c>
      <c r="I362" t="inlineStr">
        <is>
          <t>Outro</t>
        </is>
      </c>
      <c r="J362" t="inlineStr">
        <is>
          <t>Não</t>
        </is>
      </c>
      <c r="K362" t="inlineStr">
        <is>
          <t>Eventual</t>
        </is>
      </c>
      <c r="L362" t="inlineStr"/>
      <c r="M362" t="inlineStr">
        <is>
          <t>Mercado Pago account_statement-8f96e9be-cdd7-4687-acae-7eb11216a39b.xlsx</t>
        </is>
      </c>
      <c r="N362" t="inlineStr">
        <is>
          <t>Recebido</t>
        </is>
      </c>
      <c r="O362" t="inlineStr">
        <is>
          <t>Liberação de dinheiro</t>
        </is>
      </c>
    </row>
    <row r="363">
      <c r="A363" s="29" t="n">
        <v>46105</v>
      </c>
      <c r="B363" t="n">
        <v>3</v>
      </c>
      <c r="C363" t="n">
        <v>2026</v>
      </c>
      <c r="D363" t="inlineStr">
        <is>
          <t>Studio</t>
        </is>
      </c>
      <c r="E363" t="inlineStr">
        <is>
          <t>Receita - Liberação de Crédito</t>
        </is>
      </c>
      <c r="F363" t="inlineStr">
        <is>
          <t>Liberação de Crédito (Studio)</t>
        </is>
      </c>
      <c r="G363" t="inlineStr">
        <is>
          <t>Receita</t>
        </is>
      </c>
      <c r="H363" s="3" t="n">
        <v>345.52</v>
      </c>
      <c r="I363" t="inlineStr">
        <is>
          <t>Outro</t>
        </is>
      </c>
      <c r="J363" t="inlineStr">
        <is>
          <t>Não</t>
        </is>
      </c>
      <c r="K363" t="inlineStr">
        <is>
          <t>Eventual</t>
        </is>
      </c>
      <c r="L363" t="inlineStr"/>
      <c r="M363" t="inlineStr">
        <is>
          <t>Mercado Pago account_statement-8f96e9be-cdd7-4687-acae-7eb11216a39b.xlsx</t>
        </is>
      </c>
      <c r="N363" t="inlineStr">
        <is>
          <t>Recebido</t>
        </is>
      </c>
      <c r="O363" t="inlineStr">
        <is>
          <t>Liberação de dinheiro</t>
        </is>
      </c>
    </row>
    <row r="364">
      <c r="A364" s="29" t="n">
        <v>46105</v>
      </c>
      <c r="B364" t="n">
        <v>3</v>
      </c>
      <c r="C364" t="n">
        <v>2026</v>
      </c>
      <c r="D364" t="inlineStr">
        <is>
          <t>Studio</t>
        </is>
      </c>
      <c r="E364" t="inlineStr">
        <is>
          <t>Receita - Liberação de Crédito</t>
        </is>
      </c>
      <c r="F364" t="inlineStr">
        <is>
          <t>Liberação de Crédito (Studio)</t>
        </is>
      </c>
      <c r="G364" t="inlineStr">
        <is>
          <t>Receita</t>
        </is>
      </c>
      <c r="H364" s="3" t="n">
        <v>301.48</v>
      </c>
      <c r="I364" t="inlineStr">
        <is>
          <t>Outro</t>
        </is>
      </c>
      <c r="J364" t="inlineStr">
        <is>
          <t>Não</t>
        </is>
      </c>
      <c r="K364" t="inlineStr">
        <is>
          <t>Eventual</t>
        </is>
      </c>
      <c r="L364" t="inlineStr"/>
      <c r="M364" t="inlineStr">
        <is>
          <t>Mercado Pago account_statement-8f96e9be-cdd7-4687-acae-7eb11216a39b.xlsx</t>
        </is>
      </c>
      <c r="N364" t="inlineStr">
        <is>
          <t>Recebido</t>
        </is>
      </c>
      <c r="O364" t="inlineStr">
        <is>
          <t>Liberação de dinheiro</t>
        </is>
      </c>
    </row>
    <row r="365">
      <c r="A365" s="29" t="n">
        <v>46105</v>
      </c>
      <c r="B365" t="n">
        <v>3</v>
      </c>
      <c r="C365" t="n">
        <v>2026</v>
      </c>
      <c r="D365" t="inlineStr">
        <is>
          <t>Pessoal</t>
        </is>
      </c>
      <c r="E365" t="inlineStr">
        <is>
          <t>Contas Variáveis</t>
        </is>
      </c>
      <c r="F365" t="inlineStr">
        <is>
          <t>Restaurante / Alimentação</t>
        </is>
      </c>
      <c r="G365" t="inlineStr">
        <is>
          <t>Despesa</t>
        </is>
      </c>
      <c r="H365" s="3" t="n">
        <v>-47.5</v>
      </c>
      <c r="I365" t="inlineStr">
        <is>
          <t>Pix</t>
        </is>
      </c>
      <c r="J365" t="inlineStr">
        <is>
          <t>Não</t>
        </is>
      </c>
      <c r="K365" t="inlineStr">
        <is>
          <t>Eventual</t>
        </is>
      </c>
      <c r="L365" t="inlineStr"/>
      <c r="M365" t="inlineStr">
        <is>
          <t>Mercado Pago account_statement-8f96e9be-cdd7-4687-acae-7eb11216a39b.xlsx</t>
        </is>
      </c>
      <c r="N365" t="inlineStr">
        <is>
          <t>Sem comprovante</t>
        </is>
      </c>
      <c r="O365" t="inlineStr">
        <is>
          <t>Pagamento com QR Pix MINEIRINHO RESTAURANTE E HAPPY HOUR LTDA</t>
        </is>
      </c>
    </row>
    <row r="366">
      <c r="A366" s="29" t="n">
        <v>46105</v>
      </c>
      <c r="B366" t="n">
        <v>3</v>
      </c>
      <c r="C366" t="n">
        <v>2026</v>
      </c>
      <c r="D366" t="inlineStr">
        <is>
          <t>Geral</t>
        </is>
      </c>
      <c r="E366" t="inlineStr">
        <is>
          <t>Outros</t>
        </is>
      </c>
      <c r="F366" t="inlineStr">
        <is>
          <t>Não identificado</t>
        </is>
      </c>
      <c r="G366" t="inlineStr">
        <is>
          <t>Despesa</t>
        </is>
      </c>
      <c r="H366" s="3" t="n">
        <v>-122.62</v>
      </c>
      <c r="I366" t="inlineStr">
        <is>
          <t>Pix</t>
        </is>
      </c>
      <c r="J366" t="inlineStr">
        <is>
          <t>Não</t>
        </is>
      </c>
      <c r="K366" t="inlineStr">
        <is>
          <t>Eventual</t>
        </is>
      </c>
      <c r="L366" t="inlineStr"/>
      <c r="M366" t="inlineStr">
        <is>
          <t>Mercado Pago account_statement-8f96e9be-cdd7-4687-acae-7eb11216a39b.xlsx</t>
        </is>
      </c>
      <c r="N366" t="inlineStr">
        <is>
          <t>Sem comprovante</t>
        </is>
      </c>
      <c r="O366" t="inlineStr">
        <is>
          <t>Pagamento com QR Pix PAGALEVE INSTITUICAO DE PAGAMENTO LTDA</t>
        </is>
      </c>
    </row>
    <row r="367">
      <c r="A367" s="29" t="n">
        <v>46105</v>
      </c>
      <c r="B367" t="n">
        <v>3</v>
      </c>
      <c r="C367" t="n">
        <v>2026</v>
      </c>
      <c r="D367" t="inlineStr">
        <is>
          <t>Geral</t>
        </is>
      </c>
      <c r="E367" t="inlineStr">
        <is>
          <t>Outros</t>
        </is>
      </c>
      <c r="F367" t="inlineStr">
        <is>
          <t>Pagamento de fatura cartão</t>
        </is>
      </c>
      <c r="G367" t="inlineStr">
        <is>
          <t>Despesa</t>
        </is>
      </c>
      <c r="H367" s="3" t="n">
        <v>-500</v>
      </c>
      <c r="I367" t="inlineStr">
        <is>
          <t>Outro</t>
        </is>
      </c>
      <c r="J367" t="inlineStr">
        <is>
          <t>Não</t>
        </is>
      </c>
      <c r="K367" t="inlineStr">
        <is>
          <t>Eventual</t>
        </is>
      </c>
      <c r="L367" t="inlineStr"/>
      <c r="M367" t="inlineStr">
        <is>
          <t>Nubank NU_370124875_01MAR2026_31MAR2026.csv</t>
        </is>
      </c>
      <c r="N367" t="inlineStr">
        <is>
          <t>Sem comprovante</t>
        </is>
      </c>
      <c r="O367" t="inlineStr">
        <is>
          <t>Pagamento de fatura</t>
        </is>
      </c>
    </row>
    <row r="368">
      <c r="A368" s="29" t="n">
        <v>46105</v>
      </c>
      <c r="B368" t="n">
        <v>3</v>
      </c>
      <c r="C368" t="n">
        <v>2026</v>
      </c>
      <c r="D368" t="inlineStr">
        <is>
          <t>Geral</t>
        </is>
      </c>
      <c r="E368" t="inlineStr">
        <is>
          <t>Transferência - Bruno (própria)</t>
        </is>
      </c>
      <c r="F368" t="inlineStr">
        <is>
          <t>Pix Bruno→Bruno (entre contas próprias)</t>
        </is>
      </c>
      <c r="G368" t="inlineStr">
        <is>
          <t>Despesa</t>
        </is>
      </c>
      <c r="H368" s="3" t="n">
        <v>-500</v>
      </c>
      <c r="I368" t="inlineStr">
        <is>
          <t>Pix</t>
        </is>
      </c>
      <c r="J368" t="inlineStr">
        <is>
          <t>Não</t>
        </is>
      </c>
      <c r="K368" t="inlineStr">
        <is>
          <t>Eventual</t>
        </is>
      </c>
      <c r="L368" t="inlineStr"/>
      <c r="M368" t="inlineStr">
        <is>
          <t>Mercado Pago account_statement-8f96e9be-cdd7-4687-acae-7eb11216a39b.xlsx</t>
        </is>
      </c>
      <c r="N368" t="inlineStr">
        <is>
          <t>Sem comprovante</t>
        </is>
      </c>
      <c r="O368" t="inlineStr">
        <is>
          <t>Pix enviado Bruno Porto Seus</t>
        </is>
      </c>
    </row>
    <row r="369">
      <c r="A369" s="29" t="n">
        <v>46105</v>
      </c>
      <c r="B369" t="n">
        <v>3</v>
      </c>
      <c r="C369" t="n">
        <v>2026</v>
      </c>
      <c r="D369" t="inlineStr">
        <is>
          <t>Studio</t>
        </is>
      </c>
      <c r="E369" t="inlineStr">
        <is>
          <t>Receita - Clientes Studio</t>
        </is>
      </c>
      <c r="F369" t="inlineStr">
        <is>
          <t>Pix recebido (cliente)</t>
        </is>
      </c>
      <c r="G369" t="inlineStr">
        <is>
          <t>Receita</t>
        </is>
      </c>
      <c r="H369" s="3" t="n">
        <v>100</v>
      </c>
      <c r="I369" t="inlineStr">
        <is>
          <t>Pix</t>
        </is>
      </c>
      <c r="J369" t="inlineStr">
        <is>
          <t>Não</t>
        </is>
      </c>
      <c r="K369" t="inlineStr">
        <is>
          <t>Eventual</t>
        </is>
      </c>
      <c r="L369" t="inlineStr"/>
      <c r="M369" t="inlineStr">
        <is>
          <t>Mercado Pago account_statement-8f96e9be-cdd7-4687-acae-7eb11216a39b.xlsx</t>
        </is>
      </c>
      <c r="N369" t="inlineStr">
        <is>
          <t>Recebido</t>
        </is>
      </c>
      <c r="O369" t="inlineStr">
        <is>
          <t>Pix recebido KRISTINA HENRIETTA LJUNGBERGER</t>
        </is>
      </c>
    </row>
    <row r="370">
      <c r="A370" s="29" t="n">
        <v>46105</v>
      </c>
      <c r="B370" t="n">
        <v>3</v>
      </c>
      <c r="C370" t="n">
        <v>2026</v>
      </c>
      <c r="D370" t="inlineStr">
        <is>
          <t>Studio</t>
        </is>
      </c>
      <c r="E370" t="inlineStr">
        <is>
          <t>Receita - Denise (Salão)</t>
        </is>
      </c>
      <c r="F370" t="inlineStr">
        <is>
          <t>Depósito recebido de Denise / Salão</t>
        </is>
      </c>
      <c r="G370" t="inlineStr">
        <is>
          <t>Receita</t>
        </is>
      </c>
      <c r="H370" s="3" t="n">
        <v>500</v>
      </c>
      <c r="I370" t="inlineStr">
        <is>
          <t>Pix</t>
        </is>
      </c>
      <c r="J370" t="inlineStr">
        <is>
          <t>Não</t>
        </is>
      </c>
      <c r="K370" t="inlineStr">
        <is>
          <t>Eventual</t>
        </is>
      </c>
      <c r="L370" t="inlineStr"/>
      <c r="M370" t="inlineStr">
        <is>
          <t>Nubank NU_370124875_01MAR2026_31MAR2026.csv</t>
        </is>
      </c>
      <c r="N370" t="inlineStr">
        <is>
          <t>Recebido</t>
        </is>
      </c>
      <c r="O370" t="inlineStr">
        <is>
          <t>Transferência recebida pelo Pix - DENISE DE PAULA CENTRO DE ESTETICA LTDA - 05.823.454/0001-86 - MERCADO PAGO IP LTDA. (0323) Agência: 1 Conta: 8804533771-0</t>
        </is>
      </c>
    </row>
    <row r="371">
      <c r="A371" s="29" t="n">
        <v>46106</v>
      </c>
      <c r="B371" t="n">
        <v>3</v>
      </c>
      <c r="C371" t="n">
        <v>2026</v>
      </c>
      <c r="D371" t="inlineStr">
        <is>
          <t>Studio</t>
        </is>
      </c>
      <c r="E371" t="inlineStr">
        <is>
          <t>Receita - Liberação de Crédito</t>
        </is>
      </c>
      <c r="F371" t="inlineStr">
        <is>
          <t>Liberação de Crédito (Studio)</t>
        </is>
      </c>
      <c r="G371" t="inlineStr">
        <is>
          <t>Receita</t>
        </is>
      </c>
      <c r="H371" s="3" t="n">
        <v>98.72</v>
      </c>
      <c r="I371" t="inlineStr">
        <is>
          <t>Outro</t>
        </is>
      </c>
      <c r="J371" t="inlineStr">
        <is>
          <t>Não</t>
        </is>
      </c>
      <c r="K371" t="inlineStr">
        <is>
          <t>Eventual</t>
        </is>
      </c>
      <c r="L371" t="inlineStr"/>
      <c r="M371" t="inlineStr">
        <is>
          <t>Mercado Pago account_statement-8f96e9be-cdd7-4687-acae-7eb11216a39b.xlsx</t>
        </is>
      </c>
      <c r="N371" t="inlineStr">
        <is>
          <t>Recebido</t>
        </is>
      </c>
      <c r="O371" t="inlineStr">
        <is>
          <t>Liberação de dinheiro</t>
        </is>
      </c>
    </row>
    <row r="372">
      <c r="A372" s="29" t="n">
        <v>46106</v>
      </c>
      <c r="B372" t="n">
        <v>3</v>
      </c>
      <c r="C372" t="n">
        <v>2026</v>
      </c>
      <c r="D372" t="inlineStr">
        <is>
          <t>Studio</t>
        </is>
      </c>
      <c r="E372" t="inlineStr">
        <is>
          <t>Receita - Liberação de Crédito</t>
        </is>
      </c>
      <c r="F372" t="inlineStr">
        <is>
          <t>Liberação de Crédito (Studio)</t>
        </is>
      </c>
      <c r="G372" t="inlineStr">
        <is>
          <t>Receita</t>
        </is>
      </c>
      <c r="H372" s="3" t="n">
        <v>493.6</v>
      </c>
      <c r="I372" t="inlineStr">
        <is>
          <t>Outro</t>
        </is>
      </c>
      <c r="J372" t="inlineStr">
        <is>
          <t>Não</t>
        </is>
      </c>
      <c r="K372" t="inlineStr">
        <is>
          <t>Eventual</t>
        </is>
      </c>
      <c r="L372" t="inlineStr"/>
      <c r="M372" t="inlineStr">
        <is>
          <t>Mercado Pago account_statement-8f96e9be-cdd7-4687-acae-7eb11216a39b.xlsx</t>
        </is>
      </c>
      <c r="N372" t="inlineStr">
        <is>
          <t>Recebido</t>
        </is>
      </c>
      <c r="O372" t="inlineStr">
        <is>
          <t>Liberação de dinheiro</t>
        </is>
      </c>
    </row>
    <row r="373">
      <c r="A373" s="29" t="n">
        <v>46106</v>
      </c>
      <c r="B373" t="n">
        <v>3</v>
      </c>
      <c r="C373" t="n">
        <v>2026</v>
      </c>
      <c r="D373" t="inlineStr">
        <is>
          <t>Studio</t>
        </is>
      </c>
      <c r="E373" t="inlineStr">
        <is>
          <t>Receita - Outros</t>
        </is>
      </c>
      <c r="F373" t="inlineStr">
        <is>
          <t>Receita não categorizada</t>
        </is>
      </c>
      <c r="G373" t="inlineStr">
        <is>
          <t>Receita</t>
        </is>
      </c>
      <c r="H373" s="3" t="n">
        <v>706.52</v>
      </c>
      <c r="I373" t="inlineStr">
        <is>
          <t>Pix</t>
        </is>
      </c>
      <c r="J373" t="inlineStr">
        <is>
          <t>Não</t>
        </is>
      </c>
      <c r="K373" t="inlineStr">
        <is>
          <t>Eventual</t>
        </is>
      </c>
      <c r="L373" t="inlineStr"/>
      <c r="M373" t="inlineStr">
        <is>
          <t>Mercado Pago account_statement-8f96e9be-cdd7-4687-acae-7eb11216a39b.xlsx</t>
        </is>
      </c>
      <c r="N373" t="inlineStr">
        <is>
          <t>Recebido</t>
        </is>
      </c>
      <c r="O373" t="inlineStr">
        <is>
          <t>Pagamento com Código QR Pix EVA FRANCISCA TORMES DALL OSTO</t>
        </is>
      </c>
    </row>
    <row r="374">
      <c r="A374" s="29" t="n">
        <v>46106</v>
      </c>
      <c r="B374" t="n">
        <v>3</v>
      </c>
      <c r="C374" t="n">
        <v>2026</v>
      </c>
      <c r="D374" t="inlineStr">
        <is>
          <t>Studio</t>
        </is>
      </c>
      <c r="E374" t="inlineStr">
        <is>
          <t>Receita - Outros</t>
        </is>
      </c>
      <c r="F374" t="inlineStr">
        <is>
          <t>Receita não categorizada</t>
        </is>
      </c>
      <c r="G374" t="inlineStr">
        <is>
          <t>Receita</t>
        </is>
      </c>
      <c r="H374" s="3" t="n">
        <v>497.55</v>
      </c>
      <c r="I374" t="inlineStr">
        <is>
          <t>Pix</t>
        </is>
      </c>
      <c r="J374" t="inlineStr">
        <is>
          <t>Não</t>
        </is>
      </c>
      <c r="K374" t="inlineStr">
        <is>
          <t>Eventual</t>
        </is>
      </c>
      <c r="L374" t="inlineStr"/>
      <c r="M374" t="inlineStr">
        <is>
          <t>Mercado Pago account_statement-8f96e9be-cdd7-4687-acae-7eb11216a39b.xlsx</t>
        </is>
      </c>
      <c r="N374" t="inlineStr">
        <is>
          <t>Recebido</t>
        </is>
      </c>
      <c r="O374" t="inlineStr">
        <is>
          <t>Pagamento com Código QR Pix MARCIA PEIXOTO R SILVA</t>
        </is>
      </c>
    </row>
    <row r="375">
      <c r="A375" s="29" t="n">
        <v>46106</v>
      </c>
      <c r="B375" t="n">
        <v>3</v>
      </c>
      <c r="C375" t="n">
        <v>2026</v>
      </c>
      <c r="D375" t="inlineStr">
        <is>
          <t>Geral</t>
        </is>
      </c>
      <c r="E375" t="inlineStr">
        <is>
          <t>Outros</t>
        </is>
      </c>
      <c r="F375" t="inlineStr">
        <is>
          <t>Pagamento de fatura cartão</t>
        </is>
      </c>
      <c r="G375" t="inlineStr">
        <is>
          <t>Despesa</t>
        </is>
      </c>
      <c r="H375" s="3" t="n">
        <v>-500</v>
      </c>
      <c r="I375" t="inlineStr">
        <is>
          <t>Outro</t>
        </is>
      </c>
      <c r="J375" t="inlineStr">
        <is>
          <t>Não</t>
        </is>
      </c>
      <c r="K375" t="inlineStr">
        <is>
          <t>Eventual</t>
        </is>
      </c>
      <c r="L375" t="inlineStr"/>
      <c r="M375" t="inlineStr">
        <is>
          <t>Nubank NU_370124875_01MAR2026_31MAR2026.csv</t>
        </is>
      </c>
      <c r="N375" t="inlineStr">
        <is>
          <t>Sem comprovante</t>
        </is>
      </c>
      <c r="O375" t="inlineStr">
        <is>
          <t>Pagamento de fatura</t>
        </is>
      </c>
    </row>
    <row r="376">
      <c r="A376" s="29" t="n">
        <v>46106</v>
      </c>
      <c r="B376" t="n">
        <v>3</v>
      </c>
      <c r="C376" t="n">
        <v>2026</v>
      </c>
      <c r="D376" t="inlineStr">
        <is>
          <t>Geral</t>
        </is>
      </c>
      <c r="E376" t="inlineStr">
        <is>
          <t>Transferência - Bruno (própria)</t>
        </is>
      </c>
      <c r="F376" t="inlineStr">
        <is>
          <t>Pix Bruno→Bruno (entre contas próprias)</t>
        </is>
      </c>
      <c r="G376" t="inlineStr">
        <is>
          <t>Despesa</t>
        </is>
      </c>
      <c r="H376" s="3" t="n">
        <v>-500</v>
      </c>
      <c r="I376" t="inlineStr">
        <is>
          <t>Pix</t>
        </is>
      </c>
      <c r="J376" t="inlineStr">
        <is>
          <t>Não</t>
        </is>
      </c>
      <c r="K376" t="inlineStr">
        <is>
          <t>Eventual</t>
        </is>
      </c>
      <c r="L376" t="inlineStr"/>
      <c r="M376" t="inlineStr">
        <is>
          <t>Mercado Pago account_statement-8f96e9be-cdd7-4687-acae-7eb11216a39b.xlsx</t>
        </is>
      </c>
      <c r="N376" t="inlineStr">
        <is>
          <t>Sem comprovante</t>
        </is>
      </c>
      <c r="O376" t="inlineStr">
        <is>
          <t>Pix enviado Bruno Porto Seus</t>
        </is>
      </c>
    </row>
    <row r="377">
      <c r="A377" s="29" t="n">
        <v>46106</v>
      </c>
      <c r="B377" t="n">
        <v>3</v>
      </c>
      <c r="C377" t="n">
        <v>2026</v>
      </c>
      <c r="D377" t="inlineStr">
        <is>
          <t>Pessoal</t>
        </is>
      </c>
      <c r="E377" t="inlineStr">
        <is>
          <t>Outros</t>
        </is>
      </c>
      <c r="F377" t="inlineStr">
        <is>
          <t>Compra / Pix Pessoal</t>
        </is>
      </c>
      <c r="G377" t="inlineStr">
        <is>
          <t>Despesa</t>
        </is>
      </c>
      <c r="H377" s="3" t="n">
        <v>-300</v>
      </c>
      <c r="I377" t="inlineStr">
        <is>
          <t>Pix</t>
        </is>
      </c>
      <c r="J377" t="inlineStr">
        <is>
          <t>Não</t>
        </is>
      </c>
      <c r="K377" t="inlineStr">
        <is>
          <t>Eventual</t>
        </is>
      </c>
      <c r="L377" t="inlineStr"/>
      <c r="M377" t="inlineStr">
        <is>
          <t>Mercado Pago account_statement-8f96e9be-cdd7-4687-acae-7eb11216a39b.xlsx</t>
        </is>
      </c>
      <c r="N377" t="inlineStr">
        <is>
          <t>Sem comprovante</t>
        </is>
      </c>
      <c r="O377" t="inlineStr">
        <is>
          <t>Pix enviado Ferencz Keller - Consultorio Odontologico Ss Ltda.</t>
        </is>
      </c>
    </row>
    <row r="378">
      <c r="A378" s="29" t="n">
        <v>46106</v>
      </c>
      <c r="B378" t="n">
        <v>3</v>
      </c>
      <c r="C378" t="n">
        <v>2026</v>
      </c>
      <c r="D378" t="inlineStr">
        <is>
          <t>Studio</t>
        </is>
      </c>
      <c r="E378" t="inlineStr">
        <is>
          <t>Receita - Denise (Salão)</t>
        </is>
      </c>
      <c r="F378" t="inlineStr">
        <is>
          <t>Depósito recebido de Denise / Salão</t>
        </is>
      </c>
      <c r="G378" t="inlineStr">
        <is>
          <t>Receita</t>
        </is>
      </c>
      <c r="H378" s="3" t="n">
        <v>500</v>
      </c>
      <c r="I378" t="inlineStr">
        <is>
          <t>Pix</t>
        </is>
      </c>
      <c r="J378" t="inlineStr">
        <is>
          <t>Não</t>
        </is>
      </c>
      <c r="K378" t="inlineStr">
        <is>
          <t>Eventual</t>
        </is>
      </c>
      <c r="L378" t="inlineStr"/>
      <c r="M378" t="inlineStr">
        <is>
          <t>Nubank NU_370124875_01MAR2026_31MAR2026.csv</t>
        </is>
      </c>
      <c r="N378" t="inlineStr">
        <is>
          <t>Recebido</t>
        </is>
      </c>
      <c r="O378" t="inlineStr">
        <is>
          <t>Transferência recebida pelo Pix - DENISE DE PAULA CENTRO DE ESTETICA LTDA - 05.823.454/0001-86 - MERCADO PAGO IP LTDA. (0323) Agência: 1 Conta: 8804533771-0</t>
        </is>
      </c>
    </row>
    <row r="379">
      <c r="A379" s="29" t="n">
        <v>46107</v>
      </c>
      <c r="B379" t="n">
        <v>3</v>
      </c>
      <c r="C379" t="n">
        <v>2026</v>
      </c>
      <c r="D379" t="inlineStr">
        <is>
          <t>Pessoal</t>
        </is>
      </c>
      <c r="E379" t="inlineStr">
        <is>
          <t>Outros</t>
        </is>
      </c>
      <c r="F379" t="inlineStr">
        <is>
          <t>Compras Diversas</t>
        </is>
      </c>
      <c r="G379" t="inlineStr">
        <is>
          <t>Despesa</t>
        </is>
      </c>
      <c r="H379" s="3" t="n">
        <v>-25</v>
      </c>
      <c r="I379" t="inlineStr">
        <is>
          <t>Pix</t>
        </is>
      </c>
      <c r="J379" t="inlineStr">
        <is>
          <t>Não</t>
        </is>
      </c>
      <c r="K379" t="inlineStr">
        <is>
          <t>Eventual</t>
        </is>
      </c>
      <c r="L379" t="inlineStr"/>
      <c r="M379" t="inlineStr">
        <is>
          <t>Mercado Pago account_statement-8f96e9be-cdd7-4687-acae-7eb11216a39b.xlsx</t>
        </is>
      </c>
      <c r="N379" t="inlineStr">
        <is>
          <t>Sem comprovante</t>
        </is>
      </c>
      <c r="O379" t="inlineStr">
        <is>
          <t>Pagamento com QR Pix MULTIDISPLAY COMERCIO E SERVICOS TECNOLOGICOS LTDA.</t>
        </is>
      </c>
    </row>
    <row r="380">
      <c r="A380" s="29" t="n">
        <v>46107</v>
      </c>
      <c r="B380" t="n">
        <v>3</v>
      </c>
      <c r="C380" t="n">
        <v>2026</v>
      </c>
      <c r="D380" t="inlineStr">
        <is>
          <t>Studio</t>
        </is>
      </c>
      <c r="E380" t="inlineStr">
        <is>
          <t>Impostos</t>
        </is>
      </c>
      <c r="F380" t="inlineStr">
        <is>
          <t>Tributo Municipal</t>
        </is>
      </c>
      <c r="G380" t="inlineStr">
        <is>
          <t>Despesa</t>
        </is>
      </c>
      <c r="H380" s="3" t="n">
        <v>-3514.37</v>
      </c>
      <c r="I380" t="inlineStr">
        <is>
          <t>Pix</t>
        </is>
      </c>
      <c r="J380" t="inlineStr">
        <is>
          <t>Não</t>
        </is>
      </c>
      <c r="K380" t="inlineStr">
        <is>
          <t>Eventual</t>
        </is>
      </c>
      <c r="L380" t="inlineStr"/>
      <c r="M380" t="inlineStr">
        <is>
          <t>Mercado Pago account_statement-8f96e9be-cdd7-4687-acae-7eb11216a39b.xlsx</t>
        </is>
      </c>
      <c r="N380" t="inlineStr">
        <is>
          <t>Sem comprovante</t>
        </is>
      </c>
      <c r="O380" t="inlineStr">
        <is>
          <t>Pagamento com QR Pix MUNICIPIO DE PONTAL DO PARANA</t>
        </is>
      </c>
    </row>
    <row r="381">
      <c r="A381" s="29" t="n">
        <v>46107</v>
      </c>
      <c r="B381" t="n">
        <v>3</v>
      </c>
      <c r="C381" t="n">
        <v>2026</v>
      </c>
      <c r="D381" t="inlineStr">
        <is>
          <t>Studio</t>
        </is>
      </c>
      <c r="E381" t="inlineStr">
        <is>
          <t>Impostos</t>
        </is>
      </c>
      <c r="F381" t="inlineStr">
        <is>
          <t>Tributo Municipal</t>
        </is>
      </c>
      <c r="G381" t="inlineStr">
        <is>
          <t>Despesa</t>
        </is>
      </c>
      <c r="H381" s="3" t="n">
        <v>-98.98999999999999</v>
      </c>
      <c r="I381" t="inlineStr">
        <is>
          <t>Pix</t>
        </is>
      </c>
      <c r="J381" t="inlineStr">
        <is>
          <t>Não</t>
        </is>
      </c>
      <c r="K381" t="inlineStr">
        <is>
          <t>Eventual</t>
        </is>
      </c>
      <c r="L381" t="inlineStr"/>
      <c r="M381" t="inlineStr">
        <is>
          <t>Mercado Pago account_statement-8f96e9be-cdd7-4687-acae-7eb11216a39b.xlsx</t>
        </is>
      </c>
      <c r="N381" t="inlineStr">
        <is>
          <t>Sem comprovante</t>
        </is>
      </c>
      <c r="O381" t="inlineStr">
        <is>
          <t>Pagamento com QR Pix MUNICIPIO DE PONTAL DO PARANA</t>
        </is>
      </c>
    </row>
    <row r="382">
      <c r="A382" s="29" t="n">
        <v>46107</v>
      </c>
      <c r="B382" t="n">
        <v>3</v>
      </c>
      <c r="C382" t="n">
        <v>2026</v>
      </c>
      <c r="D382" t="inlineStr">
        <is>
          <t>Studio</t>
        </is>
      </c>
      <c r="E382" t="inlineStr">
        <is>
          <t>Impostos</t>
        </is>
      </c>
      <c r="F382" t="inlineStr">
        <is>
          <t>Tributo / Guia</t>
        </is>
      </c>
      <c r="G382" t="inlineStr">
        <is>
          <t>Despesa</t>
        </is>
      </c>
      <c r="H382" s="3" t="n">
        <v>-576.03</v>
      </c>
      <c r="I382" t="inlineStr">
        <is>
          <t>Boleto</t>
        </is>
      </c>
      <c r="J382" t="inlineStr">
        <is>
          <t>Não</t>
        </is>
      </c>
      <c r="K382" t="inlineStr">
        <is>
          <t>Eventual</t>
        </is>
      </c>
      <c r="L382" t="inlineStr"/>
      <c r="M382" t="inlineStr">
        <is>
          <t>Mercado Pago account_statement-8f96e9be-cdd7-4687-acae-7eb11216a39b.xlsx</t>
        </is>
      </c>
      <c r="N382" t="inlineStr">
        <is>
          <t>Sem comprovante</t>
        </is>
      </c>
      <c r="O382" t="inlineStr">
        <is>
          <t>Pagamento de conta Confederação Nacional das Cooperativas Centrais de Crédito e Ec...</t>
        </is>
      </c>
    </row>
    <row r="383">
      <c r="A383" s="29" t="n">
        <v>46107</v>
      </c>
      <c r="B383" t="n">
        <v>3</v>
      </c>
      <c r="C383" t="n">
        <v>2026</v>
      </c>
      <c r="D383" t="inlineStr">
        <is>
          <t>Geral</t>
        </is>
      </c>
      <c r="E383" t="inlineStr">
        <is>
          <t>Transferência - Bruno (própria)</t>
        </is>
      </c>
      <c r="F383" t="inlineStr">
        <is>
          <t>Pix Bruno→Bruno (entre contas próprias)</t>
        </is>
      </c>
      <c r="G383" t="inlineStr">
        <is>
          <t>Despesa</t>
        </is>
      </c>
      <c r="H383" s="3" t="n">
        <v>-300</v>
      </c>
      <c r="I383" t="inlineStr">
        <is>
          <t>Pix</t>
        </is>
      </c>
      <c r="J383" t="inlineStr">
        <is>
          <t>Não</t>
        </is>
      </c>
      <c r="K383" t="inlineStr">
        <is>
          <t>Eventual</t>
        </is>
      </c>
      <c r="L383" t="inlineStr"/>
      <c r="M383" t="inlineStr">
        <is>
          <t>Mercado Pago account_statement-8f96e9be-cdd7-4687-acae-7eb11216a39b.xlsx</t>
        </is>
      </c>
      <c r="N383" t="inlineStr">
        <is>
          <t>Sem comprovante</t>
        </is>
      </c>
      <c r="O383" t="inlineStr">
        <is>
          <t>Pix enviado Bruno Porto Seus</t>
        </is>
      </c>
    </row>
    <row r="384">
      <c r="A384" s="29" t="n">
        <v>46107</v>
      </c>
      <c r="B384" t="n">
        <v>3</v>
      </c>
      <c r="C384" t="n">
        <v>2026</v>
      </c>
      <c r="D384" t="inlineStr">
        <is>
          <t>Studio</t>
        </is>
      </c>
      <c r="E384" t="inlineStr">
        <is>
          <t>Pessoal</t>
        </is>
      </c>
      <c r="F384" t="inlineStr">
        <is>
          <t>Marco</t>
        </is>
      </c>
      <c r="G384" t="inlineStr">
        <is>
          <t>Despesa</t>
        </is>
      </c>
      <c r="H384" s="3" t="n">
        <v>-100</v>
      </c>
      <c r="I384" t="inlineStr">
        <is>
          <t>Pix</t>
        </is>
      </c>
      <c r="J384" t="inlineStr">
        <is>
          <t>Não</t>
        </is>
      </c>
      <c r="K384" t="inlineStr">
        <is>
          <t>Eventual</t>
        </is>
      </c>
      <c r="L384" t="inlineStr">
        <is>
          <t>Marco/00000095-PHOTO-2026-03-27-18-48-54.jpg</t>
        </is>
      </c>
      <c r="M384" t="inlineStr">
        <is>
          <t>Mercado Pago account_statement-8f96e9be-cdd7-4687-acae-7eb11216a39b.xlsx</t>
        </is>
      </c>
      <c r="N384" t="inlineStr">
        <is>
          <t>Pago</t>
        </is>
      </c>
      <c r="O384" t="inlineStr">
        <is>
          <t>Pix enviado Marco Aurelio de Moura Leite</t>
        </is>
      </c>
    </row>
    <row r="385">
      <c r="A385" s="29" t="n">
        <v>46107</v>
      </c>
      <c r="B385" t="n">
        <v>3</v>
      </c>
      <c r="C385" t="n">
        <v>2026</v>
      </c>
      <c r="D385" t="inlineStr">
        <is>
          <t>Pessoal</t>
        </is>
      </c>
      <c r="E385" t="inlineStr">
        <is>
          <t>Pessoal</t>
        </is>
      </c>
      <c r="F385" t="inlineStr">
        <is>
          <t>Simone (Casa)</t>
        </is>
      </c>
      <c r="G385" t="inlineStr">
        <is>
          <t>Despesa</t>
        </is>
      </c>
      <c r="H385" s="3" t="n">
        <v>-200</v>
      </c>
      <c r="I385" t="inlineStr">
        <is>
          <t>Pix</t>
        </is>
      </c>
      <c r="J385" t="inlineStr">
        <is>
          <t>Não</t>
        </is>
      </c>
      <c r="K385" t="inlineStr">
        <is>
          <t>Eventual</t>
        </is>
      </c>
      <c r="L385" t="inlineStr"/>
      <c r="M385" t="inlineStr">
        <is>
          <t>Mercado Pago account_statement-8f96e9be-cdd7-4687-acae-7eb11216a39b.xlsx</t>
        </is>
      </c>
      <c r="N385" t="inlineStr">
        <is>
          <t>Sem comprovante</t>
        </is>
      </c>
      <c r="O385" t="inlineStr">
        <is>
          <t>Pix enviado Simone Muniz Martins de Moura</t>
        </is>
      </c>
    </row>
    <row r="386">
      <c r="A386" s="29" t="n">
        <v>46107</v>
      </c>
      <c r="B386" t="n">
        <v>3</v>
      </c>
      <c r="C386" t="n">
        <v>2026</v>
      </c>
      <c r="D386" t="inlineStr">
        <is>
          <t>Studio</t>
        </is>
      </c>
      <c r="E386" t="inlineStr">
        <is>
          <t>Receita - Denise (Salão)</t>
        </is>
      </c>
      <c r="F386" t="inlineStr">
        <is>
          <t>Depósito recebido de Denise / Salão</t>
        </is>
      </c>
      <c r="G386" t="inlineStr">
        <is>
          <t>Receita</t>
        </is>
      </c>
      <c r="H386" s="3" t="n">
        <v>2000</v>
      </c>
      <c r="I386" t="inlineStr">
        <is>
          <t>Pix</t>
        </is>
      </c>
      <c r="J386" t="inlineStr">
        <is>
          <t>Não</t>
        </is>
      </c>
      <c r="K386" t="inlineStr">
        <is>
          <t>Eventual</t>
        </is>
      </c>
      <c r="L386" t="inlineStr">
        <is>
          <t>Cartao nubank Denise/00000005-comprovante-152692587322.pdf</t>
        </is>
      </c>
      <c r="M386" t="inlineStr">
        <is>
          <t>Mercado Pago account_statement-8f96e9be-cdd7-4687-acae-7eb11216a39b.xlsx</t>
        </is>
      </c>
      <c r="N386" t="inlineStr">
        <is>
          <t>Recebido</t>
        </is>
      </c>
      <c r="O386" t="inlineStr">
        <is>
          <t>Pix recebido Denise de Paula</t>
        </is>
      </c>
    </row>
    <row r="387">
      <c r="A387" s="29" t="n">
        <v>46107</v>
      </c>
      <c r="B387" t="n">
        <v>3</v>
      </c>
      <c r="C387" t="n">
        <v>2026</v>
      </c>
      <c r="D387" t="inlineStr">
        <is>
          <t>Geral</t>
        </is>
      </c>
      <c r="E387" t="inlineStr">
        <is>
          <t>Pessoal</t>
        </is>
      </c>
      <c r="F387" t="inlineStr">
        <is>
          <t>Bruno Luiz (familiar)</t>
        </is>
      </c>
      <c r="G387" t="inlineStr">
        <is>
          <t>Despesa</t>
        </is>
      </c>
      <c r="H387" s="3" t="n">
        <v>-200</v>
      </c>
      <c r="I387" t="inlineStr">
        <is>
          <t>Pix</t>
        </is>
      </c>
      <c r="J387" t="inlineStr">
        <is>
          <t>Não</t>
        </is>
      </c>
      <c r="K387" t="inlineStr">
        <is>
          <t>Eventual</t>
        </is>
      </c>
      <c r="L387" t="inlineStr"/>
      <c r="M387" t="inlineStr">
        <is>
          <t>Nubank NU_370124875_01MAR2026_31MAR2026.csv</t>
        </is>
      </c>
      <c r="N387" t="inlineStr">
        <is>
          <t>Sem comprovante</t>
        </is>
      </c>
      <c r="O387" t="inlineStr">
        <is>
          <t>Transferência enviada pelo Pix - BRUNO LUIZ SASTRE SEUS JUNIOR - •••.516.739-•• - BCO BRADESCO S.A. (0237) Agência: 3925 Conta: 165900-6</t>
        </is>
      </c>
    </row>
    <row r="388">
      <c r="A388" s="29" t="n">
        <v>46107</v>
      </c>
      <c r="B388" t="n">
        <v>3</v>
      </c>
      <c r="C388" t="n">
        <v>2026</v>
      </c>
      <c r="D388" t="inlineStr">
        <is>
          <t>Studio</t>
        </is>
      </c>
      <c r="E388" t="inlineStr">
        <is>
          <t>Receita - Denise (Salão)</t>
        </is>
      </c>
      <c r="F388" t="inlineStr">
        <is>
          <t>Depósito recebido de Denise / Salão</t>
        </is>
      </c>
      <c r="G388" t="inlineStr">
        <is>
          <t>Receita</t>
        </is>
      </c>
      <c r="H388" s="3" t="n">
        <v>300</v>
      </c>
      <c r="I388" t="inlineStr">
        <is>
          <t>Pix</t>
        </is>
      </c>
      <c r="J388" t="inlineStr">
        <is>
          <t>Não</t>
        </is>
      </c>
      <c r="K388" t="inlineStr">
        <is>
          <t>Eventual</t>
        </is>
      </c>
      <c r="L388" t="inlineStr">
        <is>
          <t>Cartao nubank Denise/00000005-comprovante-152692587322.pdf</t>
        </is>
      </c>
      <c r="M388" t="inlineStr">
        <is>
          <t>Nubank NU_370124875_01MAR2026_31MAR2026.csv</t>
        </is>
      </c>
      <c r="N388" t="inlineStr">
        <is>
          <t>Recebido</t>
        </is>
      </c>
      <c r="O388" t="inlineStr">
        <is>
          <t>Transferência recebida pelo Pix - DENISE DE PAULA CENTRO DE ESTETICA LTDA - 05.823.454/0001-86 - MERCADO PAGO IP LTDA. (0323) Agência: 1 Conta: 8804533771-0</t>
        </is>
      </c>
    </row>
    <row r="389">
      <c r="A389" s="29" t="n">
        <v>46108</v>
      </c>
      <c r="B389" t="n">
        <v>3</v>
      </c>
      <c r="C389" t="n">
        <v>2026</v>
      </c>
      <c r="D389" t="inlineStr">
        <is>
          <t>Pessoal</t>
        </is>
      </c>
      <c r="E389" t="inlineStr">
        <is>
          <t>Contas Variáveis</t>
        </is>
      </c>
      <c r="F389" t="inlineStr">
        <is>
          <t>Restaurante / Alimentação</t>
        </is>
      </c>
      <c r="G389" t="inlineStr">
        <is>
          <t>Despesa</t>
        </is>
      </c>
      <c r="H389" s="3" t="n">
        <v>-5</v>
      </c>
      <c r="I389" t="inlineStr">
        <is>
          <t>Débito</t>
        </is>
      </c>
      <c r="J389" t="inlineStr">
        <is>
          <t>Não</t>
        </is>
      </c>
      <c r="K389" t="inlineStr">
        <is>
          <t>Eventual</t>
        </is>
      </c>
      <c r="L389" t="inlineStr"/>
      <c r="M389" t="inlineStr">
        <is>
          <t>Nubank NU_370124875_01MAR2026_31MAR2026.csv</t>
        </is>
      </c>
      <c r="N389" t="inlineStr">
        <is>
          <t>Sem comprovante</t>
        </is>
      </c>
      <c r="O389" t="inlineStr">
        <is>
          <t>Compra no débito - LIRIO DA PAZ</t>
        </is>
      </c>
    </row>
    <row r="390">
      <c r="A390" s="29" t="n">
        <v>46108</v>
      </c>
      <c r="B390" t="n">
        <v>3</v>
      </c>
      <c r="C390" t="n">
        <v>2026</v>
      </c>
      <c r="D390" t="inlineStr">
        <is>
          <t>Studio</t>
        </is>
      </c>
      <c r="E390" t="inlineStr">
        <is>
          <t>Receita - Liberação de Crédito</t>
        </is>
      </c>
      <c r="F390" t="inlineStr">
        <is>
          <t>Liberação de Crédito (Studio)</t>
        </is>
      </c>
      <c r="G390" t="inlineStr">
        <is>
          <t>Receita</t>
        </is>
      </c>
      <c r="H390" s="3" t="n">
        <v>483.6</v>
      </c>
      <c r="I390" t="inlineStr">
        <is>
          <t>Outro</t>
        </is>
      </c>
      <c r="J390" t="inlineStr">
        <is>
          <t>Não</t>
        </is>
      </c>
      <c r="K390" t="inlineStr">
        <is>
          <t>Eventual</t>
        </is>
      </c>
      <c r="L390" t="inlineStr"/>
      <c r="M390" t="inlineStr">
        <is>
          <t>Mercado Pago account_statement-8f96e9be-cdd7-4687-acae-7eb11216a39b.xlsx</t>
        </is>
      </c>
      <c r="N390" t="inlineStr">
        <is>
          <t>Recebido</t>
        </is>
      </c>
      <c r="O390" t="inlineStr">
        <is>
          <t>Liberação de dinheiro</t>
        </is>
      </c>
    </row>
    <row r="391">
      <c r="A391" s="29" t="n">
        <v>46108</v>
      </c>
      <c r="B391" t="n">
        <v>3</v>
      </c>
      <c r="C391" t="n">
        <v>2026</v>
      </c>
      <c r="D391" t="inlineStr">
        <is>
          <t>Pessoal</t>
        </is>
      </c>
      <c r="E391" t="inlineStr">
        <is>
          <t>Contas Variáveis</t>
        </is>
      </c>
      <c r="F391" t="inlineStr">
        <is>
          <t>iFood</t>
        </is>
      </c>
      <c r="G391" t="inlineStr">
        <is>
          <t>Despesa</t>
        </is>
      </c>
      <c r="H391" s="3" t="n">
        <v>-64.73999999999999</v>
      </c>
      <c r="I391" t="inlineStr">
        <is>
          <t>Pix</t>
        </is>
      </c>
      <c r="J391" t="inlineStr">
        <is>
          <t>Não</t>
        </is>
      </c>
      <c r="K391" t="inlineStr">
        <is>
          <t>Eventual</t>
        </is>
      </c>
      <c r="L391" t="inlineStr"/>
      <c r="M391" t="inlineStr">
        <is>
          <t>Mercado Pago account_statement-8f96e9be-cdd7-4687-acae-7eb11216a39b.xlsx</t>
        </is>
      </c>
      <c r="N391" t="inlineStr">
        <is>
          <t>Sem comprovante</t>
        </is>
      </c>
      <c r="O391" t="inlineStr">
        <is>
          <t>Pagamento com QR Pix IFOOD.COM AGENCIA DE RESTAURANTES ONLINE S.A.</t>
        </is>
      </c>
    </row>
    <row r="392">
      <c r="A392" s="29" t="n">
        <v>46108</v>
      </c>
      <c r="B392" t="n">
        <v>3</v>
      </c>
      <c r="C392" t="n">
        <v>2026</v>
      </c>
      <c r="D392" t="inlineStr">
        <is>
          <t>Geral</t>
        </is>
      </c>
      <c r="E392" t="inlineStr">
        <is>
          <t>Transferência - Bruno (própria)</t>
        </is>
      </c>
      <c r="F392" t="inlineStr">
        <is>
          <t>Pix Bruno→Bruno (entre contas próprias)</t>
        </is>
      </c>
      <c r="G392" t="inlineStr">
        <is>
          <t>Despesa</t>
        </is>
      </c>
      <c r="H392" s="3" t="n">
        <v>-200</v>
      </c>
      <c r="I392" t="inlineStr">
        <is>
          <t>Pix</t>
        </is>
      </c>
      <c r="J392" t="inlineStr">
        <is>
          <t>Não</t>
        </is>
      </c>
      <c r="K392" t="inlineStr">
        <is>
          <t>Eventual</t>
        </is>
      </c>
      <c r="L392" t="inlineStr"/>
      <c r="M392" t="inlineStr">
        <is>
          <t>Mercado Pago account_statement-8f96e9be-cdd7-4687-acae-7eb11216a39b.xlsx</t>
        </is>
      </c>
      <c r="N392" t="inlineStr">
        <is>
          <t>Sem comprovante</t>
        </is>
      </c>
      <c r="O392" t="inlineStr">
        <is>
          <t>Pix enviado Bruno Porto Seus</t>
        </is>
      </c>
    </row>
    <row r="393">
      <c r="A393" s="29" t="n">
        <v>46108</v>
      </c>
      <c r="B393" t="n">
        <v>3</v>
      </c>
      <c r="C393" t="n">
        <v>2026</v>
      </c>
      <c r="D393" t="inlineStr">
        <is>
          <t>Studio</t>
        </is>
      </c>
      <c r="E393" t="inlineStr">
        <is>
          <t>Pessoal</t>
        </is>
      </c>
      <c r="F393" t="inlineStr">
        <is>
          <t>Marco</t>
        </is>
      </c>
      <c r="G393" t="inlineStr">
        <is>
          <t>Despesa</t>
        </is>
      </c>
      <c r="H393" s="3" t="n">
        <v>-830</v>
      </c>
      <c r="I393" t="inlineStr">
        <is>
          <t>Pix</t>
        </is>
      </c>
      <c r="J393" t="inlineStr">
        <is>
          <t>Não</t>
        </is>
      </c>
      <c r="K393" t="inlineStr">
        <is>
          <t>Eventual</t>
        </is>
      </c>
      <c r="L393" t="inlineStr">
        <is>
          <t>Marco/00000095-PHOTO-2026-03-27-18-48-54.jpg</t>
        </is>
      </c>
      <c r="M393" t="inlineStr">
        <is>
          <t>Mercado Pago account_statement-8f96e9be-cdd7-4687-acae-7eb11216a39b.xlsx</t>
        </is>
      </c>
      <c r="N393" t="inlineStr">
        <is>
          <t>Pago</t>
        </is>
      </c>
      <c r="O393" t="inlineStr">
        <is>
          <t>Pix enviado Marco Aurelio de Moura Leite</t>
        </is>
      </c>
    </row>
    <row r="394">
      <c r="A394" s="29" t="n">
        <v>46108</v>
      </c>
      <c r="B394" t="n">
        <v>3</v>
      </c>
      <c r="C394" t="n">
        <v>2026</v>
      </c>
      <c r="D394" t="inlineStr">
        <is>
          <t>Geral</t>
        </is>
      </c>
      <c r="E394" t="inlineStr">
        <is>
          <t>Outros</t>
        </is>
      </c>
      <c r="F394" t="inlineStr">
        <is>
          <t>Maçonaria / Loja Simbólica</t>
        </is>
      </c>
      <c r="G394" t="inlineStr">
        <is>
          <t>Despesa</t>
        </is>
      </c>
      <c r="H394" s="3" t="n">
        <v>-200</v>
      </c>
      <c r="I394" t="inlineStr">
        <is>
          <t>Pix</t>
        </is>
      </c>
      <c r="J394" t="inlineStr">
        <is>
          <t>Não</t>
        </is>
      </c>
      <c r="K394" t="inlineStr">
        <is>
          <t>Eventual</t>
        </is>
      </c>
      <c r="L394" t="inlineStr"/>
      <c r="M394" t="inlineStr">
        <is>
          <t>Nubank NU_370124875_01MAR2026_31MAR2026.csv</t>
        </is>
      </c>
      <c r="N394" t="inlineStr">
        <is>
          <t>Sem comprovante</t>
        </is>
      </c>
      <c r="O394" t="inlineStr">
        <is>
          <t>Transferência enviada pelo Pix - AUGUSTA E RESPEITAVEL LOJA SIMBOLICA OBR - 01.361.920/0001-06 - BCO BRADESCO S.A. (0237) Agência: 929 Conta: 45825-2</t>
        </is>
      </c>
    </row>
    <row r="395">
      <c r="A395" s="29" t="n">
        <v>46108</v>
      </c>
      <c r="B395" t="n">
        <v>3</v>
      </c>
      <c r="C395" t="n">
        <v>2026</v>
      </c>
      <c r="D395" t="inlineStr">
        <is>
          <t>Studio</t>
        </is>
      </c>
      <c r="E395" t="inlineStr">
        <is>
          <t>Receita - Denise (Salão)</t>
        </is>
      </c>
      <c r="F395" t="inlineStr">
        <is>
          <t>Depósito recebido de Denise / Salão</t>
        </is>
      </c>
      <c r="G395" t="inlineStr">
        <is>
          <t>Receita</t>
        </is>
      </c>
      <c r="H395" s="3" t="n">
        <v>200</v>
      </c>
      <c r="I395" t="inlineStr">
        <is>
          <t>Pix</t>
        </is>
      </c>
      <c r="J395" t="inlineStr">
        <is>
          <t>Não</t>
        </is>
      </c>
      <c r="K395" t="inlineStr">
        <is>
          <t>Eventual</t>
        </is>
      </c>
      <c r="L395" t="inlineStr">
        <is>
          <t>Cartao nubank Denise/00000005-comprovante-152692587322.pdf</t>
        </is>
      </c>
      <c r="M395" t="inlineStr">
        <is>
          <t>Nubank NU_370124875_01MAR2026_31MAR2026.csv</t>
        </is>
      </c>
      <c r="N395" t="inlineStr">
        <is>
          <t>Recebido</t>
        </is>
      </c>
      <c r="O395" t="inlineStr">
        <is>
          <t>Transferência recebida pelo Pix - DENISE DE PAULA CENTRO DE ESTETICA LTDA - 05.823.454/0001-86 - MERCADO PAGO IP LTDA. (0323) Agência: 1 Conta: 8804533771-0</t>
        </is>
      </c>
    </row>
    <row r="396">
      <c r="A396" s="29" t="n">
        <v>46109</v>
      </c>
      <c r="B396" t="n">
        <v>3</v>
      </c>
      <c r="C396" t="n">
        <v>2026</v>
      </c>
      <c r="D396" t="inlineStr">
        <is>
          <t>Pessoal</t>
        </is>
      </c>
      <c r="E396" t="inlineStr">
        <is>
          <t>Contas Variáveis</t>
        </is>
      </c>
      <c r="F396" t="inlineStr">
        <is>
          <t>Compra no débito</t>
        </is>
      </c>
      <c r="G396" t="inlineStr">
        <is>
          <t>Despesa</t>
        </is>
      </c>
      <c r="H396" s="3" t="n">
        <v>-58</v>
      </c>
      <c r="I396" t="inlineStr">
        <is>
          <t>Débito</t>
        </is>
      </c>
      <c r="J396" t="inlineStr">
        <is>
          <t>Não</t>
        </is>
      </c>
      <c r="K396" t="inlineStr">
        <is>
          <t>Eventual</t>
        </is>
      </c>
      <c r="L396" t="inlineStr"/>
      <c r="M396" t="inlineStr">
        <is>
          <t>Nubank NU_370124875_01MAR2026_31MAR2026.csv</t>
        </is>
      </c>
      <c r="N396" t="inlineStr">
        <is>
          <t>Sem comprovante</t>
        </is>
      </c>
      <c r="O396" t="inlineStr">
        <is>
          <t>Compra no débito - BACKSTUBE KLIEWER</t>
        </is>
      </c>
    </row>
    <row r="397">
      <c r="A397" s="29" t="n">
        <v>46109</v>
      </c>
      <c r="B397" t="n">
        <v>3</v>
      </c>
      <c r="C397" t="n">
        <v>2026</v>
      </c>
      <c r="D397" t="inlineStr">
        <is>
          <t>Pessoal</t>
        </is>
      </c>
      <c r="E397" t="inlineStr">
        <is>
          <t>Contas Variáveis</t>
        </is>
      </c>
      <c r="F397" t="inlineStr">
        <is>
          <t>Bar / Cerveja</t>
        </is>
      </c>
      <c r="G397" t="inlineStr">
        <is>
          <t>Despesa</t>
        </is>
      </c>
      <c r="H397" s="3" t="n">
        <v>-42</v>
      </c>
      <c r="I397" t="inlineStr">
        <is>
          <t>Débito</t>
        </is>
      </c>
      <c r="J397" t="inlineStr">
        <is>
          <t>Não</t>
        </is>
      </c>
      <c r="K397" t="inlineStr">
        <is>
          <t>Eventual</t>
        </is>
      </c>
      <c r="L397" t="inlineStr"/>
      <c r="M397" t="inlineStr">
        <is>
          <t>Nubank NU_370124875_01MAR2026_31MAR2026.csv</t>
        </is>
      </c>
      <c r="N397" t="inlineStr">
        <is>
          <t>Sem comprovante</t>
        </is>
      </c>
      <c r="O397" t="inlineStr">
        <is>
          <t>Compra no débito - BASTARDS</t>
        </is>
      </c>
    </row>
    <row r="398">
      <c r="A398" s="29" t="n">
        <v>46109</v>
      </c>
      <c r="B398" t="n">
        <v>3</v>
      </c>
      <c r="C398" t="n">
        <v>2026</v>
      </c>
      <c r="D398" t="inlineStr">
        <is>
          <t>Pessoal</t>
        </is>
      </c>
      <c r="E398" t="inlineStr">
        <is>
          <t>Contas Variáveis</t>
        </is>
      </c>
      <c r="F398" t="inlineStr">
        <is>
          <t>Compra no débito</t>
        </is>
      </c>
      <c r="G398" t="inlineStr">
        <is>
          <t>Despesa</t>
        </is>
      </c>
      <c r="H398" s="3" t="n">
        <v>-17</v>
      </c>
      <c r="I398" t="inlineStr">
        <is>
          <t>Débito</t>
        </is>
      </c>
      <c r="J398" t="inlineStr">
        <is>
          <t>Não</t>
        </is>
      </c>
      <c r="K398" t="inlineStr">
        <is>
          <t>Eventual</t>
        </is>
      </c>
      <c r="L398" t="inlineStr"/>
      <c r="M398" t="inlineStr">
        <is>
          <t>Nubank NU_370124875_01MAR2026_31MAR2026.csv</t>
        </is>
      </c>
      <c r="N398" t="inlineStr">
        <is>
          <t>Sem comprovante</t>
        </is>
      </c>
      <c r="O398" t="inlineStr">
        <is>
          <t>Compra no débito - LETTS BURGER AND BAR</t>
        </is>
      </c>
    </row>
    <row r="399">
      <c r="A399" s="29" t="n">
        <v>46109</v>
      </c>
      <c r="B399" t="n">
        <v>3</v>
      </c>
      <c r="C399" t="n">
        <v>2026</v>
      </c>
      <c r="D399" t="inlineStr">
        <is>
          <t>Pessoal</t>
        </is>
      </c>
      <c r="E399" t="inlineStr">
        <is>
          <t>Contas Variáveis</t>
        </is>
      </c>
      <c r="F399" t="inlineStr">
        <is>
          <t>Compra no débito</t>
        </is>
      </c>
      <c r="G399" t="inlineStr">
        <is>
          <t>Despesa</t>
        </is>
      </c>
      <c r="H399" s="3" t="n">
        <v>-37</v>
      </c>
      <c r="I399" t="inlineStr">
        <is>
          <t>Débito</t>
        </is>
      </c>
      <c r="J399" t="inlineStr">
        <is>
          <t>Não</t>
        </is>
      </c>
      <c r="K399" t="inlineStr">
        <is>
          <t>Eventual</t>
        </is>
      </c>
      <c r="L399" t="inlineStr"/>
      <c r="M399" t="inlineStr">
        <is>
          <t>Nubank NU_370124875_01MAR2026_31MAR2026.csv</t>
        </is>
      </c>
      <c r="N399" t="inlineStr">
        <is>
          <t>Sem comprovante</t>
        </is>
      </c>
      <c r="O399" t="inlineStr">
        <is>
          <t>Compra no débito - LETTS ROAD</t>
        </is>
      </c>
    </row>
    <row r="400">
      <c r="A400" s="29" t="n">
        <v>46109</v>
      </c>
      <c r="B400" t="n">
        <v>3</v>
      </c>
      <c r="C400" t="n">
        <v>2026</v>
      </c>
      <c r="D400" t="inlineStr">
        <is>
          <t>Pessoal</t>
        </is>
      </c>
      <c r="E400" t="inlineStr">
        <is>
          <t>Contas Variáveis</t>
        </is>
      </c>
      <c r="F400" t="inlineStr">
        <is>
          <t>Bar / Cerveja</t>
        </is>
      </c>
      <c r="G400" t="inlineStr">
        <is>
          <t>Despesa</t>
        </is>
      </c>
      <c r="H400" s="3" t="n">
        <v>-56</v>
      </c>
      <c r="I400" t="inlineStr">
        <is>
          <t>Pix</t>
        </is>
      </c>
      <c r="J400" t="inlineStr">
        <is>
          <t>Não</t>
        </is>
      </c>
      <c r="K400" t="inlineStr">
        <is>
          <t>Eventual</t>
        </is>
      </c>
      <c r="L400" t="inlineStr"/>
      <c r="M400" t="inlineStr">
        <is>
          <t>Mercado Pago account_statement-8f96e9be-cdd7-4687-acae-7eb11216a39b.xlsx</t>
        </is>
      </c>
      <c r="N400" t="inlineStr">
        <is>
          <t>Sem comprovante</t>
        </is>
      </c>
      <c r="O400" t="inlineStr">
        <is>
          <t>Pagamento com QR Pix BASTARDS TAPROOM LTDA</t>
        </is>
      </c>
    </row>
    <row r="401">
      <c r="A401" s="29" t="n">
        <v>46109</v>
      </c>
      <c r="B401" t="n">
        <v>3</v>
      </c>
      <c r="C401" t="n">
        <v>2026</v>
      </c>
      <c r="D401" t="inlineStr">
        <is>
          <t>Pessoal</t>
        </is>
      </c>
      <c r="E401" t="inlineStr">
        <is>
          <t>Contas Variáveis</t>
        </is>
      </c>
      <c r="F401" t="inlineStr">
        <is>
          <t>iFood</t>
        </is>
      </c>
      <c r="G401" t="inlineStr">
        <is>
          <t>Despesa</t>
        </is>
      </c>
      <c r="H401" s="3" t="n">
        <v>-34.88</v>
      </c>
      <c r="I401" t="inlineStr">
        <is>
          <t>Pix</t>
        </is>
      </c>
      <c r="J401" t="inlineStr">
        <is>
          <t>Não</t>
        </is>
      </c>
      <c r="K401" t="inlineStr">
        <is>
          <t>Eventual</t>
        </is>
      </c>
      <c r="L401" t="inlineStr"/>
      <c r="M401" t="inlineStr">
        <is>
          <t>Mercado Pago account_statement-8f96e9be-cdd7-4687-acae-7eb11216a39b.xlsx</t>
        </is>
      </c>
      <c r="N401" t="inlineStr">
        <is>
          <t>Sem comprovante</t>
        </is>
      </c>
      <c r="O401" t="inlineStr">
        <is>
          <t>Pagamento com QR Pix IFOOD.COM AGENCIA DE RESTAURANTES ONLINE S.A.</t>
        </is>
      </c>
    </row>
    <row r="402">
      <c r="A402" s="29" t="n">
        <v>46109</v>
      </c>
      <c r="B402" t="n">
        <v>3</v>
      </c>
      <c r="C402" t="n">
        <v>2026</v>
      </c>
      <c r="D402" t="inlineStr">
        <is>
          <t>Geral</t>
        </is>
      </c>
      <c r="E402" t="inlineStr">
        <is>
          <t>Transferência - Bruno (própria)</t>
        </is>
      </c>
      <c r="F402" t="inlineStr">
        <is>
          <t>Pix Bruno→Bruno (entre contas próprias)</t>
        </is>
      </c>
      <c r="G402" t="inlineStr">
        <is>
          <t>Despesa</t>
        </is>
      </c>
      <c r="H402" s="3" t="n">
        <v>-500</v>
      </c>
      <c r="I402" t="inlineStr">
        <is>
          <t>Pix</t>
        </is>
      </c>
      <c r="J402" t="inlineStr">
        <is>
          <t>Não</t>
        </is>
      </c>
      <c r="K402" t="inlineStr">
        <is>
          <t>Eventual</t>
        </is>
      </c>
      <c r="L402" t="inlineStr"/>
      <c r="M402" t="inlineStr">
        <is>
          <t>Mercado Pago account_statement-8f96e9be-cdd7-4687-acae-7eb11216a39b.xlsx</t>
        </is>
      </c>
      <c r="N402" t="inlineStr">
        <is>
          <t>Sem comprovante</t>
        </is>
      </c>
      <c r="O402" t="inlineStr">
        <is>
          <t>Pix enviado Bruno Porto Seus</t>
        </is>
      </c>
    </row>
    <row r="403">
      <c r="A403" s="29" t="n">
        <v>46109</v>
      </c>
      <c r="B403" t="n">
        <v>3</v>
      </c>
      <c r="C403" t="n">
        <v>2026</v>
      </c>
      <c r="D403" t="inlineStr">
        <is>
          <t>Studio</t>
        </is>
      </c>
      <c r="E403" t="inlineStr">
        <is>
          <t>Receita - Denise (Salão)</t>
        </is>
      </c>
      <c r="F403" t="inlineStr">
        <is>
          <t>Depósito recebido de Denise / Salão</t>
        </is>
      </c>
      <c r="G403" t="inlineStr">
        <is>
          <t>Receita</t>
        </is>
      </c>
      <c r="H403" s="3" t="n">
        <v>500</v>
      </c>
      <c r="I403" t="inlineStr">
        <is>
          <t>Pix</t>
        </is>
      </c>
      <c r="J403" t="inlineStr">
        <is>
          <t>Não</t>
        </is>
      </c>
      <c r="K403" t="inlineStr">
        <is>
          <t>Eventual</t>
        </is>
      </c>
      <c r="L403" t="inlineStr">
        <is>
          <t>Cartao nubank Denise/00000005-comprovante-152692587322.pdf</t>
        </is>
      </c>
      <c r="M403" t="inlineStr">
        <is>
          <t>Nubank NU_370124875_01MAR2026_31MAR2026.csv</t>
        </is>
      </c>
      <c r="N403" t="inlineStr">
        <is>
          <t>Recebido</t>
        </is>
      </c>
      <c r="O403" t="inlineStr">
        <is>
          <t>Transferência recebida pelo Pix - DENISE DE PAULA CENTRO DE ESTETICA LTDA - 05.823.454/0001-86 - MERCADO PAGO IP LTDA. (0323) Agência: 1 Conta: 8804533771-0</t>
        </is>
      </c>
    </row>
    <row r="404">
      <c r="A404" s="29" t="n">
        <v>46110</v>
      </c>
      <c r="B404" t="n">
        <v>3</v>
      </c>
      <c r="C404" t="n">
        <v>2026</v>
      </c>
      <c r="D404" t="inlineStr">
        <is>
          <t>Pessoal</t>
        </is>
      </c>
      <c r="E404" t="inlineStr">
        <is>
          <t>Contas Variáveis</t>
        </is>
      </c>
      <c r="F404" t="inlineStr">
        <is>
          <t>Compra no débito</t>
        </is>
      </c>
      <c r="G404" t="inlineStr">
        <is>
          <t>Despesa</t>
        </is>
      </c>
      <c r="H404" s="3" t="n">
        <v>-4.35</v>
      </c>
      <c r="I404" t="inlineStr">
        <is>
          <t>Débito</t>
        </is>
      </c>
      <c r="J404" t="inlineStr">
        <is>
          <t>Não</t>
        </is>
      </c>
      <c r="K404" t="inlineStr">
        <is>
          <t>Eventual</t>
        </is>
      </c>
      <c r="L404" t="inlineStr"/>
      <c r="M404" t="inlineStr">
        <is>
          <t>Nubank NU_370124875_01MAR2026_31MAR2026.csv</t>
        </is>
      </c>
      <c r="N404" t="inlineStr">
        <is>
          <t>Sem comprovante</t>
        </is>
      </c>
      <c r="O404" t="inlineStr">
        <is>
          <t>Compra no débito - AUTOPISTA PLANALTO SUL</t>
        </is>
      </c>
    </row>
    <row r="405">
      <c r="A405" s="29" t="n">
        <v>46110</v>
      </c>
      <c r="B405" t="n">
        <v>3</v>
      </c>
      <c r="C405" t="n">
        <v>2026</v>
      </c>
      <c r="D405" t="inlineStr">
        <is>
          <t>Pessoal</t>
        </is>
      </c>
      <c r="E405" t="inlineStr">
        <is>
          <t>Contas Variáveis</t>
        </is>
      </c>
      <c r="F405" t="inlineStr">
        <is>
          <t>Compra no débito</t>
        </is>
      </c>
      <c r="G405" t="inlineStr">
        <is>
          <t>Despesa</t>
        </is>
      </c>
      <c r="H405" s="3" t="n">
        <v>-8</v>
      </c>
      <c r="I405" t="inlineStr">
        <is>
          <t>Débito</t>
        </is>
      </c>
      <c r="J405" t="inlineStr">
        <is>
          <t>Não</t>
        </is>
      </c>
      <c r="K405" t="inlineStr">
        <is>
          <t>Eventual</t>
        </is>
      </c>
      <c r="L405" t="inlineStr"/>
      <c r="M405" t="inlineStr">
        <is>
          <t>Nubank NU_370124875_01MAR2026_31MAR2026.csv</t>
        </is>
      </c>
      <c r="N405" t="inlineStr">
        <is>
          <t>Sem comprovante</t>
        </is>
      </c>
      <c r="O405" t="inlineStr">
        <is>
          <t>Compra no débito - LANCHONETE PELANDA 16</t>
        </is>
      </c>
    </row>
    <row r="406">
      <c r="A406" s="29" t="n">
        <v>46110</v>
      </c>
      <c r="B406" t="n">
        <v>3</v>
      </c>
      <c r="C406" t="n">
        <v>2026</v>
      </c>
      <c r="D406" t="inlineStr">
        <is>
          <t>Pessoal</t>
        </is>
      </c>
      <c r="E406" t="inlineStr">
        <is>
          <t>Contas Variáveis</t>
        </is>
      </c>
      <c r="F406" t="inlineStr">
        <is>
          <t>Compra no débito</t>
        </is>
      </c>
      <c r="G406" t="inlineStr">
        <is>
          <t>Despesa</t>
        </is>
      </c>
      <c r="H406" s="3" t="n">
        <v>-42.05</v>
      </c>
      <c r="I406" t="inlineStr">
        <is>
          <t>Débito</t>
        </is>
      </c>
      <c r="J406" t="inlineStr">
        <is>
          <t>Não</t>
        </is>
      </c>
      <c r="K406" t="inlineStr">
        <is>
          <t>Eventual</t>
        </is>
      </c>
      <c r="L406" t="inlineStr"/>
      <c r="M406" t="inlineStr">
        <is>
          <t>Nubank NU_370124875_01MAR2026_31MAR2026.csv</t>
        </is>
      </c>
      <c r="N406" t="inlineStr">
        <is>
          <t>Sem comprovante</t>
        </is>
      </c>
      <c r="O406" t="inlineStr">
        <is>
          <t>Compra no débito - PANETELLI</t>
        </is>
      </c>
    </row>
    <row r="407">
      <c r="A407" s="29" t="n">
        <v>46110</v>
      </c>
      <c r="B407" t="n">
        <v>3</v>
      </c>
      <c r="C407" t="n">
        <v>2026</v>
      </c>
      <c r="D407" t="inlineStr">
        <is>
          <t>Pessoal</t>
        </is>
      </c>
      <c r="E407" t="inlineStr">
        <is>
          <t>Contas Variáveis</t>
        </is>
      </c>
      <c r="F407" t="inlineStr">
        <is>
          <t>Compra no débito</t>
        </is>
      </c>
      <c r="G407" t="inlineStr">
        <is>
          <t>Despesa</t>
        </is>
      </c>
      <c r="H407" s="3" t="n">
        <v>-2.85</v>
      </c>
      <c r="I407" t="inlineStr">
        <is>
          <t>Débito</t>
        </is>
      </c>
      <c r="J407" t="inlineStr">
        <is>
          <t>Não</t>
        </is>
      </c>
      <c r="K407" t="inlineStr">
        <is>
          <t>Eventual</t>
        </is>
      </c>
      <c r="L407" t="inlineStr"/>
      <c r="M407" t="inlineStr">
        <is>
          <t>Nubank NU_370124875_01MAR2026_31MAR2026.csv</t>
        </is>
      </c>
      <c r="N407" t="inlineStr">
        <is>
          <t>Sem comprovante</t>
        </is>
      </c>
      <c r="O407" t="inlineStr">
        <is>
          <t>Compra no débito - PISTA 1</t>
        </is>
      </c>
    </row>
    <row r="408">
      <c r="A408" s="29" t="n">
        <v>46110</v>
      </c>
      <c r="B408" t="n">
        <v>3</v>
      </c>
      <c r="C408" t="n">
        <v>2026</v>
      </c>
      <c r="D408" t="inlineStr">
        <is>
          <t>Pessoal</t>
        </is>
      </c>
      <c r="E408" t="inlineStr">
        <is>
          <t>Contas Variáveis</t>
        </is>
      </c>
      <c r="F408" t="inlineStr">
        <is>
          <t>Compra no débito</t>
        </is>
      </c>
      <c r="G408" t="inlineStr">
        <is>
          <t>Despesa</t>
        </is>
      </c>
      <c r="H408" s="3" t="n">
        <v>-5.7</v>
      </c>
      <c r="I408" t="inlineStr">
        <is>
          <t>Débito</t>
        </is>
      </c>
      <c r="J408" t="inlineStr">
        <is>
          <t>Não</t>
        </is>
      </c>
      <c r="K408" t="inlineStr">
        <is>
          <t>Eventual</t>
        </is>
      </c>
      <c r="L408" t="inlineStr"/>
      <c r="M408" t="inlineStr">
        <is>
          <t>Nubank NU_370124875_01MAR2026_31MAR2026.csv</t>
        </is>
      </c>
      <c r="N408" t="inlineStr">
        <is>
          <t>Sem comprovante</t>
        </is>
      </c>
      <c r="O408" t="inlineStr">
        <is>
          <t>Compra no débito - PISTA 2</t>
        </is>
      </c>
    </row>
    <row r="409">
      <c r="A409" s="29" t="n">
        <v>46110</v>
      </c>
      <c r="B409" t="n">
        <v>3</v>
      </c>
      <c r="C409" t="n">
        <v>2026</v>
      </c>
      <c r="D409" t="inlineStr">
        <is>
          <t>Pessoal</t>
        </is>
      </c>
      <c r="E409" t="inlineStr">
        <is>
          <t>Contas Variáveis</t>
        </is>
      </c>
      <c r="F409" t="inlineStr">
        <is>
          <t>Combustível</t>
        </is>
      </c>
      <c r="G409" t="inlineStr">
        <is>
          <t>Despesa</t>
        </is>
      </c>
      <c r="H409" s="3" t="n">
        <v>-60.89</v>
      </c>
      <c r="I409" t="inlineStr">
        <is>
          <t>Débito</t>
        </is>
      </c>
      <c r="J409" t="inlineStr">
        <is>
          <t>Não</t>
        </is>
      </c>
      <c r="K409" t="inlineStr">
        <is>
          <t>Eventual</t>
        </is>
      </c>
      <c r="L409" t="inlineStr"/>
      <c r="M409" t="inlineStr">
        <is>
          <t>Nubank NU_370124875_01MAR2026_31MAR2026.csv</t>
        </is>
      </c>
      <c r="N409" t="inlineStr">
        <is>
          <t>Sem comprovante</t>
        </is>
      </c>
      <c r="O409" t="inlineStr">
        <is>
          <t>Compra no débito - POSTO Z11 LTDA</t>
        </is>
      </c>
    </row>
    <row r="410">
      <c r="A410" s="29" t="n">
        <v>46110</v>
      </c>
      <c r="B410" t="n">
        <v>3</v>
      </c>
      <c r="C410" t="n">
        <v>2026</v>
      </c>
      <c r="D410" t="inlineStr">
        <is>
          <t>Pessoal</t>
        </is>
      </c>
      <c r="E410" t="inlineStr">
        <is>
          <t>Contas Variáveis</t>
        </is>
      </c>
      <c r="F410" t="inlineStr">
        <is>
          <t>Compra no débito</t>
        </is>
      </c>
      <c r="G410" t="inlineStr">
        <is>
          <t>Despesa</t>
        </is>
      </c>
      <c r="H410" s="3" t="n">
        <v>-8</v>
      </c>
      <c r="I410" t="inlineStr">
        <is>
          <t>Débito</t>
        </is>
      </c>
      <c r="J410" t="inlineStr">
        <is>
          <t>Não</t>
        </is>
      </c>
      <c r="K410" t="inlineStr">
        <is>
          <t>Eventual</t>
        </is>
      </c>
      <c r="L410" t="inlineStr"/>
      <c r="M410" t="inlineStr">
        <is>
          <t>Nubank NU_370124875_01MAR2026_31MAR2026.csv</t>
        </is>
      </c>
      <c r="N410" t="inlineStr">
        <is>
          <t>Sem comprovante</t>
        </is>
      </c>
      <c r="O410" t="inlineStr">
        <is>
          <t>Compra no débito - Veronica</t>
        </is>
      </c>
    </row>
    <row r="411">
      <c r="A411" s="29" t="n">
        <v>46111</v>
      </c>
      <c r="B411" t="n">
        <v>3</v>
      </c>
      <c r="C411" t="n">
        <v>2026</v>
      </c>
      <c r="D411" t="inlineStr">
        <is>
          <t>Studio</t>
        </is>
      </c>
      <c r="E411" t="inlineStr">
        <is>
          <t>Receita - Liberação de Crédito</t>
        </is>
      </c>
      <c r="F411" t="inlineStr">
        <is>
          <t>Liberação de Crédito (Studio)</t>
        </is>
      </c>
      <c r="G411" t="inlineStr">
        <is>
          <t>Receita</t>
        </is>
      </c>
      <c r="H411" s="3" t="n">
        <v>483.6</v>
      </c>
      <c r="I411" t="inlineStr">
        <is>
          <t>Outro</t>
        </is>
      </c>
      <c r="J411" t="inlineStr">
        <is>
          <t>Não</t>
        </is>
      </c>
      <c r="K411" t="inlineStr">
        <is>
          <t>Eventual</t>
        </is>
      </c>
      <c r="L411" t="inlineStr"/>
      <c r="M411" t="inlineStr">
        <is>
          <t>Mercado Pago account_statement-8f96e9be-cdd7-4687-acae-7eb11216a39b.xlsx</t>
        </is>
      </c>
      <c r="N411" t="inlineStr">
        <is>
          <t>Recebido</t>
        </is>
      </c>
      <c r="O411" t="inlineStr">
        <is>
          <t>Liberação de dinheiro</t>
        </is>
      </c>
    </row>
    <row r="412">
      <c r="A412" s="29" t="n">
        <v>46111</v>
      </c>
      <c r="B412" t="n">
        <v>3</v>
      </c>
      <c r="C412" t="n">
        <v>2026</v>
      </c>
      <c r="D412" t="inlineStr">
        <is>
          <t>Studio</t>
        </is>
      </c>
      <c r="E412" t="inlineStr">
        <is>
          <t>Receita - Liberação de Crédito</t>
        </is>
      </c>
      <c r="F412" t="inlineStr">
        <is>
          <t>Liberação de Crédito (Studio)</t>
        </is>
      </c>
      <c r="G412" t="inlineStr">
        <is>
          <t>Receita</t>
        </is>
      </c>
      <c r="H412" s="3" t="n">
        <v>502.31</v>
      </c>
      <c r="I412" t="inlineStr">
        <is>
          <t>Outro</t>
        </is>
      </c>
      <c r="J412" t="inlineStr">
        <is>
          <t>Não</t>
        </is>
      </c>
      <c r="K412" t="inlineStr">
        <is>
          <t>Eventual</t>
        </is>
      </c>
      <c r="L412" t="inlineStr"/>
      <c r="M412" t="inlineStr">
        <is>
          <t>Mercado Pago account_statement-8f96e9be-cdd7-4687-acae-7eb11216a39b.xlsx</t>
        </is>
      </c>
      <c r="N412" t="inlineStr">
        <is>
          <t>Recebido</t>
        </is>
      </c>
      <c r="O412" t="inlineStr">
        <is>
          <t>Liberação de dinheiro</t>
        </is>
      </c>
    </row>
    <row r="413">
      <c r="A413" s="29" t="n">
        <v>46111</v>
      </c>
      <c r="B413" t="n">
        <v>3</v>
      </c>
      <c r="C413" t="n">
        <v>2026</v>
      </c>
      <c r="D413" t="inlineStr">
        <is>
          <t>Studio</t>
        </is>
      </c>
      <c r="E413" t="inlineStr">
        <is>
          <t>Receita - Liberação de Crédito</t>
        </is>
      </c>
      <c r="F413" t="inlineStr">
        <is>
          <t>Liberação de Crédito (Studio)</t>
        </is>
      </c>
      <c r="G413" t="inlineStr">
        <is>
          <t>Receita</t>
        </is>
      </c>
      <c r="H413" s="3" t="n">
        <v>661.42</v>
      </c>
      <c r="I413" t="inlineStr">
        <is>
          <t>Outro</t>
        </is>
      </c>
      <c r="J413" t="inlineStr">
        <is>
          <t>Não</t>
        </is>
      </c>
      <c r="K413" t="inlineStr">
        <is>
          <t>Eventual</t>
        </is>
      </c>
      <c r="L413" t="inlineStr"/>
      <c r="M413" t="inlineStr">
        <is>
          <t>Mercado Pago account_statement-8f96e9be-cdd7-4687-acae-7eb11216a39b.xlsx</t>
        </is>
      </c>
      <c r="N413" t="inlineStr">
        <is>
          <t>Recebido</t>
        </is>
      </c>
      <c r="O413" t="inlineStr">
        <is>
          <t>Liberação de dinheiro</t>
        </is>
      </c>
    </row>
    <row r="414">
      <c r="A414" s="29" t="n">
        <v>46111</v>
      </c>
      <c r="B414" t="n">
        <v>3</v>
      </c>
      <c r="C414" t="n">
        <v>2026</v>
      </c>
      <c r="D414" t="inlineStr">
        <is>
          <t>Studio</t>
        </is>
      </c>
      <c r="E414" t="inlineStr">
        <is>
          <t>Receita - Liberação de Crédito</t>
        </is>
      </c>
      <c r="F414" t="inlineStr">
        <is>
          <t>Liberação de Crédito (Studio)</t>
        </is>
      </c>
      <c r="G414" t="inlineStr">
        <is>
          <t>Receita</t>
        </is>
      </c>
      <c r="H414" s="3" t="n">
        <v>750.27</v>
      </c>
      <c r="I414" t="inlineStr">
        <is>
          <t>Outro</t>
        </is>
      </c>
      <c r="J414" t="inlineStr">
        <is>
          <t>Não</t>
        </is>
      </c>
      <c r="K414" t="inlineStr">
        <is>
          <t>Eventual</t>
        </is>
      </c>
      <c r="L414" t="inlineStr"/>
      <c r="M414" t="inlineStr">
        <is>
          <t>Mercado Pago account_statement-8f96e9be-cdd7-4687-acae-7eb11216a39b.xlsx</t>
        </is>
      </c>
      <c r="N414" t="inlineStr">
        <is>
          <t>Recebido</t>
        </is>
      </c>
      <c r="O414" t="inlineStr">
        <is>
          <t>Liberação de dinheiro</t>
        </is>
      </c>
    </row>
    <row r="415">
      <c r="A415" s="29" t="n">
        <v>46111</v>
      </c>
      <c r="B415" t="n">
        <v>3</v>
      </c>
      <c r="C415" t="n">
        <v>2026</v>
      </c>
      <c r="D415" t="inlineStr">
        <is>
          <t>Pessoal</t>
        </is>
      </c>
      <c r="E415" t="inlineStr">
        <is>
          <t>Outros</t>
        </is>
      </c>
      <c r="F415" t="inlineStr">
        <is>
          <t>Compra / Pix Pessoal</t>
        </is>
      </c>
      <c r="G415" t="inlineStr">
        <is>
          <t>Despesa</t>
        </is>
      </c>
      <c r="H415" s="3" t="n">
        <v>-300</v>
      </c>
      <c r="I415" t="inlineStr">
        <is>
          <t>Pix</t>
        </is>
      </c>
      <c r="J415" t="inlineStr">
        <is>
          <t>Não</t>
        </is>
      </c>
      <c r="K415" t="inlineStr">
        <is>
          <t>Eventual</t>
        </is>
      </c>
      <c r="L415" t="inlineStr"/>
      <c r="M415" t="inlineStr">
        <is>
          <t>Mercado Pago account_statement-8f96e9be-cdd7-4687-acae-7eb11216a39b.xlsx</t>
        </is>
      </c>
      <c r="N415" t="inlineStr">
        <is>
          <t>Sem comprovante</t>
        </is>
      </c>
      <c r="O415" t="inlineStr">
        <is>
          <t>Pix enviado Ferencz Keller - Consultorio Odontologico Ss Ltda.</t>
        </is>
      </c>
    </row>
    <row r="416">
      <c r="A416" s="29" t="n">
        <v>46111</v>
      </c>
      <c r="B416" t="n">
        <v>3</v>
      </c>
      <c r="C416" t="n">
        <v>2026</v>
      </c>
      <c r="D416" t="inlineStr">
        <is>
          <t>Studio</t>
        </is>
      </c>
      <c r="E416" t="inlineStr">
        <is>
          <t>Pessoal</t>
        </is>
      </c>
      <c r="F416" t="inlineStr">
        <is>
          <t>Neemias</t>
        </is>
      </c>
      <c r="G416" t="inlineStr">
        <is>
          <t>Despesa</t>
        </is>
      </c>
      <c r="H416" s="3" t="n">
        <v>-350</v>
      </c>
      <c r="I416" t="inlineStr">
        <is>
          <t>Pix</t>
        </is>
      </c>
      <c r="J416" t="inlineStr">
        <is>
          <t>Não</t>
        </is>
      </c>
      <c r="K416" t="inlineStr">
        <is>
          <t>Eventual</t>
        </is>
      </c>
      <c r="L416" t="inlineStr"/>
      <c r="M416" t="inlineStr">
        <is>
          <t>Mercado Pago account_statement-8f96e9be-cdd7-4687-acae-7eb11216a39b.xlsx</t>
        </is>
      </c>
      <c r="N416" t="inlineStr">
        <is>
          <t>Sem comprovante</t>
        </is>
      </c>
      <c r="O416" t="inlineStr">
        <is>
          <t>Pix enviado Neemias Marques de Oliveira</t>
        </is>
      </c>
    </row>
    <row r="417">
      <c r="A417" s="29" t="n">
        <v>46111</v>
      </c>
      <c r="B417" t="n">
        <v>3</v>
      </c>
      <c r="C417" t="n">
        <v>2026</v>
      </c>
      <c r="D417" t="inlineStr">
        <is>
          <t>Pessoal</t>
        </is>
      </c>
      <c r="E417" t="inlineStr">
        <is>
          <t>Pessoal</t>
        </is>
      </c>
      <c r="F417" t="inlineStr">
        <is>
          <t>Simone (Casa)</t>
        </is>
      </c>
      <c r="G417" t="inlineStr">
        <is>
          <t>Despesa</t>
        </is>
      </c>
      <c r="H417" s="3" t="n">
        <v>-50</v>
      </c>
      <c r="I417" t="inlineStr">
        <is>
          <t>Pix</t>
        </is>
      </c>
      <c r="J417" t="inlineStr">
        <is>
          <t>Não</t>
        </is>
      </c>
      <c r="K417" t="inlineStr">
        <is>
          <t>Eventual</t>
        </is>
      </c>
      <c r="L417" t="inlineStr"/>
      <c r="M417" t="inlineStr">
        <is>
          <t>Mercado Pago account_statement-8f96e9be-cdd7-4687-acae-7eb11216a39b.xlsx</t>
        </is>
      </c>
      <c r="N417" t="inlineStr">
        <is>
          <t>Sem comprovante</t>
        </is>
      </c>
      <c r="O417" t="inlineStr">
        <is>
          <t>Pix enviado Simone Muniz Martins de Moura</t>
        </is>
      </c>
    </row>
    <row r="418">
      <c r="A418" s="29" t="n">
        <v>46112</v>
      </c>
      <c r="B418" t="n">
        <v>3</v>
      </c>
      <c r="C418" t="n">
        <v>2026</v>
      </c>
      <c r="D418" t="inlineStr">
        <is>
          <t>Studio</t>
        </is>
      </c>
      <c r="E418" t="inlineStr">
        <is>
          <t>Outros</t>
        </is>
      </c>
      <c r="F418" t="inlineStr">
        <is>
          <t>Pagamento Cartão Nubank</t>
        </is>
      </c>
      <c r="G418" t="inlineStr">
        <is>
          <t>Despesa</t>
        </is>
      </c>
      <c r="H418" s="3" t="n">
        <v>-2841.24</v>
      </c>
      <c r="I418" t="inlineStr">
        <is>
          <t>Pix</t>
        </is>
      </c>
      <c r="J418" t="inlineStr">
        <is>
          <t>Não</t>
        </is>
      </c>
      <c r="K418" t="inlineStr">
        <is>
          <t>Eventual</t>
        </is>
      </c>
      <c r="L418" t="inlineStr"/>
      <c r="M418" t="inlineStr">
        <is>
          <t>Mercado Pago account_statement-8f96e9be-cdd7-4687-acae-7eb11216a39b.xlsx</t>
        </is>
      </c>
      <c r="N418" t="inlineStr">
        <is>
          <t>Sem comprovante</t>
        </is>
      </c>
      <c r="O418" t="inlineStr">
        <is>
          <t>Pagamento com QR Pix NU PAGAMENTOS SA</t>
        </is>
      </c>
    </row>
    <row r="419">
      <c r="A419" s="29" t="n">
        <v>46112</v>
      </c>
      <c r="B419" t="n">
        <v>3</v>
      </c>
      <c r="C419" t="n">
        <v>2026</v>
      </c>
      <c r="D419" t="inlineStr">
        <is>
          <t>Studio</t>
        </is>
      </c>
      <c r="E419" t="inlineStr">
        <is>
          <t>Outros</t>
        </is>
      </c>
      <c r="F419" t="inlineStr">
        <is>
          <t>Pagamento Cartão Bradesco</t>
        </is>
      </c>
      <c r="G419" t="inlineStr">
        <is>
          <t>Despesa</t>
        </is>
      </c>
      <c r="H419" s="3" t="n">
        <v>-166.78</v>
      </c>
      <c r="I419" t="inlineStr">
        <is>
          <t>Boleto</t>
        </is>
      </c>
      <c r="J419" t="inlineStr">
        <is>
          <t>Não</t>
        </is>
      </c>
      <c r="K419" t="inlineStr">
        <is>
          <t>Eventual</t>
        </is>
      </c>
      <c r="L419" t="inlineStr"/>
      <c r="M419" t="inlineStr">
        <is>
          <t>Mercado Pago account_statement-8f96e9be-cdd7-4687-acae-7eb11216a39b.xlsx</t>
        </is>
      </c>
      <c r="N419" t="inlineStr">
        <is>
          <t>Sem comprovante</t>
        </is>
      </c>
      <c r="O419" t="inlineStr">
        <is>
          <t>Pagamento de conta Banco Bradesco S.A.</t>
        </is>
      </c>
    </row>
    <row r="420">
      <c r="A420" s="29" t="n">
        <v>46112</v>
      </c>
      <c r="B420" t="n">
        <v>3</v>
      </c>
      <c r="C420" t="n">
        <v>2026</v>
      </c>
      <c r="D420" t="inlineStr">
        <is>
          <t>Studio</t>
        </is>
      </c>
      <c r="E420" t="inlineStr">
        <is>
          <t>Receita - Clientes Studio</t>
        </is>
      </c>
      <c r="F420" t="inlineStr">
        <is>
          <t>Pix recebido (cliente)</t>
        </is>
      </c>
      <c r="G420" t="inlineStr">
        <is>
          <t>Receita</t>
        </is>
      </c>
      <c r="H420" s="3" t="n">
        <v>300</v>
      </c>
      <c r="I420" t="inlineStr">
        <is>
          <t>Pix</t>
        </is>
      </c>
      <c r="J420" t="inlineStr">
        <is>
          <t>Não</t>
        </is>
      </c>
      <c r="K420" t="inlineStr">
        <is>
          <t>Eventual</t>
        </is>
      </c>
      <c r="L420" t="inlineStr"/>
      <c r="M420" t="inlineStr">
        <is>
          <t>Mercado Pago account_statement-8f96e9be-cdd7-4687-acae-7eb11216a39b.xlsx</t>
        </is>
      </c>
      <c r="N420" t="inlineStr">
        <is>
          <t>Recebido</t>
        </is>
      </c>
      <c r="O420" t="inlineStr">
        <is>
          <t>Pix recebido FERENCZ  KELLER  CONSULTORIO ODONTOLOGICO SS LTDA.</t>
        </is>
      </c>
    </row>
    <row r="421">
      <c r="A421" s="29" t="n">
        <v>46112</v>
      </c>
      <c r="B421" t="n">
        <v>3</v>
      </c>
      <c r="C421" t="n">
        <v>2026</v>
      </c>
      <c r="D421" t="inlineStr">
        <is>
          <t>Geral</t>
        </is>
      </c>
      <c r="E421" t="inlineStr">
        <is>
          <t>Outros</t>
        </is>
      </c>
      <c r="F421" t="inlineStr">
        <is>
          <t>Maçonaria / Loja Simbólica</t>
        </is>
      </c>
      <c r="G421" t="inlineStr">
        <is>
          <t>Despesa</t>
        </is>
      </c>
      <c r="H421" s="3" t="n">
        <v>-10</v>
      </c>
      <c r="I421" t="inlineStr">
        <is>
          <t>Pix</t>
        </is>
      </c>
      <c r="J421" t="inlineStr">
        <is>
          <t>Não</t>
        </is>
      </c>
      <c r="K421" t="inlineStr">
        <is>
          <t>Eventual</t>
        </is>
      </c>
      <c r="L421" t="inlineStr"/>
      <c r="M421" t="inlineStr">
        <is>
          <t>Nubank NU_370124875_01MAR2026_31MAR2026.csv</t>
        </is>
      </c>
      <c r="N421" t="inlineStr">
        <is>
          <t>Sem comprovante</t>
        </is>
      </c>
      <c r="O421" t="inlineStr">
        <is>
          <t>Transferência enviada pelo Pix - AUGUSTA E RESPEITAVEL LOJA SIMBOLICA OBR - 01.361.920/0001-06 - BCO BRADESCO S.A. (0237) Agência: 929 Conta: 45825-2</t>
        </is>
      </c>
    </row>
    <row r="422">
      <c r="A422" s="29" t="n">
        <v>46112</v>
      </c>
      <c r="B422" t="n">
        <v>3</v>
      </c>
      <c r="C422" t="n">
        <v>2026</v>
      </c>
      <c r="D422" t="inlineStr">
        <is>
          <t>Geral</t>
        </is>
      </c>
      <c r="E422" t="inlineStr">
        <is>
          <t>Outros</t>
        </is>
      </c>
      <c r="F422" t="inlineStr">
        <is>
          <t>Transferência Pix Enviada</t>
        </is>
      </c>
      <c r="G422" t="inlineStr">
        <is>
          <t>Despesa</t>
        </is>
      </c>
      <c r="H422" s="3" t="n">
        <v>-18</v>
      </c>
      <c r="I422" t="inlineStr">
        <is>
          <t>Pix</t>
        </is>
      </c>
      <c r="J422" t="inlineStr">
        <is>
          <t>Não</t>
        </is>
      </c>
      <c r="K422" t="inlineStr">
        <is>
          <t>Eventual</t>
        </is>
      </c>
      <c r="L422" t="inlineStr"/>
      <c r="M422" t="inlineStr">
        <is>
          <t>Nubank NU_370124875_01MAR2026_31MAR2026.csv</t>
        </is>
      </c>
      <c r="N422" t="inlineStr">
        <is>
          <t>Sem comprovante</t>
        </is>
      </c>
      <c r="O422" t="inlineStr">
        <is>
          <t>Transferência enviada pelo Pix - CAIXA INSTANTANEA S.A. - 24.038.490/0001-83 - CAIXA ECONOMICA FEDERAL (0104) Agência: 647 Conta: 9999000309224038490-1</t>
        </is>
      </c>
    </row>
    <row r="423">
      <c r="A423" s="29" t="n">
        <v>46114</v>
      </c>
      <c r="B423" t="n">
        <v>4</v>
      </c>
      <c r="C423" t="n">
        <v>2026</v>
      </c>
      <c r="D423" t="inlineStr">
        <is>
          <t>Pessoal</t>
        </is>
      </c>
      <c r="E423" t="inlineStr">
        <is>
          <t>Contas Variáveis</t>
        </is>
      </c>
      <c r="F423" t="inlineStr">
        <is>
          <t>Farmácia</t>
        </is>
      </c>
      <c r="G423" t="inlineStr">
        <is>
          <t>Despesa</t>
        </is>
      </c>
      <c r="H423" s="3" t="n">
        <v>-15</v>
      </c>
      <c r="I423" t="inlineStr">
        <is>
          <t>Débito</t>
        </is>
      </c>
      <c r="J423" t="inlineStr">
        <is>
          <t>Não</t>
        </is>
      </c>
      <c r="K423" t="inlineStr">
        <is>
          <t>Eventual</t>
        </is>
      </c>
      <c r="L423" t="inlineStr"/>
      <c r="M423" t="inlineStr">
        <is>
          <t>Nubank NU_370124875_01ABR2026_30ABR2026.csv</t>
        </is>
      </c>
      <c r="N423" t="inlineStr">
        <is>
          <t>Sem comprovante</t>
        </is>
      </c>
      <c r="O423" t="inlineStr">
        <is>
          <t>Compra no débito - Farmais</t>
        </is>
      </c>
    </row>
    <row r="424">
      <c r="A424" s="29" t="n">
        <v>46114</v>
      </c>
      <c r="B424" t="n">
        <v>4</v>
      </c>
      <c r="C424" t="n">
        <v>2026</v>
      </c>
      <c r="D424" t="inlineStr">
        <is>
          <t>Geral</t>
        </is>
      </c>
      <c r="E424" t="inlineStr">
        <is>
          <t>Pessoal</t>
        </is>
      </c>
      <c r="F424" t="inlineStr">
        <is>
          <t>Bruno Luiz (familiar)</t>
        </is>
      </c>
      <c r="G424" t="inlineStr">
        <is>
          <t>Despesa</t>
        </is>
      </c>
      <c r="H424" s="3" t="n">
        <v>-200</v>
      </c>
      <c r="I424" t="inlineStr">
        <is>
          <t>Pix</t>
        </is>
      </c>
      <c r="J424" t="inlineStr">
        <is>
          <t>Não</t>
        </is>
      </c>
      <c r="K424" t="inlineStr">
        <is>
          <t>Eventual</t>
        </is>
      </c>
      <c r="L424" t="inlineStr"/>
      <c r="M424" t="inlineStr">
        <is>
          <t>Nubank NU_370124875_01ABR2026_30ABR2026.csv</t>
        </is>
      </c>
      <c r="N424" t="inlineStr">
        <is>
          <t>Sem comprovante</t>
        </is>
      </c>
      <c r="O424" t="inlineStr">
        <is>
          <t>Transferência enviada pelo Pix - BRUNO LUIZ SASTRE SEUS JUNIOR - •••.516.739-•• - BCO BRADESCO S.A. (0237) Agência: 3925 Conta: 165900-6</t>
        </is>
      </c>
    </row>
    <row r="425">
      <c r="A425" s="29" t="n">
        <v>46115</v>
      </c>
      <c r="B425" t="n">
        <v>4</v>
      </c>
      <c r="C425" t="n">
        <v>2026</v>
      </c>
      <c r="D425" t="inlineStr">
        <is>
          <t>Pessoal</t>
        </is>
      </c>
      <c r="E425" t="inlineStr">
        <is>
          <t>Contas Variáveis</t>
        </is>
      </c>
      <c r="F425" t="inlineStr">
        <is>
          <t>Restaurante / Lazer</t>
        </is>
      </c>
      <c r="G425" t="inlineStr">
        <is>
          <t>Despesa</t>
        </is>
      </c>
      <c r="H425" s="3" t="n">
        <v>-15</v>
      </c>
      <c r="I425" t="inlineStr">
        <is>
          <t>Débito</t>
        </is>
      </c>
      <c r="J425" t="inlineStr">
        <is>
          <t>Não</t>
        </is>
      </c>
      <c r="K425" t="inlineStr">
        <is>
          <t>Eventual</t>
        </is>
      </c>
      <c r="L425" t="inlineStr"/>
      <c r="M425" t="inlineStr">
        <is>
          <t>Nubank NU_370124875_01ABR2026_30ABR2026.csv</t>
        </is>
      </c>
      <c r="N425" t="inlineStr">
        <is>
          <t>Sem comprovante</t>
        </is>
      </c>
      <c r="O425" t="inlineStr">
        <is>
          <t>Compra no débito - VaniaSantanaDa</t>
        </is>
      </c>
    </row>
    <row r="426">
      <c r="A426" s="29" t="n">
        <v>46116</v>
      </c>
      <c r="B426" t="n">
        <v>4</v>
      </c>
      <c r="C426" t="n">
        <v>2026</v>
      </c>
      <c r="D426" t="inlineStr">
        <is>
          <t>Pessoal</t>
        </is>
      </c>
      <c r="E426" t="inlineStr">
        <is>
          <t>Contas Variáveis</t>
        </is>
      </c>
      <c r="F426" t="inlineStr">
        <is>
          <t>Materiais / Construção</t>
        </is>
      </c>
      <c r="G426" t="inlineStr">
        <is>
          <t>Despesa</t>
        </is>
      </c>
      <c r="H426" s="3" t="n">
        <v>-18.9</v>
      </c>
      <c r="I426" t="inlineStr">
        <is>
          <t>Débito</t>
        </is>
      </c>
      <c r="J426" t="inlineStr">
        <is>
          <t>Não</t>
        </is>
      </c>
      <c r="K426" t="inlineStr">
        <is>
          <t>Eventual</t>
        </is>
      </c>
      <c r="L426" t="inlineStr"/>
      <c r="M426" t="inlineStr">
        <is>
          <t>Nubank NU_370124875_01ABR2026_30ABR2026.csv</t>
        </is>
      </c>
      <c r="N426" t="inlineStr">
        <is>
          <t>Sem comprovante</t>
        </is>
      </c>
      <c r="O426" t="inlineStr">
        <is>
          <t>Compra no débito - CLOVAO LAR E CONSTRU</t>
        </is>
      </c>
    </row>
    <row r="427">
      <c r="A427" s="29" t="n">
        <v>46116</v>
      </c>
      <c r="B427" t="n">
        <v>4</v>
      </c>
      <c r="C427" t="n">
        <v>2026</v>
      </c>
      <c r="D427" t="inlineStr">
        <is>
          <t>Pessoal</t>
        </is>
      </c>
      <c r="E427" t="inlineStr">
        <is>
          <t>Contas Variáveis</t>
        </is>
      </c>
      <c r="F427" t="inlineStr">
        <is>
          <t>Restaurante / Alimentação</t>
        </is>
      </c>
      <c r="G427" t="inlineStr">
        <is>
          <t>Despesa</t>
        </is>
      </c>
      <c r="H427" s="3" t="n">
        <v>-30</v>
      </c>
      <c r="I427" t="inlineStr">
        <is>
          <t>Débito</t>
        </is>
      </c>
      <c r="J427" t="inlineStr">
        <is>
          <t>Não</t>
        </is>
      </c>
      <c r="K427" t="inlineStr">
        <is>
          <t>Eventual</t>
        </is>
      </c>
      <c r="L427" t="inlineStr"/>
      <c r="M427" t="inlineStr">
        <is>
          <t>Nubank NU_370124875_01ABR2026_30ABR2026.csv</t>
        </is>
      </c>
      <c r="N427" t="inlineStr">
        <is>
          <t>Sem comprovante</t>
        </is>
      </c>
      <c r="O427" t="inlineStr">
        <is>
          <t>Compra no débito - ChicoGrill</t>
        </is>
      </c>
    </row>
    <row r="428">
      <c r="A428" s="29" t="n">
        <v>46116</v>
      </c>
      <c r="B428" t="n">
        <v>4</v>
      </c>
      <c r="C428" t="n">
        <v>2026</v>
      </c>
      <c r="D428" t="inlineStr">
        <is>
          <t>Geral</t>
        </is>
      </c>
      <c r="E428" t="inlineStr">
        <is>
          <t>Contas Fixas</t>
        </is>
      </c>
      <c r="F428" t="inlineStr">
        <is>
          <t>Assinatura Spotify</t>
        </is>
      </c>
      <c r="G428" t="inlineStr">
        <is>
          <t>Despesa</t>
        </is>
      </c>
      <c r="H428" s="3" t="n">
        <v>-40.9</v>
      </c>
      <c r="I428" t="inlineStr">
        <is>
          <t>Débito</t>
        </is>
      </c>
      <c r="J428" t="inlineStr">
        <is>
          <t>Sim</t>
        </is>
      </c>
      <c r="K428" t="inlineStr">
        <is>
          <t>Mensal</t>
        </is>
      </c>
      <c r="L428" t="inlineStr"/>
      <c r="M428" t="inlineStr">
        <is>
          <t>Nubank NU_370124875_01ABR2026_30ABR2026.csv</t>
        </is>
      </c>
      <c r="N428" t="inlineStr">
        <is>
          <t>Sem comprovante</t>
        </is>
      </c>
      <c r="O428" t="inlineStr">
        <is>
          <t>Compra no débito via NuPay - EBW*Spotify</t>
        </is>
      </c>
    </row>
    <row r="429">
      <c r="A429" s="29" t="n">
        <v>46118</v>
      </c>
      <c r="B429" t="n">
        <v>4</v>
      </c>
      <c r="C429" t="n">
        <v>2026</v>
      </c>
      <c r="D429" t="inlineStr">
        <is>
          <t>Pessoal</t>
        </is>
      </c>
      <c r="E429" t="inlineStr">
        <is>
          <t>Contas Variáveis</t>
        </is>
      </c>
      <c r="F429" t="inlineStr">
        <is>
          <t>Compra no débito</t>
        </is>
      </c>
      <c r="G429" t="inlineStr">
        <is>
          <t>Despesa</t>
        </is>
      </c>
      <c r="H429" s="3" t="n">
        <v>-17.54</v>
      </c>
      <c r="I429" t="inlineStr">
        <is>
          <t>Débito</t>
        </is>
      </c>
      <c r="J429" t="inlineStr">
        <is>
          <t>Não</t>
        </is>
      </c>
      <c r="K429" t="inlineStr">
        <is>
          <t>Eventual</t>
        </is>
      </c>
      <c r="L429" t="inlineStr"/>
      <c r="M429" t="inlineStr">
        <is>
          <t>Nubank NU_370124875_01ABR2026_30ABR2026.csv</t>
        </is>
      </c>
      <c r="N429" t="inlineStr">
        <is>
          <t>Sem comprovante</t>
        </is>
      </c>
      <c r="O429" t="inlineStr">
        <is>
          <t>Compra no débito - VICPAES</t>
        </is>
      </c>
    </row>
    <row r="430">
      <c r="A430" s="29" t="n">
        <v>46118</v>
      </c>
      <c r="B430" t="n">
        <v>4</v>
      </c>
      <c r="C430" t="n">
        <v>2026</v>
      </c>
      <c r="D430" t="inlineStr">
        <is>
          <t>Geral</t>
        </is>
      </c>
      <c r="E430" t="inlineStr">
        <is>
          <t>Outros</t>
        </is>
      </c>
      <c r="F430" t="inlineStr">
        <is>
          <t>Transferência Pix Enviada</t>
        </is>
      </c>
      <c r="G430" t="inlineStr">
        <is>
          <t>Despesa</t>
        </is>
      </c>
      <c r="H430" s="3" t="n">
        <v>-150</v>
      </c>
      <c r="I430" t="inlineStr">
        <is>
          <t>Pix</t>
        </is>
      </c>
      <c r="J430" t="inlineStr">
        <is>
          <t>Não</t>
        </is>
      </c>
      <c r="K430" t="inlineStr">
        <is>
          <t>Eventual</t>
        </is>
      </c>
      <c r="L430" t="inlineStr"/>
      <c r="M430" t="inlineStr">
        <is>
          <t>Nubank NU_370124875_01ABR2026_30ABR2026.csv</t>
        </is>
      </c>
      <c r="N430" t="inlineStr">
        <is>
          <t>Sem comprovante</t>
        </is>
      </c>
      <c r="O430" t="inlineStr">
        <is>
          <t>Transferência enviada pelo Pix - Leonardo Munhoz Lucio - •••.391.699-•• - NU PAGAMENTOS - IP (0260) Agência: 1 Conta: 68494942-4</t>
        </is>
      </c>
    </row>
    <row r="431">
      <c r="A431" s="29" t="n">
        <v>46118</v>
      </c>
      <c r="B431" t="n">
        <v>4</v>
      </c>
      <c r="C431" t="n">
        <v>2026</v>
      </c>
      <c r="D431" t="inlineStr">
        <is>
          <t>Studio</t>
        </is>
      </c>
      <c r="E431" t="inlineStr">
        <is>
          <t>Receita - Midialike</t>
        </is>
      </c>
      <c r="F431" t="inlineStr">
        <is>
          <t>Depósito Midialike</t>
        </is>
      </c>
      <c r="G431" t="inlineStr">
        <is>
          <t>Receita</t>
        </is>
      </c>
      <c r="H431" s="3" t="n">
        <v>600</v>
      </c>
      <c r="I431" t="inlineStr">
        <is>
          <t>Pix</t>
        </is>
      </c>
      <c r="J431" t="inlineStr">
        <is>
          <t>Sim</t>
        </is>
      </c>
      <c r="K431" t="inlineStr">
        <is>
          <t>Mensal</t>
        </is>
      </c>
      <c r="L431" t="inlineStr"/>
      <c r="M431" t="inlineStr">
        <is>
          <t>Nubank NU_370124875_01ABR2026_30ABR2026.csv</t>
        </is>
      </c>
      <c r="N431" t="inlineStr">
        <is>
          <t>Recebido</t>
        </is>
      </c>
      <c r="O431" t="inlineStr">
        <is>
          <t>Transferência recebida pelo Pix - MIDIA LIKE LTDA - 17.930.007/0001-05 - BCO C6 S.A. (0336) Agência: 1 Conta: 31709544-7</t>
        </is>
      </c>
    </row>
    <row r="432">
      <c r="A432" s="29" t="n">
        <v>46119</v>
      </c>
      <c r="B432" t="n">
        <v>4</v>
      </c>
      <c r="C432" t="n">
        <v>2026</v>
      </c>
      <c r="D432" t="inlineStr">
        <is>
          <t>Geral</t>
        </is>
      </c>
      <c r="E432" t="inlineStr">
        <is>
          <t>Outros</t>
        </is>
      </c>
      <c r="F432" t="inlineStr">
        <is>
          <t>Transferência Pix Enviada</t>
        </is>
      </c>
      <c r="G432" t="inlineStr">
        <is>
          <t>Despesa</t>
        </is>
      </c>
      <c r="H432" s="3" t="n">
        <v>-140</v>
      </c>
      <c r="I432" t="inlineStr">
        <is>
          <t>Pix</t>
        </is>
      </c>
      <c r="J432" t="inlineStr">
        <is>
          <t>Não</t>
        </is>
      </c>
      <c r="K432" t="inlineStr">
        <is>
          <t>Eventual</t>
        </is>
      </c>
      <c r="L432" t="inlineStr"/>
      <c r="M432" t="inlineStr">
        <is>
          <t>Nubank NU_370124875_01ABR2026_30ABR2026.csv</t>
        </is>
      </c>
      <c r="N432" t="inlineStr">
        <is>
          <t>Sem comprovante</t>
        </is>
      </c>
      <c r="O432" t="inlineStr">
        <is>
          <t>Transferência enviada pelo Pix - RENATO ANGELO SAO PEDRO - •••.840.869-•• - ITAÚ UNIBANCO S.A. (0341) Agência: 3377 Conta: 73373-2</t>
        </is>
      </c>
    </row>
    <row r="433">
      <c r="A433" s="29" t="n">
        <v>46120</v>
      </c>
      <c r="B433" t="n">
        <v>4</v>
      </c>
      <c r="C433" t="n">
        <v>2026</v>
      </c>
      <c r="D433" t="inlineStr">
        <is>
          <t>Studio</t>
        </is>
      </c>
      <c r="E433" t="inlineStr">
        <is>
          <t>Contas Fixas</t>
        </is>
      </c>
      <c r="F433" t="inlineStr">
        <is>
          <t>Internet / Telecom</t>
        </is>
      </c>
      <c r="G433" t="inlineStr">
        <is>
          <t>Despesa</t>
        </is>
      </c>
      <c r="H433" s="3" t="n">
        <v>-281.1</v>
      </c>
      <c r="I433" t="inlineStr">
        <is>
          <t>Outro</t>
        </is>
      </c>
      <c r="J433" t="inlineStr">
        <is>
          <t>Sim</t>
        </is>
      </c>
      <c r="K433" t="inlineStr">
        <is>
          <t>Mensal</t>
        </is>
      </c>
      <c r="L433" t="inlineStr"/>
      <c r="M433" t="inlineStr">
        <is>
          <t>Nubank NU_370124875_01ABR2026_30ABR2026.csv</t>
        </is>
      </c>
      <c r="N433" t="inlineStr">
        <is>
          <t>Sem comprovante</t>
        </is>
      </c>
      <c r="O433" t="inlineStr">
        <is>
          <t>Resgate de empréstimo</t>
        </is>
      </c>
    </row>
    <row r="434">
      <c r="A434" s="29" t="n">
        <v>46120</v>
      </c>
      <c r="B434" t="n">
        <v>4</v>
      </c>
      <c r="C434" t="n">
        <v>2026</v>
      </c>
      <c r="D434" t="inlineStr">
        <is>
          <t>Geral</t>
        </is>
      </c>
      <c r="E434" t="inlineStr">
        <is>
          <t>Outros</t>
        </is>
      </c>
      <c r="F434" t="inlineStr">
        <is>
          <t>Maçonaria / Loja Simbólica</t>
        </is>
      </c>
      <c r="G434" t="inlineStr">
        <is>
          <t>Despesa</t>
        </is>
      </c>
      <c r="H434" s="3" t="n">
        <v>-200</v>
      </c>
      <c r="I434" t="inlineStr">
        <is>
          <t>Pix</t>
        </is>
      </c>
      <c r="J434" t="inlineStr">
        <is>
          <t>Não</t>
        </is>
      </c>
      <c r="K434" t="inlineStr">
        <is>
          <t>Eventual</t>
        </is>
      </c>
      <c r="L434" t="inlineStr"/>
      <c r="M434" t="inlineStr">
        <is>
          <t>Nubank NU_370124875_01ABR2026_30ABR2026.csv</t>
        </is>
      </c>
      <c r="N434" t="inlineStr">
        <is>
          <t>Sem comprovante</t>
        </is>
      </c>
      <c r="O434" t="inlineStr">
        <is>
          <t>Transferência enviada pelo Pix - AUGUSTA E RESPEITAVEL LOJA SIMBOLICA OBR - 01.361.920/0001-06 - BCO BRADESCO S.A. (0237) Agência: 929 Conta: 45825-2</t>
        </is>
      </c>
    </row>
    <row r="435">
      <c r="A435" s="29" t="n">
        <v>46120</v>
      </c>
      <c r="B435" t="n">
        <v>4</v>
      </c>
      <c r="C435" t="n">
        <v>2026</v>
      </c>
      <c r="D435" t="inlineStr">
        <is>
          <t>Studio</t>
        </is>
      </c>
      <c r="E435" t="inlineStr">
        <is>
          <t>Receita - Midialike</t>
        </is>
      </c>
      <c r="F435" t="inlineStr">
        <is>
          <t>Depósito Midialike</t>
        </is>
      </c>
      <c r="G435" t="inlineStr">
        <is>
          <t>Receita</t>
        </is>
      </c>
      <c r="H435" s="3" t="n">
        <v>450</v>
      </c>
      <c r="I435" t="inlineStr">
        <is>
          <t>Pix</t>
        </is>
      </c>
      <c r="J435" t="inlineStr">
        <is>
          <t>Sim</t>
        </is>
      </c>
      <c r="K435" t="inlineStr">
        <is>
          <t>Mensal</t>
        </is>
      </c>
      <c r="L435" t="inlineStr"/>
      <c r="M435" t="inlineStr">
        <is>
          <t>Nubank NU_370124875_01ABR2026_30ABR2026.csv</t>
        </is>
      </c>
      <c r="N435" t="inlineStr">
        <is>
          <t>Recebido</t>
        </is>
      </c>
      <c r="O435" t="inlineStr">
        <is>
          <t>Transferência recebida pelo Pix - MIDIA LIKE LTDA - 17.930.007/0001-05 - BCO C6 S.A. (0336) Agência: 1 Conta: 31709544-7</t>
        </is>
      </c>
    </row>
    <row r="436">
      <c r="A436" s="29" t="n">
        <v>46121</v>
      </c>
      <c r="B436" t="n">
        <v>4</v>
      </c>
      <c r="C436" t="n">
        <v>2026</v>
      </c>
      <c r="D436" t="inlineStr">
        <is>
          <t>Pessoal</t>
        </is>
      </c>
      <c r="E436" t="inlineStr">
        <is>
          <t>Contas Variáveis</t>
        </is>
      </c>
      <c r="F436" t="inlineStr">
        <is>
          <t>Compra no débito</t>
        </is>
      </c>
      <c r="G436" t="inlineStr">
        <is>
          <t>Despesa</t>
        </is>
      </c>
      <c r="H436" s="3" t="n">
        <v>-35</v>
      </c>
      <c r="I436" t="inlineStr">
        <is>
          <t>Débito</t>
        </is>
      </c>
      <c r="J436" t="inlineStr">
        <is>
          <t>Não</t>
        </is>
      </c>
      <c r="K436" t="inlineStr">
        <is>
          <t>Eventual</t>
        </is>
      </c>
      <c r="L436" t="inlineStr"/>
      <c r="M436" t="inlineStr">
        <is>
          <t>Nubank NU_370124875_01ABR2026_30ABR2026.csv</t>
        </is>
      </c>
      <c r="N436" t="inlineStr">
        <is>
          <t>Sem comprovante</t>
        </is>
      </c>
      <c r="O436" t="inlineStr">
        <is>
          <t>Compra no débito - MP *LINHAFINAROSI</t>
        </is>
      </c>
    </row>
    <row r="437">
      <c r="A437" s="29" t="n">
        <v>46121</v>
      </c>
      <c r="B437" t="n">
        <v>4</v>
      </c>
      <c r="C437" t="n">
        <v>2026</v>
      </c>
      <c r="D437" t="inlineStr">
        <is>
          <t>Pessoal</t>
        </is>
      </c>
      <c r="E437" t="inlineStr">
        <is>
          <t>Outros</t>
        </is>
      </c>
      <c r="F437" t="inlineStr">
        <is>
          <t>Compra / Pix Pessoal</t>
        </is>
      </c>
      <c r="G437" t="inlineStr">
        <is>
          <t>Despesa</t>
        </is>
      </c>
      <c r="H437" s="3" t="n">
        <v>-150</v>
      </c>
      <c r="I437" t="inlineStr">
        <is>
          <t>Pix</t>
        </is>
      </c>
      <c r="J437" t="inlineStr">
        <is>
          <t>Não</t>
        </is>
      </c>
      <c r="K437" t="inlineStr">
        <is>
          <t>Eventual</t>
        </is>
      </c>
      <c r="L437" t="inlineStr"/>
      <c r="M437" t="inlineStr">
        <is>
          <t>Nubank NU_370124875_01ABR2026_30ABR2026.csv</t>
        </is>
      </c>
      <c r="N437" t="inlineStr">
        <is>
          <t>Sem comprovante</t>
        </is>
      </c>
      <c r="O437" t="inlineStr">
        <is>
          <t>Transferência enviada pelo Pix - CENTRAL DO PORTAO LTDA - 33.529.014/0001-56 - BANCO BTG PACTUAL S.A. (0208) Agência: 50 Conta: 810585-4</t>
        </is>
      </c>
    </row>
    <row r="438">
      <c r="A438" s="29" t="n">
        <v>46122</v>
      </c>
      <c r="B438" t="n">
        <v>4</v>
      </c>
      <c r="C438" t="n">
        <v>2026</v>
      </c>
      <c r="D438" t="inlineStr">
        <is>
          <t>Studio</t>
        </is>
      </c>
      <c r="E438" t="inlineStr">
        <is>
          <t>Contas Fixas</t>
        </is>
      </c>
      <c r="F438" t="inlineStr">
        <is>
          <t>Estacionamento Studio</t>
        </is>
      </c>
      <c r="G438" t="inlineStr">
        <is>
          <t>Despesa</t>
        </is>
      </c>
      <c r="H438" s="3" t="n">
        <v>-21</v>
      </c>
      <c r="I438" t="inlineStr">
        <is>
          <t>Débito</t>
        </is>
      </c>
      <c r="J438" t="inlineStr">
        <is>
          <t>Sim</t>
        </is>
      </c>
      <c r="K438" t="inlineStr">
        <is>
          <t>Mensal</t>
        </is>
      </c>
      <c r="L438" t="inlineStr"/>
      <c r="M438" t="inlineStr">
        <is>
          <t>Nubank NU_370124875_01ABR2026_30ABR2026.csv</t>
        </is>
      </c>
      <c r="N438" t="inlineStr">
        <is>
          <t>Sem comprovante</t>
        </is>
      </c>
      <c r="O438" t="inlineStr">
        <is>
          <t>Compra no débito - ALLPARK EMPREENDIMENTO</t>
        </is>
      </c>
    </row>
    <row r="439">
      <c r="A439" s="29" t="n">
        <v>46122</v>
      </c>
      <c r="B439" t="n">
        <v>4</v>
      </c>
      <c r="C439" t="n">
        <v>2026</v>
      </c>
      <c r="D439" t="inlineStr">
        <is>
          <t>Pessoal</t>
        </is>
      </c>
      <c r="E439" t="inlineStr">
        <is>
          <t>Contas Variáveis</t>
        </is>
      </c>
      <c r="F439" t="inlineStr">
        <is>
          <t>Lazer / Compras</t>
        </is>
      </c>
      <c r="G439" t="inlineStr">
        <is>
          <t>Despesa</t>
        </is>
      </c>
      <c r="H439" s="3" t="n">
        <v>-25</v>
      </c>
      <c r="I439" t="inlineStr">
        <is>
          <t>Débito</t>
        </is>
      </c>
      <c r="J439" t="inlineStr">
        <is>
          <t>Não</t>
        </is>
      </c>
      <c r="K439" t="inlineStr">
        <is>
          <t>Eventual</t>
        </is>
      </c>
      <c r="L439" t="inlineStr"/>
      <c r="M439" t="inlineStr">
        <is>
          <t>Nubank NU_370124875_01ABR2026_30ABR2026.csv</t>
        </is>
      </c>
      <c r="N439" t="inlineStr">
        <is>
          <t>Sem comprovante</t>
        </is>
      </c>
      <c r="O439" t="inlineStr">
        <is>
          <t>Compra no débito - CLICELL JARDIM</t>
        </is>
      </c>
    </row>
    <row r="440">
      <c r="A440" s="29" t="n">
        <v>46122</v>
      </c>
      <c r="B440" t="n">
        <v>4</v>
      </c>
      <c r="C440" t="n">
        <v>2026</v>
      </c>
      <c r="D440" t="inlineStr">
        <is>
          <t>Pessoal</t>
        </is>
      </c>
      <c r="E440" t="inlineStr">
        <is>
          <t>Contas Variáveis</t>
        </is>
      </c>
      <c r="F440" t="inlineStr">
        <is>
          <t>Compra no débito</t>
        </is>
      </c>
      <c r="G440" t="inlineStr">
        <is>
          <t>Despesa</t>
        </is>
      </c>
      <c r="H440" s="3" t="n">
        <v>-8.15</v>
      </c>
      <c r="I440" t="inlineStr">
        <is>
          <t>Débito</t>
        </is>
      </c>
      <c r="J440" t="inlineStr">
        <is>
          <t>Não</t>
        </is>
      </c>
      <c r="K440" t="inlineStr">
        <is>
          <t>Eventual</t>
        </is>
      </c>
      <c r="L440" t="inlineStr"/>
      <c r="M440" t="inlineStr">
        <is>
          <t>Nubank NU_370124875_01ABR2026_30ABR2026.csv</t>
        </is>
      </c>
      <c r="N440" t="inlineStr">
        <is>
          <t>Sem comprovante</t>
        </is>
      </c>
      <c r="O440" t="inlineStr">
        <is>
          <t>Compra no débito - FerreiraDosSantos</t>
        </is>
      </c>
    </row>
    <row r="441">
      <c r="A441" s="29" t="n">
        <v>46122</v>
      </c>
      <c r="B441" t="n">
        <v>4</v>
      </c>
      <c r="C441" t="n">
        <v>2026</v>
      </c>
      <c r="D441" t="inlineStr">
        <is>
          <t>Studio</t>
        </is>
      </c>
      <c r="E441" t="inlineStr">
        <is>
          <t>Receita - Liberação de Crédito</t>
        </is>
      </c>
      <c r="F441" t="inlineStr">
        <is>
          <t>Liberação de Crédito (Studio)</t>
        </is>
      </c>
      <c r="G441" t="inlineStr">
        <is>
          <t>Receita</t>
        </is>
      </c>
      <c r="H441" s="3" t="n">
        <v>200</v>
      </c>
      <c r="I441" t="inlineStr">
        <is>
          <t>Pix</t>
        </is>
      </c>
      <c r="J441" t="inlineStr">
        <is>
          <t>Não</t>
        </is>
      </c>
      <c r="K441" t="inlineStr">
        <is>
          <t>Eventual</t>
        </is>
      </c>
      <c r="L441" t="inlineStr"/>
      <c r="M441" t="inlineStr">
        <is>
          <t>Nubank NU_370124875_01ABR2026_30ABR2026.csv</t>
        </is>
      </c>
      <c r="N441" t="inlineStr">
        <is>
          <t>Recebido</t>
        </is>
      </c>
      <c r="O441" t="inlineStr">
        <is>
          <t>Valor adicionado na conta por cartão de crédito - Valor adicionado para Pix no Crédito</t>
        </is>
      </c>
    </row>
    <row r="442">
      <c r="A442" s="29" t="n">
        <v>46124</v>
      </c>
      <c r="B442" t="n">
        <v>4</v>
      </c>
      <c r="C442" t="n">
        <v>2026</v>
      </c>
      <c r="D442" t="inlineStr">
        <is>
          <t>Pessoal</t>
        </is>
      </c>
      <c r="E442" t="inlineStr">
        <is>
          <t>Contas Variáveis</t>
        </is>
      </c>
      <c r="F442" t="inlineStr">
        <is>
          <t>Compra no débito</t>
        </is>
      </c>
      <c r="G442" t="inlineStr">
        <is>
          <t>Despesa</t>
        </is>
      </c>
      <c r="H442" s="3" t="n">
        <v>-8</v>
      </c>
      <c r="I442" t="inlineStr">
        <is>
          <t>Débito</t>
        </is>
      </c>
      <c r="J442" t="inlineStr">
        <is>
          <t>Não</t>
        </is>
      </c>
      <c r="K442" t="inlineStr">
        <is>
          <t>Eventual</t>
        </is>
      </c>
      <c r="L442" t="inlineStr"/>
      <c r="M442" t="inlineStr">
        <is>
          <t>Nubank NU_370124875_01ABR2026_30ABR2026.csv</t>
        </is>
      </c>
      <c r="N442" t="inlineStr">
        <is>
          <t>Sem comprovante</t>
        </is>
      </c>
      <c r="O442" t="inlineStr">
        <is>
          <t>Compra no débito - LogZsTransportes</t>
        </is>
      </c>
    </row>
    <row r="443">
      <c r="A443" s="29" t="n">
        <v>46124</v>
      </c>
      <c r="B443" t="n">
        <v>4</v>
      </c>
      <c r="C443" t="n">
        <v>2026</v>
      </c>
      <c r="D443" t="inlineStr">
        <is>
          <t>Pessoal</t>
        </is>
      </c>
      <c r="E443" t="inlineStr">
        <is>
          <t>Contas Variáveis</t>
        </is>
      </c>
      <c r="F443" t="inlineStr">
        <is>
          <t>Restaurante / Alimentação</t>
        </is>
      </c>
      <c r="G443" t="inlineStr">
        <is>
          <t>Despesa</t>
        </is>
      </c>
      <c r="H443" s="3" t="n">
        <v>-14</v>
      </c>
      <c r="I443" t="inlineStr">
        <is>
          <t>Débito</t>
        </is>
      </c>
      <c r="J443" t="inlineStr">
        <is>
          <t>Não</t>
        </is>
      </c>
      <c r="K443" t="inlineStr">
        <is>
          <t>Eventual</t>
        </is>
      </c>
      <c r="L443" t="inlineStr"/>
      <c r="M443" t="inlineStr">
        <is>
          <t>Nubank NU_370124875_01ABR2026_30ABR2026.csv</t>
        </is>
      </c>
      <c r="N443" t="inlineStr">
        <is>
          <t>Sem comprovante</t>
        </is>
      </c>
      <c r="O443" t="inlineStr">
        <is>
          <t>Compra no débito - ShawarmaSalin</t>
        </is>
      </c>
    </row>
    <row r="444">
      <c r="A444" s="29" t="n">
        <v>46125</v>
      </c>
      <c r="B444" t="n">
        <v>4</v>
      </c>
      <c r="C444" t="n">
        <v>2026</v>
      </c>
      <c r="D444" t="inlineStr">
        <is>
          <t>Pessoal</t>
        </is>
      </c>
      <c r="E444" t="inlineStr">
        <is>
          <t>Contas Variáveis</t>
        </is>
      </c>
      <c r="F444" t="inlineStr">
        <is>
          <t>Combustível</t>
        </is>
      </c>
      <c r="G444" t="inlineStr">
        <is>
          <t>Despesa</t>
        </is>
      </c>
      <c r="H444" s="3" t="n">
        <v>-154.82</v>
      </c>
      <c r="I444" t="inlineStr">
        <is>
          <t>Débito</t>
        </is>
      </c>
      <c r="J444" t="inlineStr">
        <is>
          <t>Não</t>
        </is>
      </c>
      <c r="K444" t="inlineStr">
        <is>
          <t>Eventual</t>
        </is>
      </c>
      <c r="L444" t="inlineStr"/>
      <c r="M444" t="inlineStr">
        <is>
          <t>Nubank NU_370124875_01ABR2026_30ABR2026.csv</t>
        </is>
      </c>
      <c r="N444" t="inlineStr">
        <is>
          <t>Sem comprovante</t>
        </is>
      </c>
      <c r="O444" t="inlineStr">
        <is>
          <t>Compra no débito - POSTO FAROL DO PARQUE</t>
        </is>
      </c>
    </row>
    <row r="445">
      <c r="A445" s="29" t="n">
        <v>46125</v>
      </c>
      <c r="B445" t="n">
        <v>4</v>
      </c>
      <c r="C445" t="n">
        <v>2026</v>
      </c>
      <c r="D445" t="inlineStr">
        <is>
          <t>Geral</t>
        </is>
      </c>
      <c r="E445" t="inlineStr">
        <is>
          <t>Outros</t>
        </is>
      </c>
      <c r="F445" t="inlineStr">
        <is>
          <t>Transferência Pix Enviada</t>
        </is>
      </c>
      <c r="G445" t="inlineStr">
        <is>
          <t>Despesa</t>
        </is>
      </c>
      <c r="H445" s="3" t="n">
        <v>-132.14</v>
      </c>
      <c r="I445" t="inlineStr">
        <is>
          <t>Pix</t>
        </is>
      </c>
      <c r="J445" t="inlineStr">
        <is>
          <t>Não</t>
        </is>
      </c>
      <c r="K445" t="inlineStr">
        <is>
          <t>Eventual</t>
        </is>
      </c>
      <c r="L445" t="inlineStr"/>
      <c r="M445" t="inlineStr">
        <is>
          <t>Nubank NU_370124875_01ABR2026_30ABR2026.csv</t>
        </is>
      </c>
      <c r="N445" t="inlineStr">
        <is>
          <t>Sem comprovante</t>
        </is>
      </c>
      <c r="O445" t="inlineStr">
        <is>
          <t>Transferência enviada pelo Pix - ITAU UNIBANCO - 60.701.190/0001-04 - ITAÚ UNIBANCO S.A. (0341) Agência: 1063 Conta: 2482-0</t>
        </is>
      </c>
    </row>
    <row r="446">
      <c r="A446" s="29" t="n">
        <v>46125</v>
      </c>
      <c r="B446" t="n">
        <v>4</v>
      </c>
      <c r="C446" t="n">
        <v>2026</v>
      </c>
      <c r="D446" t="inlineStr">
        <is>
          <t>Studio</t>
        </is>
      </c>
      <c r="E446" t="inlineStr">
        <is>
          <t>Receita - Midialike</t>
        </is>
      </c>
      <c r="F446" t="inlineStr">
        <is>
          <t>Depósito Midialike</t>
        </is>
      </c>
      <c r="G446" t="inlineStr">
        <is>
          <t>Receita</t>
        </is>
      </c>
      <c r="H446" s="3" t="n">
        <v>400</v>
      </c>
      <c r="I446" t="inlineStr">
        <is>
          <t>Pix</t>
        </is>
      </c>
      <c r="J446" t="inlineStr">
        <is>
          <t>Sim</t>
        </is>
      </c>
      <c r="K446" t="inlineStr">
        <is>
          <t>Mensal</t>
        </is>
      </c>
      <c r="L446" t="inlineStr"/>
      <c r="M446" t="inlineStr">
        <is>
          <t>Nubank NU_370124875_01ABR2026_30ABR2026.csv</t>
        </is>
      </c>
      <c r="N446" t="inlineStr">
        <is>
          <t>Recebido</t>
        </is>
      </c>
      <c r="O446" t="inlineStr">
        <is>
          <t>Transferência recebida pelo Pix - MIDIA LIKE LTDA - 17.930.007/0001-05 - BCO C6 S.A. (0336) Agência: 1 Conta: 31709544-7</t>
        </is>
      </c>
    </row>
    <row r="447">
      <c r="A447" s="29" t="n">
        <v>46128</v>
      </c>
      <c r="B447" t="n">
        <v>4</v>
      </c>
      <c r="C447" t="n">
        <v>2026</v>
      </c>
      <c r="D447" t="inlineStr">
        <is>
          <t>Pessoal</t>
        </is>
      </c>
      <c r="E447" t="inlineStr">
        <is>
          <t>Contas Variáveis</t>
        </is>
      </c>
      <c r="F447" t="inlineStr">
        <is>
          <t>Combustível</t>
        </is>
      </c>
      <c r="G447" t="inlineStr">
        <is>
          <t>Despesa</t>
        </is>
      </c>
      <c r="H447" s="3" t="n">
        <v>-78</v>
      </c>
      <c r="I447" t="inlineStr">
        <is>
          <t>Débito</t>
        </is>
      </c>
      <c r="J447" t="inlineStr">
        <is>
          <t>Não</t>
        </is>
      </c>
      <c r="K447" t="inlineStr">
        <is>
          <t>Eventual</t>
        </is>
      </c>
      <c r="L447" t="inlineStr"/>
      <c r="M447" t="inlineStr">
        <is>
          <t>Nubank NU_370124875_01ABR2026_30ABR2026.csv</t>
        </is>
      </c>
      <c r="N447" t="inlineStr">
        <is>
          <t>Sem comprovante</t>
        </is>
      </c>
      <c r="O447" t="inlineStr">
        <is>
          <t>Compra no débito - AUTO POSTO CAMPINA</t>
        </is>
      </c>
    </row>
    <row r="448">
      <c r="A448" s="29" t="n">
        <v>46128</v>
      </c>
      <c r="B448" t="n">
        <v>4</v>
      </c>
      <c r="C448" t="n">
        <v>2026</v>
      </c>
      <c r="D448" t="inlineStr">
        <is>
          <t>Pessoal</t>
        </is>
      </c>
      <c r="E448" t="inlineStr">
        <is>
          <t>Contas Variáveis</t>
        </is>
      </c>
      <c r="F448" t="inlineStr">
        <is>
          <t>Restaurante / Lazer</t>
        </is>
      </c>
      <c r="G448" t="inlineStr">
        <is>
          <t>Despesa</t>
        </is>
      </c>
      <c r="H448" s="3" t="n">
        <v>-50</v>
      </c>
      <c r="I448" t="inlineStr">
        <is>
          <t>Débito</t>
        </is>
      </c>
      <c r="J448" t="inlineStr">
        <is>
          <t>Não</t>
        </is>
      </c>
      <c r="K448" t="inlineStr">
        <is>
          <t>Eventual</t>
        </is>
      </c>
      <c r="L448" t="inlineStr"/>
      <c r="M448" t="inlineStr">
        <is>
          <t>Nubank NU_370124875_01ABR2026_30ABR2026.csv</t>
        </is>
      </c>
      <c r="N448" t="inlineStr">
        <is>
          <t>Sem comprovante</t>
        </is>
      </c>
      <c r="O448" t="inlineStr">
        <is>
          <t>Compra no débito - JIM.COM* LODI COMERCIO</t>
        </is>
      </c>
    </row>
    <row r="449">
      <c r="A449" s="29" t="n">
        <v>46128</v>
      </c>
      <c r="B449" t="n">
        <v>4</v>
      </c>
      <c r="C449" t="n">
        <v>2026</v>
      </c>
      <c r="D449" t="inlineStr">
        <is>
          <t>Pessoal</t>
        </is>
      </c>
      <c r="E449" t="inlineStr">
        <is>
          <t>Contas Variáveis</t>
        </is>
      </c>
      <c r="F449" t="inlineStr">
        <is>
          <t>Restaurante / Alimentação</t>
        </is>
      </c>
      <c r="G449" t="inlineStr">
        <is>
          <t>Despesa</t>
        </is>
      </c>
      <c r="H449" s="3" t="n">
        <v>-66.51000000000001</v>
      </c>
      <c r="I449" t="inlineStr">
        <is>
          <t>Débito</t>
        </is>
      </c>
      <c r="J449" t="inlineStr">
        <is>
          <t>Não</t>
        </is>
      </c>
      <c r="K449" t="inlineStr">
        <is>
          <t>Eventual</t>
        </is>
      </c>
      <c r="L449" t="inlineStr"/>
      <c r="M449" t="inlineStr">
        <is>
          <t>Nubank NU_370124875_01ABR2026_30ABR2026.csv</t>
        </is>
      </c>
      <c r="N449" t="inlineStr">
        <is>
          <t>Sem comprovante</t>
        </is>
      </c>
      <c r="O449" t="inlineStr">
        <is>
          <t>Compra no débito - REST LIRIO SAO BRAZ</t>
        </is>
      </c>
    </row>
    <row r="450">
      <c r="A450" s="29" t="n">
        <v>46128</v>
      </c>
      <c r="B450" t="n">
        <v>4</v>
      </c>
      <c r="C450" t="n">
        <v>2026</v>
      </c>
      <c r="D450" t="inlineStr">
        <is>
          <t>Studio</t>
        </is>
      </c>
      <c r="E450" t="inlineStr">
        <is>
          <t>Receita - Denise (Salão)</t>
        </is>
      </c>
      <c r="F450" t="inlineStr">
        <is>
          <t>Depósito recebido de Denise / Salão</t>
        </is>
      </c>
      <c r="G450" t="inlineStr">
        <is>
          <t>Receita</t>
        </is>
      </c>
      <c r="H450" s="3" t="n">
        <v>300</v>
      </c>
      <c r="I450" t="inlineStr">
        <is>
          <t>Pix</t>
        </is>
      </c>
      <c r="J450" t="inlineStr">
        <is>
          <t>Não</t>
        </is>
      </c>
      <c r="K450" t="inlineStr">
        <is>
          <t>Eventual</t>
        </is>
      </c>
      <c r="L450" t="inlineStr">
        <is>
          <t>Pix Denise/00000002-PHOTO-2026-04-17-14-00-39.jpg</t>
        </is>
      </c>
      <c r="M450" t="inlineStr">
        <is>
          <t>Nubank NU_370124875_01ABR2026_30ABR2026.csv</t>
        </is>
      </c>
      <c r="N450" t="inlineStr">
        <is>
          <t>Recebido</t>
        </is>
      </c>
      <c r="O450" t="inlineStr">
        <is>
          <t>Transferência recebida pelo Pix - DENISE DE PAULA CENTRO DE ESTETICA LTDA - 05.823.454/0001-86 - MERCADO PAGO IP LTDA. (0323) Agência: 1 Conta: 8804533771-0</t>
        </is>
      </c>
    </row>
    <row r="451">
      <c r="A451" s="29" t="n">
        <v>46129</v>
      </c>
      <c r="B451" t="n">
        <v>4</v>
      </c>
      <c r="C451" t="n">
        <v>2026</v>
      </c>
      <c r="D451" t="inlineStr">
        <is>
          <t>Geral</t>
        </is>
      </c>
      <c r="E451" t="inlineStr">
        <is>
          <t>Pessoal</t>
        </is>
      </c>
      <c r="F451" t="inlineStr">
        <is>
          <t>Bruno Luiz (familiar)</t>
        </is>
      </c>
      <c r="G451" t="inlineStr">
        <is>
          <t>Despesa</t>
        </is>
      </c>
      <c r="H451" s="3" t="n">
        <v>-200</v>
      </c>
      <c r="I451" t="inlineStr">
        <is>
          <t>Pix</t>
        </is>
      </c>
      <c r="J451" t="inlineStr">
        <is>
          <t>Não</t>
        </is>
      </c>
      <c r="K451" t="inlineStr">
        <is>
          <t>Eventual</t>
        </is>
      </c>
      <c r="L451" t="inlineStr"/>
      <c r="M451" t="inlineStr">
        <is>
          <t>Nubank NU_370124875_01ABR2026_30ABR2026.csv</t>
        </is>
      </c>
      <c r="N451" t="inlineStr">
        <is>
          <t>Sem comprovante</t>
        </is>
      </c>
      <c r="O451" t="inlineStr">
        <is>
          <t>Transferência enviada pelo Pix - BRUNO LUIZ SASTRE SEUS JUNIOR - •••.516.739-•• - BCO BRADESCO S.A. (0237) Agência: 3925 Conta: 165900-6</t>
        </is>
      </c>
    </row>
    <row r="452">
      <c r="A452" s="29" t="n">
        <v>46129</v>
      </c>
      <c r="B452" t="n">
        <v>4</v>
      </c>
      <c r="C452" t="n">
        <v>2026</v>
      </c>
      <c r="D452" t="inlineStr">
        <is>
          <t>Pessoal</t>
        </is>
      </c>
      <c r="E452" t="inlineStr">
        <is>
          <t>Contas Variáveis</t>
        </is>
      </c>
      <c r="F452" t="inlineStr">
        <is>
          <t>iFood</t>
        </is>
      </c>
      <c r="G452" t="inlineStr">
        <is>
          <t>Despesa</t>
        </is>
      </c>
      <c r="H452" s="3" t="n">
        <v>-46.36</v>
      </c>
      <c r="I452" t="inlineStr">
        <is>
          <t>Pix</t>
        </is>
      </c>
      <c r="J452" t="inlineStr">
        <is>
          <t>Não</t>
        </is>
      </c>
      <c r="K452" t="inlineStr">
        <is>
          <t>Eventual</t>
        </is>
      </c>
      <c r="L452" t="inlineStr"/>
      <c r="M452" t="inlineStr">
        <is>
          <t>Nubank NU_370124875_01ABR2026_30ABR2026.csv</t>
        </is>
      </c>
      <c r="N452" t="inlineStr">
        <is>
          <t>Sem comprovante</t>
        </is>
      </c>
      <c r="O452" t="inlineStr">
        <is>
          <t>Transferência enviada pelo Pix - IFOOD.COM AGENCIA DE RESTAURANTES ONLINE S.A. - 14.380.200/0001-21 - IFOOD PAGO IP (0595) Agência: 1 Conta: 101793197-2</t>
        </is>
      </c>
    </row>
    <row r="453">
      <c r="A453" s="29" t="n">
        <v>46129</v>
      </c>
      <c r="B453" t="n">
        <v>4</v>
      </c>
      <c r="C453" t="n">
        <v>2026</v>
      </c>
      <c r="D453" t="inlineStr">
        <is>
          <t>Studio</t>
        </is>
      </c>
      <c r="E453" t="inlineStr">
        <is>
          <t>Receita - Denise (Salão)</t>
        </is>
      </c>
      <c r="F453" t="inlineStr">
        <is>
          <t>Depósito recebido de Denise / Salão</t>
        </is>
      </c>
      <c r="G453" t="inlineStr">
        <is>
          <t>Receita</t>
        </is>
      </c>
      <c r="H453" s="3" t="n">
        <v>500</v>
      </c>
      <c r="I453" t="inlineStr">
        <is>
          <t>Pix</t>
        </is>
      </c>
      <c r="J453" t="inlineStr">
        <is>
          <t>Não</t>
        </is>
      </c>
      <c r="K453" t="inlineStr">
        <is>
          <t>Eventual</t>
        </is>
      </c>
      <c r="L453" t="inlineStr">
        <is>
          <t>Pix Denise/00000002-PHOTO-2026-04-17-14-00-39.jpg</t>
        </is>
      </c>
      <c r="M453" t="inlineStr">
        <is>
          <t>Nubank NU_370124875_01ABR2026_30ABR2026.csv</t>
        </is>
      </c>
      <c r="N453" t="inlineStr">
        <is>
          <t>Recebido</t>
        </is>
      </c>
      <c r="O453" t="inlineStr">
        <is>
          <t>Transferência recebida pelo Pix - DENISE DE PAULA CENTRO DE ESTETICA LTDA - 05.823.454/0001-86 - MERCADO PAGO IP LTDA. (0323) Agência: 1 Conta: 8804533771-0</t>
        </is>
      </c>
    </row>
    <row r="454">
      <c r="A454" s="29" t="n">
        <v>46130</v>
      </c>
      <c r="B454" t="n">
        <v>4</v>
      </c>
      <c r="C454" t="n">
        <v>2026</v>
      </c>
      <c r="D454" t="inlineStr">
        <is>
          <t>Pessoal</t>
        </is>
      </c>
      <c r="E454" t="inlineStr">
        <is>
          <t>Contas Variáveis</t>
        </is>
      </c>
      <c r="F454" t="inlineStr">
        <is>
          <t>Mercado</t>
        </is>
      </c>
      <c r="G454" t="inlineStr">
        <is>
          <t>Despesa</t>
        </is>
      </c>
      <c r="H454" s="3" t="n">
        <v>-7.98</v>
      </c>
      <c r="I454" t="inlineStr">
        <is>
          <t>Débito</t>
        </is>
      </c>
      <c r="J454" t="inlineStr">
        <is>
          <t>Não</t>
        </is>
      </c>
      <c r="K454" t="inlineStr">
        <is>
          <t>Eventual</t>
        </is>
      </c>
      <c r="L454" t="inlineStr"/>
      <c r="M454" t="inlineStr">
        <is>
          <t>Nubank NU_370124875_01ABR2026_30ABR2026.csv</t>
        </is>
      </c>
      <c r="N454" t="inlineStr">
        <is>
          <t>Sem comprovante</t>
        </is>
      </c>
      <c r="O454" t="inlineStr">
        <is>
          <t>Compra no débito - CONDOR SAO BRAZ LJ11</t>
        </is>
      </c>
    </row>
    <row r="455">
      <c r="A455" s="29" t="n">
        <v>46130</v>
      </c>
      <c r="B455" t="n">
        <v>4</v>
      </c>
      <c r="C455" t="n">
        <v>2026</v>
      </c>
      <c r="D455" t="inlineStr">
        <is>
          <t>Pessoal</t>
        </is>
      </c>
      <c r="E455" t="inlineStr">
        <is>
          <t>Contas Variáveis</t>
        </is>
      </c>
      <c r="F455" t="inlineStr">
        <is>
          <t>Compra no débito</t>
        </is>
      </c>
      <c r="G455" t="inlineStr">
        <is>
          <t>Despesa</t>
        </is>
      </c>
      <c r="H455" s="3" t="n">
        <v>-9</v>
      </c>
      <c r="I455" t="inlineStr">
        <is>
          <t>Débito</t>
        </is>
      </c>
      <c r="J455" t="inlineStr">
        <is>
          <t>Não</t>
        </is>
      </c>
      <c r="K455" t="inlineStr">
        <is>
          <t>Eventual</t>
        </is>
      </c>
      <c r="L455" t="inlineStr"/>
      <c r="M455" t="inlineStr">
        <is>
          <t>Nubank NU_370124875_01ABR2026_30ABR2026.csv</t>
        </is>
      </c>
      <c r="N455" t="inlineStr">
        <is>
          <t>Sem comprovante</t>
        </is>
      </c>
      <c r="O455" t="inlineStr">
        <is>
          <t>Compra no débito - GRALHA AZUL</t>
        </is>
      </c>
    </row>
    <row r="456">
      <c r="A456" s="29" t="n">
        <v>46130</v>
      </c>
      <c r="B456" t="n">
        <v>4</v>
      </c>
      <c r="C456" t="n">
        <v>2026</v>
      </c>
      <c r="D456" t="inlineStr">
        <is>
          <t>Pessoal</t>
        </is>
      </c>
      <c r="E456" t="inlineStr">
        <is>
          <t>Contas Variáveis</t>
        </is>
      </c>
      <c r="F456" t="inlineStr">
        <is>
          <t>Restaurante / Alimentação</t>
        </is>
      </c>
      <c r="G456" t="inlineStr">
        <is>
          <t>Despesa</t>
        </is>
      </c>
      <c r="H456" s="3" t="n">
        <v>-115.5</v>
      </c>
      <c r="I456" t="inlineStr">
        <is>
          <t>Débito</t>
        </is>
      </c>
      <c r="J456" t="inlineStr">
        <is>
          <t>Não</t>
        </is>
      </c>
      <c r="K456" t="inlineStr">
        <is>
          <t>Eventual</t>
        </is>
      </c>
      <c r="L456" t="inlineStr"/>
      <c r="M456" t="inlineStr">
        <is>
          <t>Nubank NU_370124875_01ABR2026_30ABR2026.csv</t>
        </is>
      </c>
      <c r="N456" t="inlineStr">
        <is>
          <t>Sem comprovante</t>
        </is>
      </c>
      <c r="O456" t="inlineStr">
        <is>
          <t>Compra no débito - ROYALTY CAFE</t>
        </is>
      </c>
    </row>
    <row r="457">
      <c r="A457" s="29" t="n">
        <v>46130</v>
      </c>
      <c r="B457" t="n">
        <v>4</v>
      </c>
      <c r="C457" t="n">
        <v>2026</v>
      </c>
      <c r="D457" t="inlineStr">
        <is>
          <t>Pessoal</t>
        </is>
      </c>
      <c r="E457" t="inlineStr">
        <is>
          <t>Contas Variáveis</t>
        </is>
      </c>
      <c r="F457" t="inlineStr">
        <is>
          <t>Farmácia</t>
        </is>
      </c>
      <c r="G457" t="inlineStr">
        <is>
          <t>Despesa</t>
        </is>
      </c>
      <c r="H457" s="3" t="n">
        <v>-62.24</v>
      </c>
      <c r="I457" t="inlineStr">
        <is>
          <t>Débito</t>
        </is>
      </c>
      <c r="J457" t="inlineStr">
        <is>
          <t>Não</t>
        </is>
      </c>
      <c r="K457" t="inlineStr">
        <is>
          <t>Eventual</t>
        </is>
      </c>
      <c r="L457" t="inlineStr"/>
      <c r="M457" t="inlineStr">
        <is>
          <t>Nubank NU_370124875_01ABR2026_30ABR2026.csv</t>
        </is>
      </c>
      <c r="N457" t="inlineStr">
        <is>
          <t>Sem comprovante</t>
        </is>
      </c>
      <c r="O457" t="inlineStr">
        <is>
          <t>Compra no débito via NuPay - Pague Menos</t>
        </is>
      </c>
    </row>
    <row r="458">
      <c r="A458" s="29" t="n">
        <v>46130</v>
      </c>
      <c r="B458" t="n">
        <v>4</v>
      </c>
      <c r="C458" t="n">
        <v>2026</v>
      </c>
      <c r="D458" t="inlineStr">
        <is>
          <t>Pessoal</t>
        </is>
      </c>
      <c r="E458" t="inlineStr">
        <is>
          <t>Contas Variáveis</t>
        </is>
      </c>
      <c r="F458" t="inlineStr">
        <is>
          <t>Bar / Cerveja</t>
        </is>
      </c>
      <c r="G458" t="inlineStr">
        <is>
          <t>Despesa</t>
        </is>
      </c>
      <c r="H458" s="3" t="n">
        <v>-61</v>
      </c>
      <c r="I458" t="inlineStr">
        <is>
          <t>Pix</t>
        </is>
      </c>
      <c r="J458" t="inlineStr">
        <is>
          <t>Não</t>
        </is>
      </c>
      <c r="K458" t="inlineStr">
        <is>
          <t>Eventual</t>
        </is>
      </c>
      <c r="L458" t="inlineStr"/>
      <c r="M458" t="inlineStr">
        <is>
          <t>Nubank NU_370124875_01ABR2026_30ABR2026.csv</t>
        </is>
      </c>
      <c r="N458" t="inlineStr">
        <is>
          <t>Sem comprovante</t>
        </is>
      </c>
      <c r="O458" t="inlineStr">
        <is>
          <t>Transferência enviada pelo Pix - BASTARDS TAPROOM LTDA - 39.866.345/0001-68 - FLAGSHIP IP LTDA (0566) Agência: 179 Conta: 98364-0</t>
        </is>
      </c>
    </row>
    <row r="459">
      <c r="A459" s="29" t="n">
        <v>46131</v>
      </c>
      <c r="B459" t="n">
        <v>4</v>
      </c>
      <c r="C459" t="n">
        <v>2026</v>
      </c>
      <c r="D459" t="inlineStr">
        <is>
          <t>Pessoal</t>
        </is>
      </c>
      <c r="E459" t="inlineStr">
        <is>
          <t>Contas Variáveis</t>
        </is>
      </c>
      <c r="F459" t="inlineStr">
        <is>
          <t>Combustível</t>
        </is>
      </c>
      <c r="G459" t="inlineStr">
        <is>
          <t>Despesa</t>
        </is>
      </c>
      <c r="H459" s="3" t="n">
        <v>-7</v>
      </c>
      <c r="I459" t="inlineStr">
        <is>
          <t>Débito</t>
        </is>
      </c>
      <c r="J459" t="inlineStr">
        <is>
          <t>Não</t>
        </is>
      </c>
      <c r="K459" t="inlineStr">
        <is>
          <t>Eventual</t>
        </is>
      </c>
      <c r="L459" t="inlineStr"/>
      <c r="M459" t="inlineStr">
        <is>
          <t>Nubank NU_370124875_01ABR2026_30ABR2026.csv</t>
        </is>
      </c>
      <c r="N459" t="inlineStr">
        <is>
          <t>Sem comprovante</t>
        </is>
      </c>
      <c r="O459" t="inlineStr">
        <is>
          <t>Compra no débito - AutoPostoSul</t>
        </is>
      </c>
    </row>
    <row r="460">
      <c r="A460" s="29" t="n">
        <v>46131</v>
      </c>
      <c r="B460" t="n">
        <v>4</v>
      </c>
      <c r="C460" t="n">
        <v>2026</v>
      </c>
      <c r="D460" t="inlineStr">
        <is>
          <t>Pessoal</t>
        </is>
      </c>
      <c r="E460" t="inlineStr">
        <is>
          <t>Contas Variáveis</t>
        </is>
      </c>
      <c r="F460" t="inlineStr">
        <is>
          <t>Restaurante / Alimentação</t>
        </is>
      </c>
      <c r="G460" t="inlineStr">
        <is>
          <t>Despesa</t>
        </is>
      </c>
      <c r="H460" s="3" t="n">
        <v>-113</v>
      </c>
      <c r="I460" t="inlineStr">
        <is>
          <t>Débito</t>
        </is>
      </c>
      <c r="J460" t="inlineStr">
        <is>
          <t>Não</t>
        </is>
      </c>
      <c r="K460" t="inlineStr">
        <is>
          <t>Eventual</t>
        </is>
      </c>
      <c r="L460" t="inlineStr"/>
      <c r="M460" t="inlineStr">
        <is>
          <t>Nubank NU_370124875_01ABR2026_30ABR2026.csv</t>
        </is>
      </c>
      <c r="N460" t="inlineStr">
        <is>
          <t>Sem comprovante</t>
        </is>
      </c>
      <c r="O460" t="inlineStr">
        <is>
          <t>Compra no débito - BART CASA DE CAFE LTDA</t>
        </is>
      </c>
    </row>
    <row r="461">
      <c r="A461" s="29" t="n">
        <v>46131</v>
      </c>
      <c r="B461" t="n">
        <v>4</v>
      </c>
      <c r="C461" t="n">
        <v>2026</v>
      </c>
      <c r="D461" t="inlineStr">
        <is>
          <t>Pessoal</t>
        </is>
      </c>
      <c r="E461" t="inlineStr">
        <is>
          <t>Contas Variáveis</t>
        </is>
      </c>
      <c r="F461" t="inlineStr">
        <is>
          <t>Combustível</t>
        </is>
      </c>
      <c r="G461" t="inlineStr">
        <is>
          <t>Despesa</t>
        </is>
      </c>
      <c r="H461" s="3" t="n">
        <v>-98.67</v>
      </c>
      <c r="I461" t="inlineStr">
        <is>
          <t>Débito</t>
        </is>
      </c>
      <c r="J461" t="inlineStr">
        <is>
          <t>Não</t>
        </is>
      </c>
      <c r="K461" t="inlineStr">
        <is>
          <t>Eventual</t>
        </is>
      </c>
      <c r="L461" t="inlineStr"/>
      <c r="M461" t="inlineStr">
        <is>
          <t>Nubank NU_370124875_01ABR2026_30ABR2026.csv</t>
        </is>
      </c>
      <c r="N461" t="inlineStr">
        <is>
          <t>Sem comprovante</t>
        </is>
      </c>
      <c r="O461" t="inlineStr">
        <is>
          <t>Compra no débito - POSTO FAROL DO PARQUE</t>
        </is>
      </c>
    </row>
    <row r="462">
      <c r="A462" s="29" t="n">
        <v>46131</v>
      </c>
      <c r="B462" t="n">
        <v>4</v>
      </c>
      <c r="C462" t="n">
        <v>2026</v>
      </c>
      <c r="D462" t="inlineStr">
        <is>
          <t>Pessoal</t>
        </is>
      </c>
      <c r="E462" t="inlineStr">
        <is>
          <t>Contas Variáveis</t>
        </is>
      </c>
      <c r="F462" t="inlineStr">
        <is>
          <t>Restaurante / Alimentação</t>
        </is>
      </c>
      <c r="G462" t="inlineStr">
        <is>
          <t>Despesa</t>
        </is>
      </c>
      <c r="H462" s="3" t="n">
        <v>-13</v>
      </c>
      <c r="I462" t="inlineStr">
        <is>
          <t>Débito</t>
        </is>
      </c>
      <c r="J462" t="inlineStr">
        <is>
          <t>Não</t>
        </is>
      </c>
      <c r="K462" t="inlineStr">
        <is>
          <t>Eventual</t>
        </is>
      </c>
      <c r="L462" t="inlineStr"/>
      <c r="M462" t="inlineStr">
        <is>
          <t>Nubank NU_370124875_01ABR2026_30ABR2026.csv</t>
        </is>
      </c>
      <c r="N462" t="inlineStr">
        <is>
          <t>Sem comprovante</t>
        </is>
      </c>
      <c r="O462" t="inlineStr">
        <is>
          <t>Compra no débito - RESTAURANTE PURUNA</t>
        </is>
      </c>
    </row>
    <row r="463">
      <c r="A463" s="29" t="n">
        <v>46131</v>
      </c>
      <c r="B463" t="n">
        <v>4</v>
      </c>
      <c r="C463" t="n">
        <v>2026</v>
      </c>
      <c r="D463" t="inlineStr">
        <is>
          <t>Geral</t>
        </is>
      </c>
      <c r="E463" t="inlineStr">
        <is>
          <t>Outros</t>
        </is>
      </c>
      <c r="F463" t="inlineStr">
        <is>
          <t>Pagamento de fatura cartão</t>
        </is>
      </c>
      <c r="G463" t="inlineStr">
        <is>
          <t>Despesa</t>
        </is>
      </c>
      <c r="H463" s="3" t="n">
        <v>-180</v>
      </c>
      <c r="I463" t="inlineStr">
        <is>
          <t>Outro</t>
        </is>
      </c>
      <c r="J463" t="inlineStr">
        <is>
          <t>Não</t>
        </is>
      </c>
      <c r="K463" t="inlineStr">
        <is>
          <t>Eventual</t>
        </is>
      </c>
      <c r="L463" t="inlineStr"/>
      <c r="M463" t="inlineStr">
        <is>
          <t>Nubank NU_370124875_01ABR2026_30ABR2026.csv</t>
        </is>
      </c>
      <c r="N463" t="inlineStr">
        <is>
          <t>Sem comprovante</t>
        </is>
      </c>
      <c r="O463" t="inlineStr">
        <is>
          <t>Pagamento de fatura</t>
        </is>
      </c>
    </row>
    <row r="464">
      <c r="A464" s="29" t="n">
        <v>46131</v>
      </c>
      <c r="B464" t="n">
        <v>4</v>
      </c>
      <c r="C464" t="n">
        <v>2026</v>
      </c>
      <c r="D464" t="inlineStr">
        <is>
          <t>Studio</t>
        </is>
      </c>
      <c r="E464" t="inlineStr">
        <is>
          <t>Receita - Denise (Salão)</t>
        </is>
      </c>
      <c r="F464" t="inlineStr">
        <is>
          <t>Depósito recebido de Denise / Salão</t>
        </is>
      </c>
      <c r="G464" t="inlineStr">
        <is>
          <t>Receita</t>
        </is>
      </c>
      <c r="H464" s="3" t="n">
        <v>200</v>
      </c>
      <c r="I464" t="inlineStr">
        <is>
          <t>Pix</t>
        </is>
      </c>
      <c r="J464" t="inlineStr">
        <is>
          <t>Não</t>
        </is>
      </c>
      <c r="K464" t="inlineStr">
        <is>
          <t>Eventual</t>
        </is>
      </c>
      <c r="L464" t="inlineStr">
        <is>
          <t>Pix Denise/00000002-PHOTO-2026-04-17-14-00-39.jpg</t>
        </is>
      </c>
      <c r="M464" t="inlineStr">
        <is>
          <t>Nubank NU_370124875_01ABR2026_30ABR2026.csv</t>
        </is>
      </c>
      <c r="N464" t="inlineStr">
        <is>
          <t>Recebido</t>
        </is>
      </c>
      <c r="O464" t="inlineStr">
        <is>
          <t>Transferência recebida pelo Pix - DENISE DE PAULA CENTRO DE ESTETICA LTDA - 05.823.454/0001-86 - MERCADO PAGO IP LTDA. (0323) Agência: 1 Conta: 8804533771-0</t>
        </is>
      </c>
    </row>
    <row r="465">
      <c r="A465" s="29" t="n">
        <v>46132</v>
      </c>
      <c r="B465" t="n">
        <v>4</v>
      </c>
      <c r="C465" t="n">
        <v>2026</v>
      </c>
      <c r="D465" t="inlineStr">
        <is>
          <t>Pessoal</t>
        </is>
      </c>
      <c r="E465" t="inlineStr">
        <is>
          <t>Contas Variáveis</t>
        </is>
      </c>
      <c r="F465" t="inlineStr">
        <is>
          <t>iFood</t>
        </is>
      </c>
      <c r="G465" t="inlineStr">
        <is>
          <t>Despesa</t>
        </is>
      </c>
      <c r="H465" s="3" t="n">
        <v>-88.11</v>
      </c>
      <c r="I465" t="inlineStr">
        <is>
          <t>Pix</t>
        </is>
      </c>
      <c r="J465" t="inlineStr">
        <is>
          <t>Não</t>
        </is>
      </c>
      <c r="K465" t="inlineStr">
        <is>
          <t>Eventual</t>
        </is>
      </c>
      <c r="L465" t="inlineStr"/>
      <c r="M465" t="inlineStr">
        <is>
          <t>Nubank NU_370124875_01ABR2026_30ABR2026.csv</t>
        </is>
      </c>
      <c r="N465" t="inlineStr">
        <is>
          <t>Sem comprovante</t>
        </is>
      </c>
      <c r="O465" t="inlineStr">
        <is>
          <t>Transferência enviada pelo Pix - IFOOD.COM AGENCIA DE RESTAURANTES ONLINE S.A. - 14.380.200/0001-21 - IFOOD PAGO IP (0595) Agência: 1 Conta: 101793197-2</t>
        </is>
      </c>
    </row>
    <row r="466">
      <c r="A466" s="29" t="n">
        <v>46132</v>
      </c>
      <c r="B466" t="n">
        <v>4</v>
      </c>
      <c r="C466" t="n">
        <v>2026</v>
      </c>
      <c r="D466" t="inlineStr">
        <is>
          <t>Studio</t>
        </is>
      </c>
      <c r="E466" t="inlineStr">
        <is>
          <t>Receita - Denise (Salão)</t>
        </is>
      </c>
      <c r="F466" t="inlineStr">
        <is>
          <t>Depósito recebido de Denise / Salão</t>
        </is>
      </c>
      <c r="G466" t="inlineStr">
        <is>
          <t>Receita</t>
        </is>
      </c>
      <c r="H466" s="3" t="n">
        <v>300</v>
      </c>
      <c r="I466" t="inlineStr">
        <is>
          <t>Pix</t>
        </is>
      </c>
      <c r="J466" t="inlineStr">
        <is>
          <t>Não</t>
        </is>
      </c>
      <c r="K466" t="inlineStr">
        <is>
          <t>Eventual</t>
        </is>
      </c>
      <c r="L466" t="inlineStr">
        <is>
          <t>Pix Denise/00000002-PHOTO-2026-04-17-14-00-39.jpg</t>
        </is>
      </c>
      <c r="M466" t="inlineStr">
        <is>
          <t>Nubank NU_370124875_01ABR2026_30ABR2026.csv</t>
        </is>
      </c>
      <c r="N466" t="inlineStr">
        <is>
          <t>Recebido</t>
        </is>
      </c>
      <c r="O466" t="inlineStr">
        <is>
          <t>Transferência recebida pelo Pix - DENISE DE PAULA CENTRO DE ESTETICA LTDA - 05.823.454/0001-86 - MERCADO PAGO IP LTDA. (0323) Agência: 1 Conta: 8804533771-0</t>
        </is>
      </c>
    </row>
    <row r="467">
      <c r="A467" s="29" t="n">
        <v>46133</v>
      </c>
      <c r="B467" t="n">
        <v>4</v>
      </c>
      <c r="C467" t="n">
        <v>2026</v>
      </c>
      <c r="D467" t="inlineStr">
        <is>
          <t>Pessoal</t>
        </is>
      </c>
      <c r="E467" t="inlineStr">
        <is>
          <t>Contas Variáveis</t>
        </is>
      </c>
      <c r="F467" t="inlineStr">
        <is>
          <t>Compra no débito</t>
        </is>
      </c>
      <c r="G467" t="inlineStr">
        <is>
          <t>Despesa</t>
        </is>
      </c>
      <c r="H467" s="3" t="n">
        <v>-56.33</v>
      </c>
      <c r="I467" t="inlineStr">
        <is>
          <t>Débito</t>
        </is>
      </c>
      <c r="J467" t="inlineStr">
        <is>
          <t>Não</t>
        </is>
      </c>
      <c r="K467" t="inlineStr">
        <is>
          <t>Eventual</t>
        </is>
      </c>
      <c r="L467" t="inlineStr"/>
      <c r="M467" t="inlineStr">
        <is>
          <t>Nubank NU_370124875_01ABR2026_30ABR2026.csv</t>
        </is>
      </c>
      <c r="N467" t="inlineStr">
        <is>
          <t>Sem comprovante</t>
        </is>
      </c>
      <c r="O467" t="inlineStr">
        <is>
          <t>Compra no débito - VICPAES</t>
        </is>
      </c>
    </row>
    <row r="468">
      <c r="A468" s="29" t="n">
        <v>46133</v>
      </c>
      <c r="B468" t="n">
        <v>4</v>
      </c>
      <c r="C468" t="n">
        <v>2026</v>
      </c>
      <c r="D468" t="inlineStr">
        <is>
          <t>Studio</t>
        </is>
      </c>
      <c r="E468" t="inlineStr">
        <is>
          <t>Receita - Reembolso</t>
        </is>
      </c>
      <c r="F468" t="inlineStr">
        <is>
          <t>Reembolso recebido</t>
        </is>
      </c>
      <c r="G468" t="inlineStr">
        <is>
          <t>Receita</t>
        </is>
      </c>
      <c r="H468" s="3" t="n">
        <v>39.11</v>
      </c>
      <c r="I468" t="inlineStr">
        <is>
          <t>Pix</t>
        </is>
      </c>
      <c r="J468" t="inlineStr">
        <is>
          <t>Não</t>
        </is>
      </c>
      <c r="K468" t="inlineStr">
        <is>
          <t>Eventual</t>
        </is>
      </c>
      <c r="L468" t="inlineStr"/>
      <c r="M468" t="inlineStr">
        <is>
          <t>Nubank NU_370124875_01ABR2026_30ABR2026.csv</t>
        </is>
      </c>
      <c r="N468" t="inlineStr">
        <is>
          <t>Recebido</t>
        </is>
      </c>
      <c r="O468" t="inlineStr">
        <is>
          <t>Reembolso recebido pelo Pix - IFOOD.COM AGENCIA DE RESTAURANTES ONLINE S.A. - 14.380.200/0001-21 - IFOOD PAGO IP (0595) Agência: 1 Conta: 101793197-2</t>
        </is>
      </c>
    </row>
    <row r="469">
      <c r="A469" s="29" t="n">
        <v>46133</v>
      </c>
      <c r="B469" t="n">
        <v>4</v>
      </c>
      <c r="C469" t="n">
        <v>2026</v>
      </c>
      <c r="D469" t="inlineStr">
        <is>
          <t>Pessoal</t>
        </is>
      </c>
      <c r="E469" t="inlineStr">
        <is>
          <t>Contas Variáveis</t>
        </is>
      </c>
      <c r="F469" t="inlineStr">
        <is>
          <t>iFood</t>
        </is>
      </c>
      <c r="G469" t="inlineStr">
        <is>
          <t>Despesa</t>
        </is>
      </c>
      <c r="H469" s="3" t="n">
        <v>-114.92</v>
      </c>
      <c r="I469" t="inlineStr">
        <is>
          <t>Pix</t>
        </is>
      </c>
      <c r="J469" t="inlineStr">
        <is>
          <t>Não</t>
        </is>
      </c>
      <c r="K469" t="inlineStr">
        <is>
          <t>Eventual</t>
        </is>
      </c>
      <c r="L469" t="inlineStr"/>
      <c r="M469" t="inlineStr">
        <is>
          <t>Nubank NU_370124875_01ABR2026_30ABR2026.csv</t>
        </is>
      </c>
      <c r="N469" t="inlineStr">
        <is>
          <t>Sem comprovante</t>
        </is>
      </c>
      <c r="O469" t="inlineStr">
        <is>
          <t>Transferência enviada pelo Pix - IFOOD.COM AGENCIA DE RESTAURANTES ONLINE S.A. - 14.380.200/0001-21 - IFOOD PAGO IP (0595) Agência: 1 Conta: 101793197-2</t>
        </is>
      </c>
    </row>
    <row r="470">
      <c r="A470" s="29" t="n">
        <v>46134</v>
      </c>
      <c r="B470" t="n">
        <v>4</v>
      </c>
      <c r="C470" t="n">
        <v>2026</v>
      </c>
      <c r="D470" t="inlineStr">
        <is>
          <t>Pessoal</t>
        </is>
      </c>
      <c r="E470" t="inlineStr">
        <is>
          <t>Contas Variáveis</t>
        </is>
      </c>
      <c r="F470" t="inlineStr">
        <is>
          <t>Combustível</t>
        </is>
      </c>
      <c r="G470" t="inlineStr">
        <is>
          <t>Despesa</t>
        </is>
      </c>
      <c r="H470" s="3" t="n">
        <v>-34.99</v>
      </c>
      <c r="I470" t="inlineStr">
        <is>
          <t>Débito</t>
        </is>
      </c>
      <c r="J470" t="inlineStr">
        <is>
          <t>Não</t>
        </is>
      </c>
      <c r="K470" t="inlineStr">
        <is>
          <t>Eventual</t>
        </is>
      </c>
      <c r="L470" t="inlineStr"/>
      <c r="M470" t="inlineStr">
        <is>
          <t>Nubank NU_370124875_01ABR2026_30ABR2026.csv</t>
        </is>
      </c>
      <c r="N470" t="inlineStr">
        <is>
          <t>Sem comprovante</t>
        </is>
      </c>
      <c r="O470" t="inlineStr">
        <is>
          <t>Compra no débito - AMP* POSTO DE COMB VI</t>
        </is>
      </c>
    </row>
    <row r="471">
      <c r="A471" s="29" t="n">
        <v>46134</v>
      </c>
      <c r="B471" t="n">
        <v>4</v>
      </c>
      <c r="C471" t="n">
        <v>2026</v>
      </c>
      <c r="D471" t="inlineStr">
        <is>
          <t>Pessoal</t>
        </is>
      </c>
      <c r="E471" t="inlineStr">
        <is>
          <t>Contas Variáveis</t>
        </is>
      </c>
      <c r="F471" t="inlineStr">
        <is>
          <t>Combustível</t>
        </is>
      </c>
      <c r="G471" t="inlineStr">
        <is>
          <t>Despesa</t>
        </is>
      </c>
      <c r="H471" s="3" t="n">
        <v>-7.5</v>
      </c>
      <c r="I471" t="inlineStr">
        <is>
          <t>Débito</t>
        </is>
      </c>
      <c r="J471" t="inlineStr">
        <is>
          <t>Não</t>
        </is>
      </c>
      <c r="K471" t="inlineStr">
        <is>
          <t>Eventual</t>
        </is>
      </c>
      <c r="L471" t="inlineStr"/>
      <c r="M471" t="inlineStr">
        <is>
          <t>Nubank NU_370124875_01ABR2026_30ABR2026.csv</t>
        </is>
      </c>
      <c r="N471" t="inlineStr">
        <is>
          <t>Sem comprovante</t>
        </is>
      </c>
      <c r="O471" t="inlineStr">
        <is>
          <t>Compra no débito - POSTO FAROL DO PARQUE</t>
        </is>
      </c>
    </row>
    <row r="472">
      <c r="A472" s="29" t="n">
        <v>46136</v>
      </c>
      <c r="B472" t="n">
        <v>4</v>
      </c>
      <c r="C472" t="n">
        <v>2026</v>
      </c>
      <c r="D472" t="inlineStr">
        <is>
          <t>Pessoal</t>
        </is>
      </c>
      <c r="E472" t="inlineStr">
        <is>
          <t>Contas Variáveis</t>
        </is>
      </c>
      <c r="F472" t="inlineStr">
        <is>
          <t>Compras Diversas</t>
        </is>
      </c>
      <c r="G472" t="inlineStr">
        <is>
          <t>Despesa</t>
        </is>
      </c>
      <c r="H472" s="3" t="n">
        <v>-26.3</v>
      </c>
      <c r="I472" t="inlineStr">
        <is>
          <t>Débito</t>
        </is>
      </c>
      <c r="J472" t="inlineStr">
        <is>
          <t>Não</t>
        </is>
      </c>
      <c r="K472" t="inlineStr">
        <is>
          <t>Eventual</t>
        </is>
      </c>
      <c r="L472" t="inlineStr"/>
      <c r="M472" t="inlineStr">
        <is>
          <t>Nubank NU_370124875_01ABR2026_30ABR2026.csv</t>
        </is>
      </c>
      <c r="N472" t="inlineStr">
        <is>
          <t>Sem comprovante</t>
        </is>
      </c>
      <c r="O472" t="inlineStr">
        <is>
          <t>Compra no débito - CANAL TERRA</t>
        </is>
      </c>
    </row>
    <row r="473">
      <c r="A473" s="29" t="n">
        <v>46136</v>
      </c>
      <c r="B473" t="n">
        <v>4</v>
      </c>
      <c r="C473" t="n">
        <v>2026</v>
      </c>
      <c r="D473" t="inlineStr">
        <is>
          <t>Pessoal</t>
        </is>
      </c>
      <c r="E473" t="inlineStr">
        <is>
          <t>Contas Variáveis</t>
        </is>
      </c>
      <c r="F473" t="inlineStr">
        <is>
          <t>Restaurante / Alimentação</t>
        </is>
      </c>
      <c r="G473" t="inlineStr">
        <is>
          <t>Despesa</t>
        </is>
      </c>
      <c r="H473" s="3" t="n">
        <v>-202.4</v>
      </c>
      <c r="I473" t="inlineStr">
        <is>
          <t>Débito</t>
        </is>
      </c>
      <c r="J473" t="inlineStr">
        <is>
          <t>Não</t>
        </is>
      </c>
      <c r="K473" t="inlineStr">
        <is>
          <t>Eventual</t>
        </is>
      </c>
      <c r="L473" t="inlineStr"/>
      <c r="M473" t="inlineStr">
        <is>
          <t>Nubank NU_370124875_01ABR2026_30ABR2026.csv</t>
        </is>
      </c>
      <c r="N473" t="inlineStr">
        <is>
          <t>Sem comprovante</t>
        </is>
      </c>
      <c r="O473" t="inlineStr">
        <is>
          <t>Compra no débito - DUSSELDORF COMERCIO</t>
        </is>
      </c>
    </row>
    <row r="474">
      <c r="A474" s="29" t="n">
        <v>46136</v>
      </c>
      <c r="B474" t="n">
        <v>4</v>
      </c>
      <c r="C474" t="n">
        <v>2026</v>
      </c>
      <c r="D474" t="inlineStr">
        <is>
          <t>Pessoal</t>
        </is>
      </c>
      <c r="E474" t="inlineStr">
        <is>
          <t>Contas Variáveis</t>
        </is>
      </c>
      <c r="F474" t="inlineStr">
        <is>
          <t>Combustível</t>
        </is>
      </c>
      <c r="G474" t="inlineStr">
        <is>
          <t>Despesa</t>
        </is>
      </c>
      <c r="H474" s="3" t="n">
        <v>-100</v>
      </c>
      <c r="I474" t="inlineStr">
        <is>
          <t>Débito</t>
        </is>
      </c>
      <c r="J474" t="inlineStr">
        <is>
          <t>Não</t>
        </is>
      </c>
      <c r="K474" t="inlineStr">
        <is>
          <t>Eventual</t>
        </is>
      </c>
      <c r="L474" t="inlineStr"/>
      <c r="M474" t="inlineStr">
        <is>
          <t>Nubank NU_370124875_01ABR2026_30ABR2026.csv</t>
        </is>
      </c>
      <c r="N474" t="inlineStr">
        <is>
          <t>Sem comprovante</t>
        </is>
      </c>
      <c r="O474" t="inlineStr">
        <is>
          <t>Compra no débito - POSTO TOP GAS</t>
        </is>
      </c>
    </row>
    <row r="475">
      <c r="A475" s="29" t="n">
        <v>46136</v>
      </c>
      <c r="B475" t="n">
        <v>4</v>
      </c>
      <c r="C475" t="n">
        <v>2026</v>
      </c>
      <c r="D475" t="inlineStr">
        <is>
          <t>Pessoal</t>
        </is>
      </c>
      <c r="E475" t="inlineStr">
        <is>
          <t>Contas Variáveis</t>
        </is>
      </c>
      <c r="F475" t="inlineStr">
        <is>
          <t>Compra no débito</t>
        </is>
      </c>
      <c r="G475" t="inlineStr">
        <is>
          <t>Despesa</t>
        </is>
      </c>
      <c r="H475" s="3" t="n">
        <v>-35</v>
      </c>
      <c r="I475" t="inlineStr">
        <is>
          <t>Débito</t>
        </is>
      </c>
      <c r="J475" t="inlineStr">
        <is>
          <t>Não</t>
        </is>
      </c>
      <c r="K475" t="inlineStr">
        <is>
          <t>Eventual</t>
        </is>
      </c>
      <c r="L475" t="inlineStr"/>
      <c r="M475" t="inlineStr">
        <is>
          <t>Nubank NU_370124875_01ABR2026_30ABR2026.csv</t>
        </is>
      </c>
      <c r="N475" t="inlineStr">
        <is>
          <t>Sem comprovante</t>
        </is>
      </c>
      <c r="O475" t="inlineStr">
        <is>
          <t>Compra no débito - RosabelMoya</t>
        </is>
      </c>
    </row>
    <row r="476">
      <c r="A476" s="29" t="n">
        <v>46136</v>
      </c>
      <c r="B476" t="n">
        <v>4</v>
      </c>
      <c r="C476" t="n">
        <v>2026</v>
      </c>
      <c r="D476" t="inlineStr">
        <is>
          <t>Geral</t>
        </is>
      </c>
      <c r="E476" t="inlineStr">
        <is>
          <t>Outros</t>
        </is>
      </c>
      <c r="F476" t="inlineStr">
        <is>
          <t>Pagamento de fatura cartão</t>
        </is>
      </c>
      <c r="G476" t="inlineStr">
        <is>
          <t>Despesa</t>
        </is>
      </c>
      <c r="H476" s="3" t="n">
        <v>-500</v>
      </c>
      <c r="I476" t="inlineStr">
        <is>
          <t>Outro</t>
        </is>
      </c>
      <c r="J476" t="inlineStr">
        <is>
          <t>Não</t>
        </is>
      </c>
      <c r="K476" t="inlineStr">
        <is>
          <t>Eventual</t>
        </is>
      </c>
      <c r="L476" t="inlineStr"/>
      <c r="M476" t="inlineStr">
        <is>
          <t>Nubank NU_370124875_01ABR2026_30ABR2026.csv</t>
        </is>
      </c>
      <c r="N476" t="inlineStr">
        <is>
          <t>Sem comprovante</t>
        </is>
      </c>
      <c r="O476" t="inlineStr">
        <is>
          <t>Pagamento de fatura</t>
        </is>
      </c>
    </row>
    <row r="477">
      <c r="A477" s="29" t="n">
        <v>46136</v>
      </c>
      <c r="B477" t="n">
        <v>4</v>
      </c>
      <c r="C477" t="n">
        <v>2026</v>
      </c>
      <c r="D477" t="inlineStr">
        <is>
          <t>Geral</t>
        </is>
      </c>
      <c r="E477" t="inlineStr">
        <is>
          <t>Pessoal</t>
        </is>
      </c>
      <c r="F477" t="inlineStr">
        <is>
          <t>Bruno Luiz (familiar)</t>
        </is>
      </c>
      <c r="G477" t="inlineStr">
        <is>
          <t>Despesa</t>
        </is>
      </c>
      <c r="H477" s="3" t="n">
        <v>-200</v>
      </c>
      <c r="I477" t="inlineStr">
        <is>
          <t>Pix</t>
        </is>
      </c>
      <c r="J477" t="inlineStr">
        <is>
          <t>Não</t>
        </is>
      </c>
      <c r="K477" t="inlineStr">
        <is>
          <t>Eventual</t>
        </is>
      </c>
      <c r="L477" t="inlineStr"/>
      <c r="M477" t="inlineStr">
        <is>
          <t>Nubank NU_370124875_01ABR2026_30ABR2026.csv</t>
        </is>
      </c>
      <c r="N477" t="inlineStr">
        <is>
          <t>Sem comprovante</t>
        </is>
      </c>
      <c r="O477" t="inlineStr">
        <is>
          <t>Transferência enviada pelo Pix - BRUNO LUIZ SASTRE SEUS JUNIOR - •••.516.739-•• - BCO BRADESCO S.A. (0237) Agência: 3925 Conta: 165900-6</t>
        </is>
      </c>
    </row>
    <row r="478">
      <c r="A478" s="29" t="n">
        <v>46136</v>
      </c>
      <c r="B478" t="n">
        <v>4</v>
      </c>
      <c r="C478" t="n">
        <v>2026</v>
      </c>
      <c r="D478" t="inlineStr">
        <is>
          <t>Studio</t>
        </is>
      </c>
      <c r="E478" t="inlineStr">
        <is>
          <t>Receita - Denise (Salão)</t>
        </is>
      </c>
      <c r="F478" t="inlineStr">
        <is>
          <t>Depósito recebido de Denise / Salão</t>
        </is>
      </c>
      <c r="G478" t="inlineStr">
        <is>
          <t>Receita</t>
        </is>
      </c>
      <c r="H478" s="3" t="n">
        <v>500</v>
      </c>
      <c r="I478" t="inlineStr">
        <is>
          <t>Pix</t>
        </is>
      </c>
      <c r="J478" t="inlineStr">
        <is>
          <t>Não</t>
        </is>
      </c>
      <c r="K478" t="inlineStr">
        <is>
          <t>Eventual</t>
        </is>
      </c>
      <c r="L478" t="inlineStr"/>
      <c r="M478" t="inlineStr">
        <is>
          <t>Nubank NU_370124875_01ABR2026_30ABR2026.csv</t>
        </is>
      </c>
      <c r="N478" t="inlineStr">
        <is>
          <t>Recebido</t>
        </is>
      </c>
      <c r="O478" t="inlineStr">
        <is>
          <t>Transferência recebida pelo Pix - DENISE DE PAULA CENTRO DE ESTETICA LTDA - 05.823.454/0001-86 - MERCADO PAGO IP LTDA. (0323) Agência: 1 Conta: 8804533771-0</t>
        </is>
      </c>
    </row>
    <row r="479">
      <c r="A479" s="29" t="n">
        <v>46136</v>
      </c>
      <c r="B479" t="n">
        <v>4</v>
      </c>
      <c r="C479" t="n">
        <v>2026</v>
      </c>
      <c r="D479" t="inlineStr">
        <is>
          <t>Studio</t>
        </is>
      </c>
      <c r="E479" t="inlineStr">
        <is>
          <t>Receita - Denise (Salão)</t>
        </is>
      </c>
      <c r="F479" t="inlineStr">
        <is>
          <t>Depósito recebido de Denise / Salão</t>
        </is>
      </c>
      <c r="G479" t="inlineStr">
        <is>
          <t>Receita</t>
        </is>
      </c>
      <c r="H479" s="3" t="n">
        <v>600</v>
      </c>
      <c r="I479" t="inlineStr">
        <is>
          <t>Pix</t>
        </is>
      </c>
      <c r="J479" t="inlineStr">
        <is>
          <t>Não</t>
        </is>
      </c>
      <c r="K479" t="inlineStr">
        <is>
          <t>Eventual</t>
        </is>
      </c>
      <c r="L479" t="inlineStr"/>
      <c r="M479" t="inlineStr">
        <is>
          <t>Nubank NU_370124875_01ABR2026_30ABR2026.csv</t>
        </is>
      </c>
      <c r="N479" t="inlineStr">
        <is>
          <t>Recebido</t>
        </is>
      </c>
      <c r="O479" t="inlineStr">
        <is>
          <t>Transferência recebida pelo Pix - DENISE DE PAULA CENTRO DE ESTETICA LTDA - 05.823.454/0001-86 - MERCADO PAGO IP LTDA. (0323) Agência: 1 Conta: 8804533771-0</t>
        </is>
      </c>
    </row>
    <row r="480">
      <c r="A480" s="29" t="n">
        <v>46137</v>
      </c>
      <c r="B480" t="n">
        <v>4</v>
      </c>
      <c r="C480" t="n">
        <v>2026</v>
      </c>
      <c r="D480" t="inlineStr">
        <is>
          <t>Pessoal</t>
        </is>
      </c>
      <c r="E480" t="inlineStr">
        <is>
          <t>Contas Variáveis</t>
        </is>
      </c>
      <c r="F480" t="inlineStr">
        <is>
          <t>Mercado</t>
        </is>
      </c>
      <c r="G480" t="inlineStr">
        <is>
          <t>Despesa</t>
        </is>
      </c>
      <c r="H480" s="3" t="n">
        <v>-20.49</v>
      </c>
      <c r="I480" t="inlineStr">
        <is>
          <t>Débito</t>
        </is>
      </c>
      <c r="J480" t="inlineStr">
        <is>
          <t>Não</t>
        </is>
      </c>
      <c r="K480" t="inlineStr">
        <is>
          <t>Eventual</t>
        </is>
      </c>
      <c r="L480" t="inlineStr"/>
      <c r="M480" t="inlineStr">
        <is>
          <t>Nubank NU_370124875_01ABR2026_30ABR2026.csv</t>
        </is>
      </c>
      <c r="N480" t="inlineStr">
        <is>
          <t>Sem comprovante</t>
        </is>
      </c>
      <c r="O480" t="inlineStr">
        <is>
          <t>Compra no débito - CONDOR AUTO POSTO</t>
        </is>
      </c>
    </row>
    <row r="481">
      <c r="A481" s="29" t="n">
        <v>46137</v>
      </c>
      <c r="B481" t="n">
        <v>4</v>
      </c>
      <c r="C481" t="n">
        <v>2026</v>
      </c>
      <c r="D481" t="inlineStr">
        <is>
          <t>Pessoal</t>
        </is>
      </c>
      <c r="E481" t="inlineStr">
        <is>
          <t>Contas Variáveis</t>
        </is>
      </c>
      <c r="F481" t="inlineStr">
        <is>
          <t>Farmácia</t>
        </is>
      </c>
      <c r="G481" t="inlineStr">
        <is>
          <t>Despesa</t>
        </is>
      </c>
      <c r="H481" s="3" t="n">
        <v>-38.96</v>
      </c>
      <c r="I481" t="inlineStr">
        <is>
          <t>Débito</t>
        </is>
      </c>
      <c r="J481" t="inlineStr">
        <is>
          <t>Não</t>
        </is>
      </c>
      <c r="K481" t="inlineStr">
        <is>
          <t>Eventual</t>
        </is>
      </c>
      <c r="L481" t="inlineStr"/>
      <c r="M481" t="inlineStr">
        <is>
          <t>Nubank NU_370124875_01ABR2026_30ABR2026.csv</t>
        </is>
      </c>
      <c r="N481" t="inlineStr">
        <is>
          <t>Sem comprovante</t>
        </is>
      </c>
      <c r="O481" t="inlineStr">
        <is>
          <t>Compra no débito - RAIA227</t>
        </is>
      </c>
    </row>
    <row r="482">
      <c r="A482" s="29" t="n">
        <v>46138</v>
      </c>
      <c r="B482" t="n">
        <v>4</v>
      </c>
      <c r="C482" t="n">
        <v>2026</v>
      </c>
      <c r="D482" t="inlineStr">
        <is>
          <t>Pessoal</t>
        </is>
      </c>
      <c r="E482" t="inlineStr">
        <is>
          <t>Contas Variáveis</t>
        </is>
      </c>
      <c r="F482" t="inlineStr">
        <is>
          <t>Restaurante / Alimentação</t>
        </is>
      </c>
      <c r="G482" t="inlineStr">
        <is>
          <t>Despesa</t>
        </is>
      </c>
      <c r="H482" s="3" t="n">
        <v>-176.92</v>
      </c>
      <c r="I482" t="inlineStr">
        <is>
          <t>Débito</t>
        </is>
      </c>
      <c r="J482" t="inlineStr">
        <is>
          <t>Não</t>
        </is>
      </c>
      <c r="K482" t="inlineStr">
        <is>
          <t>Eventual</t>
        </is>
      </c>
      <c r="L482" t="inlineStr"/>
      <c r="M482" t="inlineStr">
        <is>
          <t>Nubank NU_370124875_01ABR2026_30ABR2026.csv</t>
        </is>
      </c>
      <c r="N482" t="inlineStr">
        <is>
          <t>Sem comprovante</t>
        </is>
      </c>
      <c r="O482" t="inlineStr">
        <is>
          <t>Compra no débito - SANTA FELICIDADE</t>
        </is>
      </c>
    </row>
    <row r="483">
      <c r="A483" s="29" t="n">
        <v>46138</v>
      </c>
      <c r="B483" t="n">
        <v>4</v>
      </c>
      <c r="C483" t="n">
        <v>2026</v>
      </c>
      <c r="D483" t="inlineStr">
        <is>
          <t>Pessoal</t>
        </is>
      </c>
      <c r="E483" t="inlineStr">
        <is>
          <t>Contas Variáveis</t>
        </is>
      </c>
      <c r="F483" t="inlineStr">
        <is>
          <t>Compras Diversas</t>
        </is>
      </c>
      <c r="G483" t="inlineStr">
        <is>
          <t>Despesa</t>
        </is>
      </c>
      <c r="H483" s="3" t="n">
        <v>-46.28</v>
      </c>
      <c r="I483" t="inlineStr">
        <is>
          <t>Débito</t>
        </is>
      </c>
      <c r="J483" t="inlineStr">
        <is>
          <t>Não</t>
        </is>
      </c>
      <c r="K483" t="inlineStr">
        <is>
          <t>Eventual</t>
        </is>
      </c>
      <c r="L483" t="inlineStr"/>
      <c r="M483" t="inlineStr">
        <is>
          <t>Nubank NU_370124875_01ABR2026_30ABR2026.csv</t>
        </is>
      </c>
      <c r="N483" t="inlineStr">
        <is>
          <t>Sem comprovante</t>
        </is>
      </c>
      <c r="O483" t="inlineStr">
        <is>
          <t>Compra no débito - TOALDO TULIO 65</t>
        </is>
      </c>
    </row>
    <row r="484">
      <c r="A484" s="29" t="n">
        <v>46138</v>
      </c>
      <c r="B484" t="n">
        <v>4</v>
      </c>
      <c r="C484" t="n">
        <v>2026</v>
      </c>
      <c r="D484" t="inlineStr">
        <is>
          <t>Pessoal</t>
        </is>
      </c>
      <c r="E484" t="inlineStr">
        <is>
          <t>Contas Variáveis</t>
        </is>
      </c>
      <c r="F484" t="inlineStr">
        <is>
          <t>Compra no débito</t>
        </is>
      </c>
      <c r="G484" t="inlineStr">
        <is>
          <t>Despesa</t>
        </is>
      </c>
      <c r="H484" s="3" t="n">
        <v>-60.11</v>
      </c>
      <c r="I484" t="inlineStr">
        <is>
          <t>Débito</t>
        </is>
      </c>
      <c r="J484" t="inlineStr">
        <is>
          <t>Não</t>
        </is>
      </c>
      <c r="K484" t="inlineStr">
        <is>
          <t>Eventual</t>
        </is>
      </c>
      <c r="L484" t="inlineStr"/>
      <c r="M484" t="inlineStr">
        <is>
          <t>Nubank NU_370124875_01ABR2026_30ABR2026.csv</t>
        </is>
      </c>
      <c r="N484" t="inlineStr">
        <is>
          <t>Sem comprovante</t>
        </is>
      </c>
      <c r="O484" t="inlineStr">
        <is>
          <t>Compra no débito - VICPAES</t>
        </is>
      </c>
    </row>
    <row r="485">
      <c r="A485" s="29" t="n">
        <v>46138</v>
      </c>
      <c r="B485" t="n">
        <v>4</v>
      </c>
      <c r="C485" t="n">
        <v>2026</v>
      </c>
      <c r="D485" t="inlineStr">
        <is>
          <t>Studio</t>
        </is>
      </c>
      <c r="E485" t="inlineStr">
        <is>
          <t>Receita - Midialike</t>
        </is>
      </c>
      <c r="F485" t="inlineStr">
        <is>
          <t>Depósito Midialike</t>
        </is>
      </c>
      <c r="G485" t="inlineStr">
        <is>
          <t>Receita</t>
        </is>
      </c>
      <c r="H485" s="3" t="n">
        <v>300</v>
      </c>
      <c r="I485" t="inlineStr">
        <is>
          <t>Pix</t>
        </is>
      </c>
      <c r="J485" t="inlineStr">
        <is>
          <t>Sim</t>
        </is>
      </c>
      <c r="K485" t="inlineStr">
        <is>
          <t>Mensal</t>
        </is>
      </c>
      <c r="L485" t="inlineStr"/>
      <c r="M485" t="inlineStr">
        <is>
          <t>Nubank NU_370124875_01ABR2026_30ABR2026.csv</t>
        </is>
      </c>
      <c r="N485" t="inlineStr">
        <is>
          <t>Recebido</t>
        </is>
      </c>
      <c r="O485" t="inlineStr">
        <is>
          <t>Transferência recebida pelo Pix - MIDIA LIKE LTDA - 17.930.007/0001-05 - BCO C6 S.A. (0336) Agência: 1 Conta: 31709544-7</t>
        </is>
      </c>
    </row>
    <row r="486">
      <c r="A486" s="29" t="n">
        <v>46140</v>
      </c>
      <c r="B486" t="n">
        <v>4</v>
      </c>
      <c r="C486" t="n">
        <v>2026</v>
      </c>
      <c r="D486" t="inlineStr">
        <is>
          <t>Geral</t>
        </is>
      </c>
      <c r="E486" t="inlineStr">
        <is>
          <t>Contas Fixas</t>
        </is>
      </c>
      <c r="F486" t="inlineStr">
        <is>
          <t>Assinatura Canva</t>
        </is>
      </c>
      <c r="G486" t="inlineStr">
        <is>
          <t>Despesa</t>
        </is>
      </c>
      <c r="H486" s="3" t="n">
        <v>-35</v>
      </c>
      <c r="I486" t="inlineStr">
        <is>
          <t>Débito</t>
        </is>
      </c>
      <c r="J486" t="inlineStr">
        <is>
          <t>Sim</t>
        </is>
      </c>
      <c r="K486" t="inlineStr">
        <is>
          <t>Mensal</t>
        </is>
      </c>
      <c r="L486" t="inlineStr"/>
      <c r="M486" t="inlineStr">
        <is>
          <t>Nubank NU_370124875_01ABR2026_30ABR2026.csv</t>
        </is>
      </c>
      <c r="N486" t="inlineStr">
        <is>
          <t>Sem comprovante</t>
        </is>
      </c>
      <c r="O486" t="inlineStr">
        <is>
          <t>Compra no débito via NuPay - EBW*Canva</t>
        </is>
      </c>
    </row>
    <row r="487">
      <c r="A487" s="29" t="n">
        <v>46143</v>
      </c>
      <c r="B487" t="n">
        <v>5</v>
      </c>
      <c r="C487" t="n">
        <v>2026</v>
      </c>
      <c r="D487" t="inlineStr">
        <is>
          <t>Geral</t>
        </is>
      </c>
      <c r="E487" t="inlineStr">
        <is>
          <t>Contas Fixas</t>
        </is>
      </c>
      <c r="F487" t="inlineStr">
        <is>
          <t>Assinatura Meli+</t>
        </is>
      </c>
      <c r="G487" t="inlineStr">
        <is>
          <t>Despesa</t>
        </is>
      </c>
      <c r="H487" s="3" t="n">
        <v>-9.9</v>
      </c>
      <c r="I487" t="inlineStr">
        <is>
          <t>Outro</t>
        </is>
      </c>
      <c r="J487" t="inlineStr">
        <is>
          <t>Sim</t>
        </is>
      </c>
      <c r="K487" t="inlineStr">
        <is>
          <t>Mensal</t>
        </is>
      </c>
      <c r="L487" t="inlineStr"/>
      <c r="M487" t="inlineStr">
        <is>
          <t>Mercado Pago account_statement-3b5a5492-8314-4c08-9511-4dbebbc07c06 - cópia.xlsx</t>
        </is>
      </c>
      <c r="N487" t="inlineStr">
        <is>
          <t>Sem comprovante</t>
        </is>
      </c>
      <c r="O487" t="inlineStr">
        <is>
          <t>Pagamento de assinatura Meli+</t>
        </is>
      </c>
    </row>
    <row r="488">
      <c r="A488" s="29" t="n">
        <v>46143</v>
      </c>
      <c r="B488" t="n">
        <v>5</v>
      </c>
      <c r="C488" t="n">
        <v>2026</v>
      </c>
      <c r="D488" t="inlineStr">
        <is>
          <t>Geral</t>
        </is>
      </c>
      <c r="E488" t="inlineStr">
        <is>
          <t>Transferência - Bruno (própria)</t>
        </is>
      </c>
      <c r="F488" t="inlineStr">
        <is>
          <t>Pix Bruno→Bruno (entre contas próprias)</t>
        </is>
      </c>
      <c r="G488" t="inlineStr">
        <is>
          <t>Despesa</t>
        </is>
      </c>
      <c r="H488" s="3" t="n">
        <v>-500</v>
      </c>
      <c r="I488" t="inlineStr">
        <is>
          <t>Pix</t>
        </is>
      </c>
      <c r="J488" t="inlineStr">
        <is>
          <t>Não</t>
        </is>
      </c>
      <c r="K488" t="inlineStr">
        <is>
          <t>Eventual</t>
        </is>
      </c>
      <c r="L488" t="inlineStr"/>
      <c r="M488" t="inlineStr">
        <is>
          <t>Mercado Pago account_statement-3b5a5492-8314-4c08-9511-4dbebbc07c06 - cópia.xlsx</t>
        </is>
      </c>
      <c r="N488" t="inlineStr">
        <is>
          <t>Sem comprovante</t>
        </is>
      </c>
      <c r="O488" t="inlineStr">
        <is>
          <t>Pix enviado Bruno Porto Seus</t>
        </is>
      </c>
    </row>
    <row r="489">
      <c r="A489" s="29" t="n">
        <v>46143</v>
      </c>
      <c r="B489" t="n">
        <v>5</v>
      </c>
      <c r="C489" t="n">
        <v>2026</v>
      </c>
      <c r="D489" t="inlineStr">
        <is>
          <t>Geral</t>
        </is>
      </c>
      <c r="E489" t="inlineStr">
        <is>
          <t>Pessoal</t>
        </is>
      </c>
      <c r="F489" t="inlineStr">
        <is>
          <t>Bruno Luiz (familiar)</t>
        </is>
      </c>
      <c r="G489" t="inlineStr">
        <is>
          <t>Despesa</t>
        </is>
      </c>
      <c r="H489" s="3" t="n">
        <v>-200</v>
      </c>
      <c r="I489" t="inlineStr">
        <is>
          <t>Pix</t>
        </is>
      </c>
      <c r="J489" t="inlineStr">
        <is>
          <t>Não</t>
        </is>
      </c>
      <c r="K489" t="inlineStr">
        <is>
          <t>Eventual</t>
        </is>
      </c>
      <c r="L489" t="inlineStr"/>
      <c r="M489" t="inlineStr">
        <is>
          <t>Nubank NU_370124875_01MAI2026_31MAI2026.csv</t>
        </is>
      </c>
      <c r="N489" t="inlineStr">
        <is>
          <t>Sem comprovante</t>
        </is>
      </c>
      <c r="O489" t="inlineStr">
        <is>
          <t>Transferência enviada pelo Pix - BRUNO LUIZ SASTRE SEUS JUNIOR - •••.516.739-•• - BCO BRADESCO S.A. (0237) Agência: 3925 Conta: 165900-6</t>
        </is>
      </c>
    </row>
    <row r="490">
      <c r="A490" s="29" t="n">
        <v>46143</v>
      </c>
      <c r="B490" t="n">
        <v>5</v>
      </c>
      <c r="C490" t="n">
        <v>2026</v>
      </c>
      <c r="D490" t="inlineStr">
        <is>
          <t>Studio</t>
        </is>
      </c>
      <c r="E490" t="inlineStr">
        <is>
          <t>Receita - Denise (Salão)</t>
        </is>
      </c>
      <c r="F490" t="inlineStr">
        <is>
          <t>Depósito recebido de Denise / Salão</t>
        </is>
      </c>
      <c r="G490" t="inlineStr">
        <is>
          <t>Receita</t>
        </is>
      </c>
      <c r="H490" s="3" t="n">
        <v>500</v>
      </c>
      <c r="I490" t="inlineStr">
        <is>
          <t>Pix</t>
        </is>
      </c>
      <c r="J490" t="inlineStr">
        <is>
          <t>Não</t>
        </is>
      </c>
      <c r="K490" t="inlineStr">
        <is>
          <t>Eventual</t>
        </is>
      </c>
      <c r="L490" t="inlineStr"/>
      <c r="M490" t="inlineStr">
        <is>
          <t>Nubank NU_370124875_01MAI2026_31MAI2026.csv</t>
        </is>
      </c>
      <c r="N490" t="inlineStr">
        <is>
          <t>Recebido</t>
        </is>
      </c>
      <c r="O490" t="inlineStr">
        <is>
          <t>Transferência recebida pelo Pix - DENISE DE PAULA CENTRO DE ESTETICA LTDA - 05.823.454/0001-86 - MERCADO PAGO IP LTDA. (0323) Agência: 1 Conta: 8804533771-0</t>
        </is>
      </c>
    </row>
    <row r="491">
      <c r="A491" s="29" t="n">
        <v>46143</v>
      </c>
      <c r="B491" t="n">
        <v>5</v>
      </c>
      <c r="C491" t="n">
        <v>2026</v>
      </c>
      <c r="D491" t="inlineStr">
        <is>
          <t>Studio</t>
        </is>
      </c>
      <c r="E491" t="inlineStr">
        <is>
          <t>Receita - Midialike</t>
        </is>
      </c>
      <c r="F491" t="inlineStr">
        <is>
          <t>Depósito Midialike</t>
        </is>
      </c>
      <c r="G491" t="inlineStr">
        <is>
          <t>Receita</t>
        </is>
      </c>
      <c r="H491" s="3" t="n">
        <v>150</v>
      </c>
      <c r="I491" t="inlineStr">
        <is>
          <t>Pix</t>
        </is>
      </c>
      <c r="J491" t="inlineStr">
        <is>
          <t>Sim</t>
        </is>
      </c>
      <c r="K491" t="inlineStr">
        <is>
          <t>Mensal</t>
        </is>
      </c>
      <c r="L491" t="inlineStr"/>
      <c r="M491" t="inlineStr">
        <is>
          <t>Nubank NU_370124875_01MAI2026_31MAI2026.csv</t>
        </is>
      </c>
      <c r="N491" t="inlineStr">
        <is>
          <t>Recebido</t>
        </is>
      </c>
      <c r="O491" t="inlineStr">
        <is>
          <t>Transferência recebida pelo Pix - MIDIA LIKE LTDA - 17.930.007/0001-05 - BCO C6 S.A. (0336) Agência: 1 Conta: 31709544-7</t>
        </is>
      </c>
    </row>
    <row r="492">
      <c r="A492" s="29" t="n">
        <v>46144</v>
      </c>
      <c r="B492" t="n">
        <v>5</v>
      </c>
      <c r="C492" t="n">
        <v>2026</v>
      </c>
      <c r="D492" t="inlineStr">
        <is>
          <t>Studio</t>
        </is>
      </c>
      <c r="E492" t="inlineStr">
        <is>
          <t>Outros</t>
        </is>
      </c>
      <c r="F492" t="inlineStr">
        <is>
          <t>Pagamento Cartão Nubank</t>
        </is>
      </c>
      <c r="G492" t="inlineStr">
        <is>
          <t>Despesa</t>
        </is>
      </c>
      <c r="H492" s="3" t="n">
        <v>-2516.57</v>
      </c>
      <c r="I492" t="inlineStr">
        <is>
          <t>Pix</t>
        </is>
      </c>
      <c r="J492" t="inlineStr">
        <is>
          <t>Não</t>
        </is>
      </c>
      <c r="K492" t="inlineStr">
        <is>
          <t>Eventual</t>
        </is>
      </c>
      <c r="L492" t="inlineStr"/>
      <c r="M492" t="inlineStr">
        <is>
          <t>Mercado Pago account_statement-3b5a5492-8314-4c08-9511-4dbebbc07c06 - cópia.xlsx</t>
        </is>
      </c>
      <c r="N492" t="inlineStr">
        <is>
          <t>Sem comprovante</t>
        </is>
      </c>
      <c r="O492" t="inlineStr">
        <is>
          <t>Pagamento com QR Pix NU PAGAMENTOS SA</t>
        </is>
      </c>
    </row>
    <row r="493">
      <c r="A493" s="29" t="n">
        <v>46144</v>
      </c>
      <c r="B493" t="n">
        <v>5</v>
      </c>
      <c r="C493" t="n">
        <v>2026</v>
      </c>
      <c r="D493" t="inlineStr">
        <is>
          <t>Studio</t>
        </is>
      </c>
      <c r="E493" t="inlineStr">
        <is>
          <t>Receita - Outros</t>
        </is>
      </c>
      <c r="F493" t="inlineStr">
        <is>
          <t>Receita não categorizada</t>
        </is>
      </c>
      <c r="G493" t="inlineStr">
        <is>
          <t>Receita</t>
        </is>
      </c>
      <c r="H493" s="3" t="n">
        <v>154</v>
      </c>
      <c r="I493" t="inlineStr">
        <is>
          <t>Pix</t>
        </is>
      </c>
      <c r="J493" t="inlineStr">
        <is>
          <t>Não</t>
        </is>
      </c>
      <c r="K493" t="inlineStr">
        <is>
          <t>Eventual</t>
        </is>
      </c>
      <c r="L493" t="inlineStr"/>
      <c r="M493" t="inlineStr">
        <is>
          <t>Nubank NU_370124875_01MAI2026_31MAI2026.csv</t>
        </is>
      </c>
      <c r="N493" t="inlineStr">
        <is>
          <t>Recebido</t>
        </is>
      </c>
      <c r="O493" t="inlineStr">
        <is>
          <t>Transferência recebida pelo Pix - ZAIDA PORTO SEUS - •••.144.769-•• - BCO BRADESCO S.A. (0237) Agência: 5750 Conta: 655913-1</t>
        </is>
      </c>
    </row>
    <row r="494">
      <c r="A494" s="29" t="n">
        <v>46145</v>
      </c>
      <c r="B494" t="n">
        <v>5</v>
      </c>
      <c r="C494" t="n">
        <v>2026</v>
      </c>
      <c r="D494" t="inlineStr">
        <is>
          <t>Pessoal</t>
        </is>
      </c>
      <c r="E494" t="inlineStr">
        <is>
          <t>Contas Variáveis</t>
        </is>
      </c>
      <c r="F494" t="inlineStr">
        <is>
          <t>Compra no débito</t>
        </is>
      </c>
      <c r="G494" t="inlineStr">
        <is>
          <t>Despesa</t>
        </is>
      </c>
      <c r="H494" s="3" t="n">
        <v>-19.9</v>
      </c>
      <c r="I494" t="inlineStr">
        <is>
          <t>Débito</t>
        </is>
      </c>
      <c r="J494" t="inlineStr">
        <is>
          <t>Não</t>
        </is>
      </c>
      <c r="K494" t="inlineStr">
        <is>
          <t>Eventual</t>
        </is>
      </c>
      <c r="L494" t="inlineStr"/>
      <c r="M494" t="inlineStr">
        <is>
          <t>Nubank NU_370124875_01MAI2026_31MAI2026.csv</t>
        </is>
      </c>
      <c r="N494" t="inlineStr">
        <is>
          <t>Sem comprovante</t>
        </is>
      </c>
      <c r="O494" t="inlineStr">
        <is>
          <t>Compra no débito - ArenasComercioDe</t>
        </is>
      </c>
    </row>
    <row r="495">
      <c r="A495" s="29" t="n">
        <v>46145</v>
      </c>
      <c r="B495" t="n">
        <v>5</v>
      </c>
      <c r="C495" t="n">
        <v>2026</v>
      </c>
      <c r="D495" t="inlineStr">
        <is>
          <t>Pessoal</t>
        </is>
      </c>
      <c r="E495" t="inlineStr">
        <is>
          <t>Contas Variáveis</t>
        </is>
      </c>
      <c r="F495" t="inlineStr">
        <is>
          <t>Compra no débito</t>
        </is>
      </c>
      <c r="G495" t="inlineStr">
        <is>
          <t>Despesa</t>
        </is>
      </c>
      <c r="H495" s="3" t="n">
        <v>-19.9</v>
      </c>
      <c r="I495" t="inlineStr">
        <is>
          <t>Débito</t>
        </is>
      </c>
      <c r="J495" t="inlineStr">
        <is>
          <t>Não</t>
        </is>
      </c>
      <c r="K495" t="inlineStr">
        <is>
          <t>Eventual</t>
        </is>
      </c>
      <c r="L495" t="inlineStr"/>
      <c r="M495" t="inlineStr">
        <is>
          <t>Nubank NU_370124875_01MAI2026_31MAI2026.csv</t>
        </is>
      </c>
      <c r="N495" t="inlineStr">
        <is>
          <t>Sem comprovante</t>
        </is>
      </c>
      <c r="O495" t="inlineStr">
        <is>
          <t>Compra no débito - ArenasComercioDe</t>
        </is>
      </c>
    </row>
    <row r="496">
      <c r="A496" s="29" t="n">
        <v>46146</v>
      </c>
      <c r="B496" t="n">
        <v>5</v>
      </c>
      <c r="C496" t="n">
        <v>2026</v>
      </c>
      <c r="D496" t="inlineStr">
        <is>
          <t>Geral</t>
        </is>
      </c>
      <c r="E496" t="inlineStr">
        <is>
          <t>Contas Fixas</t>
        </is>
      </c>
      <c r="F496" t="inlineStr">
        <is>
          <t>Assinatura Spotify</t>
        </is>
      </c>
      <c r="G496" t="inlineStr">
        <is>
          <t>Despesa</t>
        </is>
      </c>
      <c r="H496" s="3" t="n">
        <v>-40.9</v>
      </c>
      <c r="I496" t="inlineStr">
        <is>
          <t>Débito</t>
        </is>
      </c>
      <c r="J496" t="inlineStr">
        <is>
          <t>Sim</t>
        </is>
      </c>
      <c r="K496" t="inlineStr">
        <is>
          <t>Mensal</t>
        </is>
      </c>
      <c r="L496" t="inlineStr"/>
      <c r="M496" t="inlineStr">
        <is>
          <t>Nubank NU_370124875_01MAI2026_31MAI2026.csv</t>
        </is>
      </c>
      <c r="N496" t="inlineStr">
        <is>
          <t>Sem comprovante</t>
        </is>
      </c>
      <c r="O496" t="inlineStr">
        <is>
          <t>Compra no débito via NuPay - EBW*Spotify</t>
        </is>
      </c>
    </row>
    <row r="497">
      <c r="A497" s="29" t="n">
        <v>46146</v>
      </c>
      <c r="B497" t="n">
        <v>5</v>
      </c>
      <c r="C497" t="n">
        <v>2026</v>
      </c>
      <c r="D497" t="inlineStr">
        <is>
          <t>Studio</t>
        </is>
      </c>
      <c r="E497" t="inlineStr">
        <is>
          <t>Receita - Liberação de Crédito</t>
        </is>
      </c>
      <c r="F497" t="inlineStr">
        <is>
          <t>Liberação de Crédito (Studio)</t>
        </is>
      </c>
      <c r="G497" t="inlineStr">
        <is>
          <t>Receita</t>
        </is>
      </c>
      <c r="H497" s="3" t="n">
        <v>494.45</v>
      </c>
      <c r="I497" t="inlineStr">
        <is>
          <t>Outro</t>
        </is>
      </c>
      <c r="J497" t="inlineStr">
        <is>
          <t>Não</t>
        </is>
      </c>
      <c r="K497" t="inlineStr">
        <is>
          <t>Eventual</t>
        </is>
      </c>
      <c r="L497" t="inlineStr"/>
      <c r="M497" t="inlineStr">
        <is>
          <t>Mercado Pago account_statement-3b5a5492-8314-4c08-9511-4dbebbc07c06 - cópia.xlsx</t>
        </is>
      </c>
      <c r="N497" t="inlineStr">
        <is>
          <t>Recebido</t>
        </is>
      </c>
      <c r="O497" t="inlineStr">
        <is>
          <t>Liberação de dinheiro</t>
        </is>
      </c>
    </row>
    <row r="498">
      <c r="A498" s="29" t="n">
        <v>46146</v>
      </c>
      <c r="B498" t="n">
        <v>5</v>
      </c>
      <c r="C498" t="n">
        <v>2026</v>
      </c>
      <c r="D498" t="inlineStr">
        <is>
          <t>Studio</t>
        </is>
      </c>
      <c r="E498" t="inlineStr">
        <is>
          <t>Contas Fixas</t>
        </is>
      </c>
      <c r="F498" t="inlineStr">
        <is>
          <t>Internet / Telecom</t>
        </is>
      </c>
      <c r="G498" t="inlineStr">
        <is>
          <t>Despesa</t>
        </is>
      </c>
      <c r="H498" s="3" t="n">
        <v>-200</v>
      </c>
      <c r="I498" t="inlineStr">
        <is>
          <t>Pix</t>
        </is>
      </c>
      <c r="J498" t="inlineStr">
        <is>
          <t>Sim</t>
        </is>
      </c>
      <c r="K498" t="inlineStr">
        <is>
          <t>Mensal</t>
        </is>
      </c>
      <c r="L498" t="inlineStr">
        <is>
          <t>Google/00000011-comprovante-157686740806.pdf</t>
        </is>
      </c>
      <c r="M498" t="inlineStr">
        <is>
          <t>Mercado Pago account_statement-3b5a5492-8314-4c08-9511-4dbebbc07c06 - cópia.xlsx</t>
        </is>
      </c>
      <c r="N498" t="inlineStr">
        <is>
          <t>Pago</t>
        </is>
      </c>
      <c r="O498" t="inlineStr">
        <is>
          <t>Pagamento com QR Pix GOOGLE BRASIL INTERNET LTDA.</t>
        </is>
      </c>
    </row>
    <row r="499">
      <c r="A499" s="29" t="n">
        <v>46146</v>
      </c>
      <c r="B499" t="n">
        <v>5</v>
      </c>
      <c r="C499" t="n">
        <v>2026</v>
      </c>
      <c r="D499" t="inlineStr">
        <is>
          <t>Geral</t>
        </is>
      </c>
      <c r="E499" t="inlineStr">
        <is>
          <t>Outros</t>
        </is>
      </c>
      <c r="F499" t="inlineStr">
        <is>
          <t>Pagamento Caixa</t>
        </is>
      </c>
      <c r="G499" t="inlineStr">
        <is>
          <t>Despesa</t>
        </is>
      </c>
      <c r="H499" s="3" t="n">
        <v>-2341.29</v>
      </c>
      <c r="I499" t="inlineStr">
        <is>
          <t>Boleto</t>
        </is>
      </c>
      <c r="J499" t="inlineStr">
        <is>
          <t>Não</t>
        </is>
      </c>
      <c r="K499" t="inlineStr">
        <is>
          <t>Eventual</t>
        </is>
      </c>
      <c r="L499" t="inlineStr"/>
      <c r="M499" t="inlineStr">
        <is>
          <t>Mercado Pago account_statement-3b5a5492-8314-4c08-9511-4dbebbc07c06 - cópia.xlsx</t>
        </is>
      </c>
      <c r="N499" t="inlineStr">
        <is>
          <t>Sem comprovante</t>
        </is>
      </c>
      <c r="O499" t="inlineStr">
        <is>
          <t>Pagamento de conta Caixa Econômica Federal</t>
        </is>
      </c>
    </row>
    <row r="500">
      <c r="A500" s="29" t="n">
        <v>46146</v>
      </c>
      <c r="B500" t="n">
        <v>5</v>
      </c>
      <c r="C500" t="n">
        <v>2026</v>
      </c>
      <c r="D500" t="inlineStr">
        <is>
          <t>Studio</t>
        </is>
      </c>
      <c r="E500" t="inlineStr">
        <is>
          <t>Receita - Reembolso</t>
        </is>
      </c>
      <c r="F500" t="inlineStr">
        <is>
          <t>Reembolso recebido</t>
        </is>
      </c>
      <c r="G500" t="inlineStr">
        <is>
          <t>Receita</t>
        </is>
      </c>
      <c r="H500" s="3" t="n">
        <v>44</v>
      </c>
      <c r="I500" t="inlineStr">
        <is>
          <t>Outro</t>
        </is>
      </c>
      <c r="J500" t="inlineStr">
        <is>
          <t>Não</t>
        </is>
      </c>
      <c r="K500" t="inlineStr">
        <is>
          <t>Eventual</t>
        </is>
      </c>
      <c r="L500" t="inlineStr"/>
      <c r="M500" t="inlineStr">
        <is>
          <t>Mercado Pago account_statement-3b5a5492-8314-4c08-9511-4dbebbc07c06 - cópia.xlsx</t>
        </is>
      </c>
      <c r="N500" t="inlineStr">
        <is>
          <t>Recebido</t>
        </is>
      </c>
      <c r="O500" t="inlineStr">
        <is>
          <t>Reembolso de compra Mercado Libre</t>
        </is>
      </c>
    </row>
    <row r="501">
      <c r="A501" s="29" t="n">
        <v>46146</v>
      </c>
      <c r="B501" t="n">
        <v>5</v>
      </c>
      <c r="C501" t="n">
        <v>2026</v>
      </c>
      <c r="D501" t="inlineStr">
        <is>
          <t>Studio</t>
        </is>
      </c>
      <c r="E501" t="inlineStr">
        <is>
          <t>Contas Fixas</t>
        </is>
      </c>
      <c r="F501" t="inlineStr">
        <is>
          <t>Internet / Telecom</t>
        </is>
      </c>
      <c r="G501" t="inlineStr">
        <is>
          <t>Despesa</t>
        </is>
      </c>
      <c r="H501" s="3" t="n">
        <v>-269.94</v>
      </c>
      <c r="I501" t="inlineStr">
        <is>
          <t>Outro</t>
        </is>
      </c>
      <c r="J501" t="inlineStr">
        <is>
          <t>Sim</t>
        </is>
      </c>
      <c r="K501" t="inlineStr">
        <is>
          <t>Mensal</t>
        </is>
      </c>
      <c r="L501" t="inlineStr"/>
      <c r="M501" t="inlineStr">
        <is>
          <t>Nubank NU_370124875_01MAI2026_31MAI2026.csv</t>
        </is>
      </c>
      <c r="N501" t="inlineStr">
        <is>
          <t>Sem comprovante</t>
        </is>
      </c>
      <c r="O501" t="inlineStr">
        <is>
          <t>Resgate de empréstimo</t>
        </is>
      </c>
    </row>
    <row r="502">
      <c r="A502" s="29" t="n">
        <v>46147</v>
      </c>
      <c r="B502" t="n">
        <v>5</v>
      </c>
      <c r="C502" t="n">
        <v>2026</v>
      </c>
      <c r="D502" t="inlineStr">
        <is>
          <t>Studio</t>
        </is>
      </c>
      <c r="E502" t="inlineStr">
        <is>
          <t>Receita - Liberação de Crédito</t>
        </is>
      </c>
      <c r="F502" t="inlineStr">
        <is>
          <t>Liberação de Crédito (Studio)</t>
        </is>
      </c>
      <c r="G502" t="inlineStr">
        <is>
          <t>Receita</t>
        </is>
      </c>
      <c r="H502" s="3" t="n">
        <v>242.39</v>
      </c>
      <c r="I502" t="inlineStr">
        <is>
          <t>Outro</t>
        </is>
      </c>
      <c r="J502" t="inlineStr">
        <is>
          <t>Não</t>
        </is>
      </c>
      <c r="K502" t="inlineStr">
        <is>
          <t>Eventual</t>
        </is>
      </c>
      <c r="L502" t="inlineStr"/>
      <c r="M502" t="inlineStr">
        <is>
          <t>Mercado Pago account_statement-3b5a5492-8314-4c08-9511-4dbebbc07c06 - cópia.xlsx</t>
        </is>
      </c>
      <c r="N502" t="inlineStr">
        <is>
          <t>Recebido</t>
        </is>
      </c>
      <c r="O502" t="inlineStr">
        <is>
          <t>Liberação de dinheiro</t>
        </is>
      </c>
    </row>
    <row r="503">
      <c r="A503" s="29" t="n">
        <v>46147</v>
      </c>
      <c r="B503" t="n">
        <v>5</v>
      </c>
      <c r="C503" t="n">
        <v>2026</v>
      </c>
      <c r="D503" t="inlineStr">
        <is>
          <t>Studio</t>
        </is>
      </c>
      <c r="E503" t="inlineStr">
        <is>
          <t>Receita - Liberação de Crédito</t>
        </is>
      </c>
      <c r="F503" t="inlineStr">
        <is>
          <t>Liberação de Crédito (Studio)</t>
        </is>
      </c>
      <c r="G503" t="inlineStr">
        <is>
          <t>Receita</t>
        </is>
      </c>
      <c r="H503" s="3" t="n">
        <v>472.55</v>
      </c>
      <c r="I503" t="inlineStr">
        <is>
          <t>Outro</t>
        </is>
      </c>
      <c r="J503" t="inlineStr">
        <is>
          <t>Não</t>
        </is>
      </c>
      <c r="K503" t="inlineStr">
        <is>
          <t>Eventual</t>
        </is>
      </c>
      <c r="L503" t="inlineStr"/>
      <c r="M503" t="inlineStr">
        <is>
          <t>Mercado Pago account_statement-3b5a5492-8314-4c08-9511-4dbebbc07c06 - cópia.xlsx</t>
        </is>
      </c>
      <c r="N503" t="inlineStr">
        <is>
          <t>Recebido</t>
        </is>
      </c>
      <c r="O503" t="inlineStr">
        <is>
          <t>Liberação de dinheiro</t>
        </is>
      </c>
    </row>
    <row r="504">
      <c r="A504" s="29" t="n">
        <v>46147</v>
      </c>
      <c r="B504" t="n">
        <v>5</v>
      </c>
      <c r="C504" t="n">
        <v>2026</v>
      </c>
      <c r="D504" t="inlineStr">
        <is>
          <t>Studio</t>
        </is>
      </c>
      <c r="E504" t="inlineStr">
        <is>
          <t>Contas Variáveis</t>
        </is>
      </c>
      <c r="F504" t="inlineStr">
        <is>
          <t>Google Ads / Google</t>
        </is>
      </c>
      <c r="G504" t="inlineStr">
        <is>
          <t>Despesa</t>
        </is>
      </c>
      <c r="H504" s="3" t="n">
        <v>-96.98999999999999</v>
      </c>
      <c r="I504" t="inlineStr">
        <is>
          <t>Outro</t>
        </is>
      </c>
      <c r="J504" t="inlineStr">
        <is>
          <t>Não</t>
        </is>
      </c>
      <c r="K504" t="inlineStr">
        <is>
          <t>Eventual</t>
        </is>
      </c>
      <c r="L504" t="inlineStr">
        <is>
          <t>Google/00000011-comprovante-157686740806.pdf</t>
        </is>
      </c>
      <c r="M504" t="inlineStr">
        <is>
          <t>Mercado Pago account_statement-3b5a5492-8314-4c08-9511-4dbebbc07c06 - cópia.xlsx</t>
        </is>
      </c>
      <c r="N504" t="inlineStr">
        <is>
          <t>Pago</t>
        </is>
      </c>
      <c r="O504" t="inlineStr">
        <is>
          <t>Pagamento GOOGLE BRASIL PAGAMENTOS LTDA.</t>
        </is>
      </c>
    </row>
    <row r="505">
      <c r="A505" s="29" t="n">
        <v>46147</v>
      </c>
      <c r="B505" t="n">
        <v>5</v>
      </c>
      <c r="C505" t="n">
        <v>2026</v>
      </c>
      <c r="D505" t="inlineStr">
        <is>
          <t>Pessoal</t>
        </is>
      </c>
      <c r="E505" t="inlineStr">
        <is>
          <t>Contas Variáveis</t>
        </is>
      </c>
      <c r="F505" t="inlineStr">
        <is>
          <t>Mercado</t>
        </is>
      </c>
      <c r="G505" t="inlineStr">
        <is>
          <t>Despesa</t>
        </is>
      </c>
      <c r="H505" s="3" t="n">
        <v>-90.16</v>
      </c>
      <c r="I505" t="inlineStr">
        <is>
          <t>Outro</t>
        </is>
      </c>
      <c r="J505" t="inlineStr">
        <is>
          <t>Não</t>
        </is>
      </c>
      <c r="K505" t="inlineStr">
        <is>
          <t>Eventual</t>
        </is>
      </c>
      <c r="L505" t="inlineStr"/>
      <c r="M505" t="inlineStr">
        <is>
          <t>Mercado Pago account_statement-3b5a5492-8314-4c08-9511-4dbebbc07c06 - cópia.xlsx</t>
        </is>
      </c>
      <c r="N505" t="inlineStr">
        <is>
          <t>Sem comprovante</t>
        </is>
      </c>
      <c r="O505" t="inlineStr">
        <is>
          <t>Pagamento Mercado Livre</t>
        </is>
      </c>
    </row>
    <row r="506">
      <c r="A506" s="29" t="n">
        <v>46147</v>
      </c>
      <c r="B506" t="n">
        <v>5</v>
      </c>
      <c r="C506" t="n">
        <v>2026</v>
      </c>
      <c r="D506" t="inlineStr">
        <is>
          <t>Studio</t>
        </is>
      </c>
      <c r="E506" t="inlineStr">
        <is>
          <t>Receita - Outros</t>
        </is>
      </c>
      <c r="F506" t="inlineStr">
        <is>
          <t>Receita não categorizada</t>
        </is>
      </c>
      <c r="G506" t="inlineStr">
        <is>
          <t>Receita</t>
        </is>
      </c>
      <c r="H506" s="3" t="n">
        <v>248.77</v>
      </c>
      <c r="I506" t="inlineStr">
        <is>
          <t>Pix</t>
        </is>
      </c>
      <c r="J506" t="inlineStr">
        <is>
          <t>Não</t>
        </is>
      </c>
      <c r="K506" t="inlineStr">
        <is>
          <t>Eventual</t>
        </is>
      </c>
      <c r="L506" t="inlineStr"/>
      <c r="M506" t="inlineStr">
        <is>
          <t>Mercado Pago account_statement-3b5a5492-8314-4c08-9511-4dbebbc07c06 - cópia.xlsx</t>
        </is>
      </c>
      <c r="N506" t="inlineStr">
        <is>
          <t>Recebido</t>
        </is>
      </c>
      <c r="O506" t="inlineStr">
        <is>
          <t>Pagamento com Código QR Pix SIMONE DO ROCIO PUCOVSKI GIANESINI</t>
        </is>
      </c>
    </row>
    <row r="507">
      <c r="A507" s="29" t="n">
        <v>46147</v>
      </c>
      <c r="B507" t="n">
        <v>5</v>
      </c>
      <c r="C507" t="n">
        <v>2026</v>
      </c>
      <c r="D507" t="inlineStr">
        <is>
          <t>Studio</t>
        </is>
      </c>
      <c r="E507" t="inlineStr">
        <is>
          <t>Outros</t>
        </is>
      </c>
      <c r="F507" t="inlineStr">
        <is>
          <t>Pagar.me (boleto)</t>
        </is>
      </c>
      <c r="G507" t="inlineStr">
        <is>
          <t>Despesa</t>
        </is>
      </c>
      <c r="H507" s="3" t="n">
        <v>-109.9</v>
      </c>
      <c r="I507" t="inlineStr">
        <is>
          <t>Pix</t>
        </is>
      </c>
      <c r="J507" t="inlineStr">
        <is>
          <t>Não</t>
        </is>
      </c>
      <c r="K507" t="inlineStr">
        <is>
          <t>Eventual</t>
        </is>
      </c>
      <c r="L507" t="inlineStr"/>
      <c r="M507" t="inlineStr">
        <is>
          <t>Mercado Pago account_statement-3b5a5492-8314-4c08-9511-4dbebbc07c06 - cópia.xlsx</t>
        </is>
      </c>
      <c r="N507" t="inlineStr">
        <is>
          <t>Sem comprovante</t>
        </is>
      </c>
      <c r="O507" t="inlineStr">
        <is>
          <t>Pagamento com QR Pix Pagar Me Instituicao De Pagamento Sa</t>
        </is>
      </c>
    </row>
    <row r="508">
      <c r="A508" s="29" t="n">
        <v>46147</v>
      </c>
      <c r="B508" t="n">
        <v>5</v>
      </c>
      <c r="C508" t="n">
        <v>2026</v>
      </c>
      <c r="D508" t="inlineStr">
        <is>
          <t>Geral</t>
        </is>
      </c>
      <c r="E508" t="inlineStr">
        <is>
          <t>Outros</t>
        </is>
      </c>
      <c r="F508" t="inlineStr">
        <is>
          <t>Transferência Pix Enviada</t>
        </is>
      </c>
      <c r="G508" t="inlineStr">
        <is>
          <t>Despesa</t>
        </is>
      </c>
      <c r="H508" s="3" t="n">
        <v>-1400</v>
      </c>
      <c r="I508" t="inlineStr">
        <is>
          <t>Pix</t>
        </is>
      </c>
      <c r="J508" t="inlineStr">
        <is>
          <t>Não</t>
        </is>
      </c>
      <c r="K508" t="inlineStr">
        <is>
          <t>Eventual</t>
        </is>
      </c>
      <c r="L508" t="inlineStr"/>
      <c r="M508" t="inlineStr">
        <is>
          <t>Mercado Pago account_statement-3b5a5492-8314-4c08-9511-4dbebbc07c06 - cópia.xlsx</t>
        </is>
      </c>
      <c r="N508" t="inlineStr">
        <is>
          <t>Sem comprovante</t>
        </is>
      </c>
      <c r="O508" t="inlineStr">
        <is>
          <t>Pix enviado 30.442.278 Aurelio Jose Osolinski</t>
        </is>
      </c>
    </row>
    <row r="509">
      <c r="A509" s="29" t="n">
        <v>46147</v>
      </c>
      <c r="B509" t="n">
        <v>5</v>
      </c>
      <c r="C509" t="n">
        <v>2026</v>
      </c>
      <c r="D509" t="inlineStr">
        <is>
          <t>Geral</t>
        </is>
      </c>
      <c r="E509" t="inlineStr">
        <is>
          <t>Outros</t>
        </is>
      </c>
      <c r="F509" t="inlineStr">
        <is>
          <t>Transferência Pix Enviada</t>
        </is>
      </c>
      <c r="G509" t="inlineStr">
        <is>
          <t>Despesa</t>
        </is>
      </c>
      <c r="H509" s="3" t="n">
        <v>-800</v>
      </c>
      <c r="I509" t="inlineStr">
        <is>
          <t>Pix</t>
        </is>
      </c>
      <c r="J509" t="inlineStr">
        <is>
          <t>Não</t>
        </is>
      </c>
      <c r="K509" t="inlineStr">
        <is>
          <t>Eventual</t>
        </is>
      </c>
      <c r="L509" t="inlineStr"/>
      <c r="M509" t="inlineStr">
        <is>
          <t>Mercado Pago account_statement-3b5a5492-8314-4c08-9511-4dbebbc07c06 - cópia.xlsx</t>
        </is>
      </c>
      <c r="N509" t="inlineStr">
        <is>
          <t>Sem comprovante</t>
        </is>
      </c>
      <c r="O509" t="inlineStr">
        <is>
          <t>Pix enviado Allan Libanio Pelissari</t>
        </is>
      </c>
    </row>
    <row r="510">
      <c r="A510" s="29" t="n">
        <v>46147</v>
      </c>
      <c r="B510" t="n">
        <v>5</v>
      </c>
      <c r="C510" t="n">
        <v>2026</v>
      </c>
      <c r="D510" t="inlineStr">
        <is>
          <t>Studio</t>
        </is>
      </c>
      <c r="E510" t="inlineStr">
        <is>
          <t>Pessoal</t>
        </is>
      </c>
      <c r="F510" t="inlineStr">
        <is>
          <t>Eliane</t>
        </is>
      </c>
      <c r="G510" t="inlineStr">
        <is>
          <t>Despesa</t>
        </is>
      </c>
      <c r="H510" s="3" t="n">
        <v>-1500</v>
      </c>
      <c r="I510" t="inlineStr">
        <is>
          <t>Pix</t>
        </is>
      </c>
      <c r="J510" t="inlineStr">
        <is>
          <t>Não</t>
        </is>
      </c>
      <c r="K510" t="inlineStr">
        <is>
          <t>Eventual</t>
        </is>
      </c>
      <c r="L510" t="inlineStr"/>
      <c r="M510" t="inlineStr">
        <is>
          <t>Mercado Pago account_statement-3b5a5492-8314-4c08-9511-4dbebbc07c06 - cópia.xlsx</t>
        </is>
      </c>
      <c r="N510" t="inlineStr">
        <is>
          <t>Sem comprovante</t>
        </is>
      </c>
      <c r="O510" t="inlineStr">
        <is>
          <t>Pix enviado Eliane do Rocio de Lima</t>
        </is>
      </c>
    </row>
    <row r="511">
      <c r="A511" s="29" t="n">
        <v>46148</v>
      </c>
      <c r="B511" t="n">
        <v>5</v>
      </c>
      <c r="C511" t="n">
        <v>2026</v>
      </c>
      <c r="D511" t="inlineStr">
        <is>
          <t>Studio</t>
        </is>
      </c>
      <c r="E511" t="inlineStr">
        <is>
          <t>Receita - Liberação de Crédito</t>
        </is>
      </c>
      <c r="F511" t="inlineStr">
        <is>
          <t>Liberação de Crédito (Studio)</t>
        </is>
      </c>
      <c r="G511" t="inlineStr">
        <is>
          <t>Receita</t>
        </is>
      </c>
      <c r="H511" s="3" t="n">
        <v>493.46</v>
      </c>
      <c r="I511" t="inlineStr">
        <is>
          <t>Outro</t>
        </is>
      </c>
      <c r="J511" t="inlineStr">
        <is>
          <t>Não</t>
        </is>
      </c>
      <c r="K511" t="inlineStr">
        <is>
          <t>Eventual</t>
        </is>
      </c>
      <c r="L511" t="inlineStr"/>
      <c r="M511" t="inlineStr">
        <is>
          <t>Mercado Pago account_statement-3b5a5492-8314-4c08-9511-4dbebbc07c06 - cópia.xlsx</t>
        </is>
      </c>
      <c r="N511" t="inlineStr">
        <is>
          <t>Recebido</t>
        </is>
      </c>
      <c r="O511" t="inlineStr">
        <is>
          <t>Liberação de dinheiro</t>
        </is>
      </c>
    </row>
    <row r="512">
      <c r="A512" s="29" t="n">
        <v>46148</v>
      </c>
      <c r="B512" t="n">
        <v>5</v>
      </c>
      <c r="C512" t="n">
        <v>2026</v>
      </c>
      <c r="D512" t="inlineStr">
        <is>
          <t>Studio</t>
        </is>
      </c>
      <c r="E512" t="inlineStr">
        <is>
          <t>Receita - Liberação de Crédito</t>
        </is>
      </c>
      <c r="F512" t="inlineStr">
        <is>
          <t>Liberação de Crédito (Studio)</t>
        </is>
      </c>
      <c r="G512" t="inlineStr">
        <is>
          <t>Receita</t>
        </is>
      </c>
      <c r="H512" s="3" t="n">
        <v>646.99</v>
      </c>
      <c r="I512" t="inlineStr">
        <is>
          <t>Outro</t>
        </is>
      </c>
      <c r="J512" t="inlineStr">
        <is>
          <t>Não</t>
        </is>
      </c>
      <c r="K512" t="inlineStr">
        <is>
          <t>Eventual</t>
        </is>
      </c>
      <c r="L512" t="inlineStr"/>
      <c r="M512" t="inlineStr">
        <is>
          <t>Mercado Pago account_statement-3b5a5492-8314-4c08-9511-4dbebbc07c06 - cópia.xlsx</t>
        </is>
      </c>
      <c r="N512" t="inlineStr">
        <is>
          <t>Recebido</t>
        </is>
      </c>
      <c r="O512" t="inlineStr">
        <is>
          <t>Liberação de dinheiro</t>
        </is>
      </c>
    </row>
    <row r="513">
      <c r="A513" s="29" t="n">
        <v>46148</v>
      </c>
      <c r="B513" t="n">
        <v>5</v>
      </c>
      <c r="C513" t="n">
        <v>2026</v>
      </c>
      <c r="D513" t="inlineStr">
        <is>
          <t>Studio</t>
        </is>
      </c>
      <c r="E513" t="inlineStr">
        <is>
          <t>Contas Fixas</t>
        </is>
      </c>
      <c r="F513" t="inlineStr">
        <is>
          <t>Internet / Telecom</t>
        </is>
      </c>
      <c r="G513" t="inlineStr">
        <is>
          <t>Receita</t>
        </is>
      </c>
      <c r="H513" s="3" t="n">
        <v>496.55</v>
      </c>
      <c r="I513" t="inlineStr">
        <is>
          <t>Pix</t>
        </is>
      </c>
      <c r="J513" t="inlineStr">
        <is>
          <t>Sim</t>
        </is>
      </c>
      <c r="K513" t="inlineStr">
        <is>
          <t>Mensal</t>
        </is>
      </c>
      <c r="L513" t="inlineStr"/>
      <c r="M513" t="inlineStr">
        <is>
          <t>Mercado Pago account_statement-3b5a5492-8314-4c08-9511-4dbebbc07c06 - cópia.xlsx</t>
        </is>
      </c>
      <c r="N513" t="inlineStr">
        <is>
          <t>Recebido</t>
        </is>
      </c>
      <c r="O513" t="inlineStr">
        <is>
          <t>Pagamento com Código QR Pix RITA DE FATIMA COELHO MARTINS</t>
        </is>
      </c>
    </row>
    <row r="514">
      <c r="A514" s="29" t="n">
        <v>46148</v>
      </c>
      <c r="B514" t="n">
        <v>5</v>
      </c>
      <c r="C514" t="n">
        <v>2026</v>
      </c>
      <c r="D514" t="inlineStr">
        <is>
          <t>Studio</t>
        </is>
      </c>
      <c r="E514" t="inlineStr">
        <is>
          <t>Outros</t>
        </is>
      </c>
      <c r="F514" t="inlineStr">
        <is>
          <t>Pagamento Cartão Carrefour</t>
        </is>
      </c>
      <c r="G514" t="inlineStr">
        <is>
          <t>Despesa</t>
        </is>
      </c>
      <c r="H514" s="3" t="n">
        <v>-9552.74</v>
      </c>
      <c r="I514" t="inlineStr">
        <is>
          <t>Pix</t>
        </is>
      </c>
      <c r="J514" t="inlineStr">
        <is>
          <t>Não</t>
        </is>
      </c>
      <c r="K514" t="inlineStr">
        <is>
          <t>Eventual</t>
        </is>
      </c>
      <c r="L514" t="inlineStr"/>
      <c r="M514" t="inlineStr">
        <is>
          <t>Mercado Pago account_statement-3b5a5492-8314-4c08-9511-4dbebbc07c06 - cópia.xlsx</t>
        </is>
      </c>
      <c r="N514" t="inlineStr">
        <is>
          <t>Sem comprovante</t>
        </is>
      </c>
      <c r="O514" t="inlineStr">
        <is>
          <t>Pagamento com QR Pix CSF</t>
        </is>
      </c>
    </row>
    <row r="515">
      <c r="A515" s="29" t="n">
        <v>46148</v>
      </c>
      <c r="B515" t="n">
        <v>5</v>
      </c>
      <c r="C515" t="n">
        <v>2026</v>
      </c>
      <c r="D515" t="inlineStr">
        <is>
          <t>Studio</t>
        </is>
      </c>
      <c r="E515" t="inlineStr">
        <is>
          <t>Contas Fixas</t>
        </is>
      </c>
      <c r="F515" t="inlineStr">
        <is>
          <t>Internet / Telecom</t>
        </is>
      </c>
      <c r="G515" t="inlineStr">
        <is>
          <t>Despesa</t>
        </is>
      </c>
      <c r="H515" s="3" t="n">
        <v>-300</v>
      </c>
      <c r="I515" t="inlineStr">
        <is>
          <t>Pix</t>
        </is>
      </c>
      <c r="J515" t="inlineStr">
        <is>
          <t>Sim</t>
        </is>
      </c>
      <c r="K515" t="inlineStr">
        <is>
          <t>Mensal</t>
        </is>
      </c>
      <c r="L515" t="inlineStr">
        <is>
          <t>Google/00000011-comprovante-157686740806.pdf</t>
        </is>
      </c>
      <c r="M515" t="inlineStr">
        <is>
          <t>Mercado Pago account_statement-3b5a5492-8314-4c08-9511-4dbebbc07c06 - cópia.xlsx</t>
        </is>
      </c>
      <c r="N515" t="inlineStr">
        <is>
          <t>Pago</t>
        </is>
      </c>
      <c r="O515" t="inlineStr">
        <is>
          <t>Pagamento com QR Pix GOOGLE BRASIL INTERNET LTDA.</t>
        </is>
      </c>
    </row>
    <row r="516">
      <c r="A516" s="29" t="n">
        <v>46148</v>
      </c>
      <c r="B516" t="n">
        <v>5</v>
      </c>
      <c r="C516" t="n">
        <v>2026</v>
      </c>
      <c r="D516" t="inlineStr">
        <is>
          <t>Studio</t>
        </is>
      </c>
      <c r="E516" t="inlineStr">
        <is>
          <t>Contas Fixas</t>
        </is>
      </c>
      <c r="F516" t="inlineStr">
        <is>
          <t>Internet / Telecom</t>
        </is>
      </c>
      <c r="G516" t="inlineStr">
        <is>
          <t>Despesa</t>
        </is>
      </c>
      <c r="H516" s="3" t="n">
        <v>-100</v>
      </c>
      <c r="I516" t="inlineStr">
        <is>
          <t>Pix</t>
        </is>
      </c>
      <c r="J516" t="inlineStr">
        <is>
          <t>Sim</t>
        </is>
      </c>
      <c r="K516" t="inlineStr">
        <is>
          <t>Mensal</t>
        </is>
      </c>
      <c r="L516" t="inlineStr">
        <is>
          <t>Google/00000011-comprovante-157686740806.pdf</t>
        </is>
      </c>
      <c r="M516" t="inlineStr">
        <is>
          <t>Mercado Pago account_statement-3b5a5492-8314-4c08-9511-4dbebbc07c06 - cópia.xlsx</t>
        </is>
      </c>
      <c r="N516" t="inlineStr">
        <is>
          <t>Pago</t>
        </is>
      </c>
      <c r="O516" t="inlineStr">
        <is>
          <t>Pagamento com QR Pix GOOGLE BRASIL INTERNET LTDA.</t>
        </is>
      </c>
    </row>
    <row r="517">
      <c r="A517" s="29" t="n">
        <v>46148</v>
      </c>
      <c r="B517" t="n">
        <v>5</v>
      </c>
      <c r="C517" t="n">
        <v>2026</v>
      </c>
      <c r="D517" t="inlineStr">
        <is>
          <t>Pessoal</t>
        </is>
      </c>
      <c r="E517" t="inlineStr">
        <is>
          <t>Outros</t>
        </is>
      </c>
      <c r="F517" t="inlineStr">
        <is>
          <t>Compras Diversas</t>
        </is>
      </c>
      <c r="G517" t="inlineStr">
        <is>
          <t>Despesa</t>
        </is>
      </c>
      <c r="H517" s="3" t="n">
        <v>-3000</v>
      </c>
      <c r="I517" t="inlineStr">
        <is>
          <t>Pix</t>
        </is>
      </c>
      <c r="J517" t="inlineStr">
        <is>
          <t>Não</t>
        </is>
      </c>
      <c r="K517" t="inlineStr">
        <is>
          <t>Eventual</t>
        </is>
      </c>
      <c r="L517" t="inlineStr"/>
      <c r="M517" t="inlineStr">
        <is>
          <t>Mercado Pago account_statement-3b5a5492-8314-4c08-9511-4dbebbc07c06 - cópia.xlsx</t>
        </is>
      </c>
      <c r="N517" t="inlineStr">
        <is>
          <t>Sem comprovante</t>
        </is>
      </c>
      <c r="O517" t="inlineStr">
        <is>
          <t>Pagamento com QR Pix RITTER COLCHOES E ESTOFADOS LTDA</t>
        </is>
      </c>
    </row>
    <row r="518">
      <c r="A518" s="29" t="n">
        <v>46148</v>
      </c>
      <c r="B518" t="n">
        <v>5</v>
      </c>
      <c r="C518" t="n">
        <v>2026</v>
      </c>
      <c r="D518" t="inlineStr">
        <is>
          <t>Studio</t>
        </is>
      </c>
      <c r="E518" t="inlineStr">
        <is>
          <t>Receita - Clientes Studio</t>
        </is>
      </c>
      <c r="F518" t="inlineStr">
        <is>
          <t>Pix recebido (cliente)</t>
        </is>
      </c>
      <c r="G518" t="inlineStr">
        <is>
          <t>Receita</t>
        </is>
      </c>
      <c r="H518" s="3" t="n">
        <v>800</v>
      </c>
      <c r="I518" t="inlineStr">
        <is>
          <t>Pix</t>
        </is>
      </c>
      <c r="J518" t="inlineStr">
        <is>
          <t>Não</t>
        </is>
      </c>
      <c r="K518" t="inlineStr">
        <is>
          <t>Eventual</t>
        </is>
      </c>
      <c r="L518" t="inlineStr"/>
      <c r="M518" t="inlineStr">
        <is>
          <t>Mercado Pago account_statement-3b5a5492-8314-4c08-9511-4dbebbc07c06 - cópia.xlsx</t>
        </is>
      </c>
      <c r="N518" t="inlineStr">
        <is>
          <t>Recebido</t>
        </is>
      </c>
      <c r="O518" t="inlineStr">
        <is>
          <t>Pix recebido LUCIANA FELISBERTO PAULINO DA SILVA</t>
        </is>
      </c>
    </row>
    <row r="519">
      <c r="A519" s="29" t="n">
        <v>46148</v>
      </c>
      <c r="B519" t="n">
        <v>5</v>
      </c>
      <c r="C519" t="n">
        <v>2026</v>
      </c>
      <c r="D519" t="inlineStr">
        <is>
          <t>Studio</t>
        </is>
      </c>
      <c r="E519" t="inlineStr">
        <is>
          <t>Receita - Midialike</t>
        </is>
      </c>
      <c r="F519" t="inlineStr">
        <is>
          <t>Depósito Midialike</t>
        </is>
      </c>
      <c r="G519" t="inlineStr">
        <is>
          <t>Receita</t>
        </is>
      </c>
      <c r="H519" s="3" t="n">
        <v>7500</v>
      </c>
      <c r="I519" t="inlineStr">
        <is>
          <t>Pix</t>
        </is>
      </c>
      <c r="J519" t="inlineStr">
        <is>
          <t>Sim</t>
        </is>
      </c>
      <c r="K519" t="inlineStr">
        <is>
          <t>Mensal</t>
        </is>
      </c>
      <c r="L519" t="inlineStr"/>
      <c r="M519" t="inlineStr">
        <is>
          <t>Mercado Pago account_statement-3b5a5492-8314-4c08-9511-4dbebbc07c06 - cópia.xlsx</t>
        </is>
      </c>
      <c r="N519" t="inlineStr">
        <is>
          <t>Recebido</t>
        </is>
      </c>
      <c r="O519" t="inlineStr">
        <is>
          <t>Pix recebido MIDIA LIKE LTDA</t>
        </is>
      </c>
    </row>
    <row r="520">
      <c r="A520" s="29" t="n">
        <v>46149</v>
      </c>
      <c r="B520" t="n">
        <v>5</v>
      </c>
      <c r="C520" t="n">
        <v>2026</v>
      </c>
      <c r="D520" t="inlineStr">
        <is>
          <t>Pessoal</t>
        </is>
      </c>
      <c r="E520" t="inlineStr">
        <is>
          <t>Contas Variáveis</t>
        </is>
      </c>
      <c r="F520" t="inlineStr">
        <is>
          <t>Compra no débito</t>
        </is>
      </c>
      <c r="G520" t="inlineStr">
        <is>
          <t>Despesa</t>
        </is>
      </c>
      <c r="H520" s="3" t="n">
        <v>-9.6</v>
      </c>
      <c r="I520" t="inlineStr">
        <is>
          <t>Débito</t>
        </is>
      </c>
      <c r="J520" t="inlineStr">
        <is>
          <t>Não</t>
        </is>
      </c>
      <c r="K520" t="inlineStr">
        <is>
          <t>Eventual</t>
        </is>
      </c>
      <c r="L520" t="inlineStr"/>
      <c r="M520" t="inlineStr">
        <is>
          <t>Nubank NU_370124875_01MAI2026_31MAI2026.csv</t>
        </is>
      </c>
      <c r="N520" t="inlineStr">
        <is>
          <t>Sem comprovante</t>
        </is>
      </c>
      <c r="O520" t="inlineStr">
        <is>
          <t>Compra no débito - JAWAL</t>
        </is>
      </c>
    </row>
    <row r="521">
      <c r="A521" s="29" t="n">
        <v>46149</v>
      </c>
      <c r="B521" t="n">
        <v>5</v>
      </c>
      <c r="C521" t="n">
        <v>2026</v>
      </c>
      <c r="D521" t="inlineStr">
        <is>
          <t>Studio</t>
        </is>
      </c>
      <c r="E521" t="inlineStr">
        <is>
          <t>Receita - Liberação de Crédito</t>
        </is>
      </c>
      <c r="F521" t="inlineStr">
        <is>
          <t>Liberação de Crédito (Studio)</t>
        </is>
      </c>
      <c r="G521" t="inlineStr">
        <is>
          <t>Receita</t>
        </is>
      </c>
      <c r="H521" s="3" t="n">
        <v>677.75</v>
      </c>
      <c r="I521" t="inlineStr">
        <is>
          <t>Outro</t>
        </is>
      </c>
      <c r="J521" t="inlineStr">
        <is>
          <t>Não</t>
        </is>
      </c>
      <c r="K521" t="inlineStr">
        <is>
          <t>Eventual</t>
        </is>
      </c>
      <c r="L521" t="inlineStr"/>
      <c r="M521" t="inlineStr">
        <is>
          <t>Mercado Pago account_statement-3b5a5492-8314-4c08-9511-4dbebbc07c06 - cópia.xlsx</t>
        </is>
      </c>
      <c r="N521" t="inlineStr">
        <is>
          <t>Recebido</t>
        </is>
      </c>
      <c r="O521" t="inlineStr">
        <is>
          <t>Liberação de dinheiro</t>
        </is>
      </c>
    </row>
    <row r="522">
      <c r="A522" s="29" t="n">
        <v>46149</v>
      </c>
      <c r="B522" t="n">
        <v>5</v>
      </c>
      <c r="C522" t="n">
        <v>2026</v>
      </c>
      <c r="D522" t="inlineStr">
        <is>
          <t>Studio</t>
        </is>
      </c>
      <c r="E522" t="inlineStr">
        <is>
          <t>Receita - Liberação de Crédito</t>
        </is>
      </c>
      <c r="F522" t="inlineStr">
        <is>
          <t>Liberação de Crédito (Studio)</t>
        </is>
      </c>
      <c r="G522" t="inlineStr">
        <is>
          <t>Receita</t>
        </is>
      </c>
      <c r="H522" s="3" t="n">
        <v>1399.95</v>
      </c>
      <c r="I522" t="inlineStr">
        <is>
          <t>Outro</t>
        </is>
      </c>
      <c r="J522" t="inlineStr">
        <is>
          <t>Não</t>
        </is>
      </c>
      <c r="K522" t="inlineStr">
        <is>
          <t>Eventual</t>
        </is>
      </c>
      <c r="L522" t="inlineStr"/>
      <c r="M522" t="inlineStr">
        <is>
          <t>Mercado Pago account_statement-3b5a5492-8314-4c08-9511-4dbebbc07c06 - cópia.xlsx</t>
        </is>
      </c>
      <c r="N522" t="inlineStr">
        <is>
          <t>Recebido</t>
        </is>
      </c>
      <c r="O522" t="inlineStr">
        <is>
          <t>Liberação de dinheiro</t>
        </is>
      </c>
    </row>
    <row r="523">
      <c r="A523" s="29" t="n">
        <v>46149</v>
      </c>
      <c r="B523" t="n">
        <v>5</v>
      </c>
      <c r="C523" t="n">
        <v>2026</v>
      </c>
      <c r="D523" t="inlineStr">
        <is>
          <t>Studio</t>
        </is>
      </c>
      <c r="E523" t="inlineStr">
        <is>
          <t>Receita - Outros</t>
        </is>
      </c>
      <c r="F523" t="inlineStr">
        <is>
          <t>Receita não categorizada</t>
        </is>
      </c>
      <c r="G523" t="inlineStr">
        <is>
          <t>Receita</t>
        </is>
      </c>
      <c r="H523" s="3" t="n">
        <v>695.5700000000001</v>
      </c>
      <c r="I523" t="inlineStr">
        <is>
          <t>Pix</t>
        </is>
      </c>
      <c r="J523" t="inlineStr">
        <is>
          <t>Não</t>
        </is>
      </c>
      <c r="K523" t="inlineStr">
        <is>
          <t>Eventual</t>
        </is>
      </c>
      <c r="L523" t="inlineStr"/>
      <c r="M523" t="inlineStr">
        <is>
          <t>Mercado Pago account_statement-3b5a5492-8314-4c08-9511-4dbebbc07c06 - cópia.xlsx</t>
        </is>
      </c>
      <c r="N523" t="inlineStr">
        <is>
          <t>Recebido</t>
        </is>
      </c>
      <c r="O523" t="inlineStr">
        <is>
          <t>Pagamento com Código QR Pix 34.776.184 SILVANETE OLIVEIRA DE LIMA</t>
        </is>
      </c>
    </row>
    <row r="524">
      <c r="A524" s="29" t="n">
        <v>46149</v>
      </c>
      <c r="B524" t="n">
        <v>5</v>
      </c>
      <c r="C524" t="n">
        <v>2026</v>
      </c>
      <c r="D524" t="inlineStr">
        <is>
          <t>Geral</t>
        </is>
      </c>
      <c r="E524" t="inlineStr">
        <is>
          <t>Outros</t>
        </is>
      </c>
      <c r="F524" t="inlineStr">
        <is>
          <t>Consórcio</t>
        </is>
      </c>
      <c r="G524" t="inlineStr">
        <is>
          <t>Despesa</t>
        </is>
      </c>
      <c r="H524" s="3" t="n">
        <v>-348.05</v>
      </c>
      <c r="I524" t="inlineStr">
        <is>
          <t>Pix</t>
        </is>
      </c>
      <c r="J524" t="inlineStr">
        <is>
          <t>Não</t>
        </is>
      </c>
      <c r="K524" t="inlineStr">
        <is>
          <t>Eventual</t>
        </is>
      </c>
      <c r="L524" t="inlineStr"/>
      <c r="M524" t="inlineStr">
        <is>
          <t>Mercado Pago account_statement-3b5a5492-8314-4c08-9511-4dbebbc07c06 - cópia.xlsx</t>
        </is>
      </c>
      <c r="N524" t="inlineStr">
        <is>
          <t>Sem comprovante</t>
        </is>
      </c>
      <c r="O524" t="inlineStr">
        <is>
          <t>Pagamento com QR Pix CONSORCIO AXS ENERGIA UNIDADE 06</t>
        </is>
      </c>
    </row>
    <row r="525">
      <c r="A525" s="29" t="n">
        <v>46149</v>
      </c>
      <c r="B525" t="n">
        <v>5</v>
      </c>
      <c r="C525" t="n">
        <v>2026</v>
      </c>
      <c r="D525" t="inlineStr">
        <is>
          <t>Pessoal</t>
        </is>
      </c>
      <c r="E525" t="inlineStr">
        <is>
          <t>Contas Fixas</t>
        </is>
      </c>
      <c r="F525" t="inlineStr">
        <is>
          <t>Luz (Copel)</t>
        </is>
      </c>
      <c r="G525" t="inlineStr">
        <is>
          <t>Despesa</t>
        </is>
      </c>
      <c r="H525" s="3" t="n">
        <v>-220.26</v>
      </c>
      <c r="I525" t="inlineStr">
        <is>
          <t>Pix</t>
        </is>
      </c>
      <c r="J525" t="inlineStr">
        <is>
          <t>Sim</t>
        </is>
      </c>
      <c r="K525" t="inlineStr">
        <is>
          <t>Mensal</t>
        </is>
      </c>
      <c r="L525" t="inlineStr">
        <is>
          <t>Copel Casa/00000036-PHOTO-2026-05-07-16-55-27.jpg</t>
        </is>
      </c>
      <c r="M525" t="inlineStr">
        <is>
          <t>Mercado Pago account_statement-3b5a5492-8314-4c08-9511-4dbebbc07c06 - cópia.xlsx</t>
        </is>
      </c>
      <c r="N525" t="inlineStr">
        <is>
          <t>Pago</t>
        </is>
      </c>
      <c r="O525" t="inlineStr">
        <is>
          <t>Pagamento com QR Pix COPEL DISTRIBUICAO S.A.</t>
        </is>
      </c>
    </row>
    <row r="526">
      <c r="A526" s="29" t="n">
        <v>46149</v>
      </c>
      <c r="B526" t="n">
        <v>5</v>
      </c>
      <c r="C526" t="n">
        <v>2026</v>
      </c>
      <c r="D526" t="inlineStr">
        <is>
          <t>Geral</t>
        </is>
      </c>
      <c r="E526" t="inlineStr">
        <is>
          <t>Transferência - Denise</t>
        </is>
      </c>
      <c r="F526" t="inlineStr">
        <is>
          <t>Pix Bruno→Denise</t>
        </is>
      </c>
      <c r="G526" t="inlineStr">
        <is>
          <t>Despesa</t>
        </is>
      </c>
      <c r="H526" s="3" t="n">
        <v>-450</v>
      </c>
      <c r="I526" t="inlineStr">
        <is>
          <t>Pix</t>
        </is>
      </c>
      <c r="J526" t="inlineStr">
        <is>
          <t>Não</t>
        </is>
      </c>
      <c r="K526" t="inlineStr">
        <is>
          <t>Eventual</t>
        </is>
      </c>
      <c r="L526" t="inlineStr"/>
      <c r="M526" t="inlineStr">
        <is>
          <t>Mercado Pago account_statement-3b5a5492-8314-4c08-9511-4dbebbc07c06 - cópia.xlsx</t>
        </is>
      </c>
      <c r="N526" t="inlineStr">
        <is>
          <t>Sem comprovante</t>
        </is>
      </c>
      <c r="O526" t="inlineStr">
        <is>
          <t>Pix enviado Denise De Paula</t>
        </is>
      </c>
    </row>
    <row r="527">
      <c r="A527" s="29" t="n">
        <v>46149</v>
      </c>
      <c r="B527" t="n">
        <v>5</v>
      </c>
      <c r="C527" t="n">
        <v>2026</v>
      </c>
      <c r="D527" t="inlineStr">
        <is>
          <t>Geral</t>
        </is>
      </c>
      <c r="E527" t="inlineStr">
        <is>
          <t>Outros</t>
        </is>
      </c>
      <c r="F527" t="inlineStr">
        <is>
          <t>Maçonaria / Loja Simbólica</t>
        </is>
      </c>
      <c r="G527" t="inlineStr">
        <is>
          <t>Despesa</t>
        </is>
      </c>
      <c r="H527" s="3" t="n">
        <v>-200</v>
      </c>
      <c r="I527" t="inlineStr">
        <is>
          <t>Pix</t>
        </is>
      </c>
      <c r="J527" t="inlineStr">
        <is>
          <t>Não</t>
        </is>
      </c>
      <c r="K527" t="inlineStr">
        <is>
          <t>Eventual</t>
        </is>
      </c>
      <c r="L527" t="inlineStr"/>
      <c r="M527" t="inlineStr">
        <is>
          <t>Nubank NU_370124875_01MAI2026_31MAI2026.csv</t>
        </is>
      </c>
      <c r="N527" t="inlineStr">
        <is>
          <t>Sem comprovante</t>
        </is>
      </c>
      <c r="O527" t="inlineStr">
        <is>
          <t>Transferência enviada pelo Pix - AUGUSTA E RESPEITAVEL LOJA SIMBOLICA OBR - 01.361.920/0001-06 - BCO BRADESCO S.A. (0237) Agência: 929 Conta: 45825-2</t>
        </is>
      </c>
    </row>
    <row r="528">
      <c r="A528" s="29" t="n">
        <v>46149</v>
      </c>
      <c r="B528" t="n">
        <v>5</v>
      </c>
      <c r="C528" t="n">
        <v>2026</v>
      </c>
      <c r="D528" t="inlineStr">
        <is>
          <t>Geral</t>
        </is>
      </c>
      <c r="E528" t="inlineStr">
        <is>
          <t>Pessoal</t>
        </is>
      </c>
      <c r="F528" t="inlineStr">
        <is>
          <t>Bruno Luiz (familiar)</t>
        </is>
      </c>
      <c r="G528" t="inlineStr">
        <is>
          <t>Despesa</t>
        </is>
      </c>
      <c r="H528" s="3" t="n">
        <v>-370</v>
      </c>
      <c r="I528" t="inlineStr">
        <is>
          <t>Pix</t>
        </is>
      </c>
      <c r="J528" t="inlineStr">
        <is>
          <t>Não</t>
        </is>
      </c>
      <c r="K528" t="inlineStr">
        <is>
          <t>Eventual</t>
        </is>
      </c>
      <c r="L528" t="inlineStr"/>
      <c r="M528" t="inlineStr">
        <is>
          <t>Nubank NU_370124875_01MAI2026_31MAI2026.csv</t>
        </is>
      </c>
      <c r="N528" t="inlineStr">
        <is>
          <t>Sem comprovante</t>
        </is>
      </c>
      <c r="O528" t="inlineStr">
        <is>
          <t>Transferência enviada pelo Pix - BRUNO LUIZ SASTRE SEUS JUNIOR - •••.516.739-•• - BCO BRADESCO S.A. (0237) Agência: 3925 Conta: 165900-6</t>
        </is>
      </c>
    </row>
    <row r="529">
      <c r="A529" s="29" t="n">
        <v>46149</v>
      </c>
      <c r="B529" t="n">
        <v>5</v>
      </c>
      <c r="C529" t="n">
        <v>2026</v>
      </c>
      <c r="D529" t="inlineStr">
        <is>
          <t>Studio</t>
        </is>
      </c>
      <c r="E529" t="inlineStr">
        <is>
          <t>Receita - Midialike</t>
        </is>
      </c>
      <c r="F529" t="inlineStr">
        <is>
          <t>Depósito Midialike</t>
        </is>
      </c>
      <c r="G529" t="inlineStr">
        <is>
          <t>Receita</t>
        </is>
      </c>
      <c r="H529" s="3" t="n">
        <v>370</v>
      </c>
      <c r="I529" t="inlineStr">
        <is>
          <t>Pix</t>
        </is>
      </c>
      <c r="J529" t="inlineStr">
        <is>
          <t>Sim</t>
        </is>
      </c>
      <c r="K529" t="inlineStr">
        <is>
          <t>Mensal</t>
        </is>
      </c>
      <c r="L529" t="inlineStr"/>
      <c r="M529" t="inlineStr">
        <is>
          <t>Nubank NU_370124875_01MAI2026_31MAI2026.csv</t>
        </is>
      </c>
      <c r="N529" t="inlineStr">
        <is>
          <t>Recebido</t>
        </is>
      </c>
      <c r="O529" t="inlineStr">
        <is>
          <t>Transferência recebida pelo Pix - MIDIA LIKE LTDA - 17.930.007/0001-05 - BCO C6 S.A. (0336) Agência: 1 Conta: 31709544-7</t>
        </is>
      </c>
    </row>
    <row r="530">
      <c r="A530" s="29" t="n">
        <v>46150</v>
      </c>
      <c r="B530" t="n">
        <v>5</v>
      </c>
      <c r="C530" t="n">
        <v>2026</v>
      </c>
      <c r="D530" t="inlineStr">
        <is>
          <t>Studio</t>
        </is>
      </c>
      <c r="E530" t="inlineStr">
        <is>
          <t>Receita - Liberação de Crédito</t>
        </is>
      </c>
      <c r="F530" t="inlineStr">
        <is>
          <t>Liberação de Crédito (Studio)</t>
        </is>
      </c>
      <c r="G530" t="inlineStr">
        <is>
          <t>Receita</t>
        </is>
      </c>
      <c r="H530" s="3" t="n">
        <v>236.27</v>
      </c>
      <c r="I530" t="inlineStr">
        <is>
          <t>Outro</t>
        </is>
      </c>
      <c r="J530" t="inlineStr">
        <is>
          <t>Não</t>
        </is>
      </c>
      <c r="K530" t="inlineStr">
        <is>
          <t>Eventual</t>
        </is>
      </c>
      <c r="L530" t="inlineStr"/>
      <c r="M530" t="inlineStr">
        <is>
          <t>Mercado Pago account_statement-3b5a5492-8314-4c08-9511-4dbebbc07c06 - cópia.xlsx</t>
        </is>
      </c>
      <c r="N530" t="inlineStr">
        <is>
          <t>Recebido</t>
        </is>
      </c>
      <c r="O530" t="inlineStr">
        <is>
          <t>Liberação de dinheiro</t>
        </is>
      </c>
    </row>
    <row r="531">
      <c r="A531" s="29" t="n">
        <v>46150</v>
      </c>
      <c r="B531" t="n">
        <v>5</v>
      </c>
      <c r="C531" t="n">
        <v>2026</v>
      </c>
      <c r="D531" t="inlineStr">
        <is>
          <t>Studio</t>
        </is>
      </c>
      <c r="E531" t="inlineStr">
        <is>
          <t>Receita - Liberação de Crédito</t>
        </is>
      </c>
      <c r="F531" t="inlineStr">
        <is>
          <t>Liberação de Crédito (Studio)</t>
        </is>
      </c>
      <c r="G531" t="inlineStr">
        <is>
          <t>Receita</t>
        </is>
      </c>
      <c r="H531" s="3" t="n">
        <v>296.67</v>
      </c>
      <c r="I531" t="inlineStr">
        <is>
          <t>Outro</t>
        </is>
      </c>
      <c r="J531" t="inlineStr">
        <is>
          <t>Não</t>
        </is>
      </c>
      <c r="K531" t="inlineStr">
        <is>
          <t>Eventual</t>
        </is>
      </c>
      <c r="L531" t="inlineStr"/>
      <c r="M531" t="inlineStr">
        <is>
          <t>Mercado Pago account_statement-3b5a5492-8314-4c08-9511-4dbebbc07c06 - cópia.xlsx</t>
        </is>
      </c>
      <c r="N531" t="inlineStr">
        <is>
          <t>Recebido</t>
        </is>
      </c>
      <c r="O531" t="inlineStr">
        <is>
          <t>Liberação de dinheiro</t>
        </is>
      </c>
    </row>
    <row r="532">
      <c r="A532" s="29" t="n">
        <v>46150</v>
      </c>
      <c r="B532" t="n">
        <v>5</v>
      </c>
      <c r="C532" t="n">
        <v>2026</v>
      </c>
      <c r="D532" t="inlineStr">
        <is>
          <t>Studio</t>
        </is>
      </c>
      <c r="E532" t="inlineStr">
        <is>
          <t>Receita - Liberação de Crédito</t>
        </is>
      </c>
      <c r="F532" t="inlineStr">
        <is>
          <t>Liberação de Crédito (Studio)</t>
        </is>
      </c>
      <c r="G532" t="inlineStr">
        <is>
          <t>Receita</t>
        </is>
      </c>
      <c r="H532" s="3" t="n">
        <v>377.09</v>
      </c>
      <c r="I532" t="inlineStr">
        <is>
          <t>Outro</t>
        </is>
      </c>
      <c r="J532" t="inlineStr">
        <is>
          <t>Não</t>
        </is>
      </c>
      <c r="K532" t="inlineStr">
        <is>
          <t>Eventual</t>
        </is>
      </c>
      <c r="L532" t="inlineStr"/>
      <c r="M532" t="inlineStr">
        <is>
          <t>Mercado Pago account_statement-3b5a5492-8314-4c08-9511-4dbebbc07c06 - cópia.xlsx</t>
        </is>
      </c>
      <c r="N532" t="inlineStr">
        <is>
          <t>Recebido</t>
        </is>
      </c>
      <c r="O532" t="inlineStr">
        <is>
          <t>Liberação de dinheiro</t>
        </is>
      </c>
    </row>
    <row r="533">
      <c r="A533" s="29" t="n">
        <v>46150</v>
      </c>
      <c r="B533" t="n">
        <v>5</v>
      </c>
      <c r="C533" t="n">
        <v>2026</v>
      </c>
      <c r="D533" t="inlineStr">
        <is>
          <t>Studio</t>
        </is>
      </c>
      <c r="E533" t="inlineStr">
        <is>
          <t>Receita - Liberação de Crédito</t>
        </is>
      </c>
      <c r="F533" t="inlineStr">
        <is>
          <t>Liberação de Crédito (Studio)</t>
        </is>
      </c>
      <c r="G533" t="inlineStr">
        <is>
          <t>Receita</t>
        </is>
      </c>
      <c r="H533" s="3" t="n">
        <v>484.8</v>
      </c>
      <c r="I533" t="inlineStr">
        <is>
          <t>Outro</t>
        </is>
      </c>
      <c r="J533" t="inlineStr">
        <is>
          <t>Não</t>
        </is>
      </c>
      <c r="K533" t="inlineStr">
        <is>
          <t>Eventual</t>
        </is>
      </c>
      <c r="L533" t="inlineStr"/>
      <c r="M533" t="inlineStr">
        <is>
          <t>Mercado Pago account_statement-3b5a5492-8314-4c08-9511-4dbebbc07c06 - cópia.xlsx</t>
        </is>
      </c>
      <c r="N533" t="inlineStr">
        <is>
          <t>Recebido</t>
        </is>
      </c>
      <c r="O533" t="inlineStr">
        <is>
          <t>Liberação de dinheiro</t>
        </is>
      </c>
    </row>
    <row r="534">
      <c r="A534" s="29" t="n">
        <v>46150</v>
      </c>
      <c r="B534" t="n">
        <v>5</v>
      </c>
      <c r="C534" t="n">
        <v>2026</v>
      </c>
      <c r="D534" t="inlineStr">
        <is>
          <t>Studio</t>
        </is>
      </c>
      <c r="E534" t="inlineStr">
        <is>
          <t>Receita - Outros</t>
        </is>
      </c>
      <c r="F534" t="inlineStr">
        <is>
          <t>Receita não categorizada</t>
        </is>
      </c>
      <c r="G534" t="inlineStr">
        <is>
          <t>Receita</t>
        </is>
      </c>
      <c r="H534" s="3" t="n">
        <v>198.02</v>
      </c>
      <c r="I534" t="inlineStr">
        <is>
          <t>Pix</t>
        </is>
      </c>
      <c r="J534" t="inlineStr">
        <is>
          <t>Não</t>
        </is>
      </c>
      <c r="K534" t="inlineStr">
        <is>
          <t>Eventual</t>
        </is>
      </c>
      <c r="L534" t="inlineStr"/>
      <c r="M534" t="inlineStr">
        <is>
          <t>Mercado Pago account_statement-3b5a5492-8314-4c08-9511-4dbebbc07c06 - cópia.xlsx</t>
        </is>
      </c>
      <c r="N534" t="inlineStr">
        <is>
          <t>Recebido</t>
        </is>
      </c>
      <c r="O534" t="inlineStr">
        <is>
          <t>Pagamento com Código QR Pix NATHALIA DO CARMO BARRETO</t>
        </is>
      </c>
    </row>
    <row r="535">
      <c r="A535" s="29" t="n">
        <v>46150</v>
      </c>
      <c r="B535" t="n">
        <v>5</v>
      </c>
      <c r="C535" t="n">
        <v>2026</v>
      </c>
      <c r="D535" t="inlineStr">
        <is>
          <t>Pessoal</t>
        </is>
      </c>
      <c r="E535" t="inlineStr">
        <is>
          <t>Contas Variáveis</t>
        </is>
      </c>
      <c r="F535" t="inlineStr">
        <is>
          <t>iFood</t>
        </is>
      </c>
      <c r="G535" t="inlineStr">
        <is>
          <t>Despesa</t>
        </is>
      </c>
      <c r="H535" s="3" t="n">
        <v>-133.05</v>
      </c>
      <c r="I535" t="inlineStr">
        <is>
          <t>Pix</t>
        </is>
      </c>
      <c r="J535" t="inlineStr">
        <is>
          <t>Não</t>
        </is>
      </c>
      <c r="K535" t="inlineStr">
        <is>
          <t>Eventual</t>
        </is>
      </c>
      <c r="L535" t="inlineStr"/>
      <c r="M535" t="inlineStr">
        <is>
          <t>Mercado Pago account_statement-3b5a5492-8314-4c08-9511-4dbebbc07c06 - cópia.xlsx</t>
        </is>
      </c>
      <c r="N535" t="inlineStr">
        <is>
          <t>Sem comprovante</t>
        </is>
      </c>
      <c r="O535" t="inlineStr">
        <is>
          <t>Pagamento com QR Pix IFOOD.COM AGENCIA DE RESTAURANTES ONLINE S.A.</t>
        </is>
      </c>
    </row>
    <row r="536">
      <c r="A536" s="29" t="n">
        <v>46150</v>
      </c>
      <c r="B536" t="n">
        <v>5</v>
      </c>
      <c r="C536" t="n">
        <v>2026</v>
      </c>
      <c r="D536" t="inlineStr">
        <is>
          <t>Studio</t>
        </is>
      </c>
      <c r="E536" t="inlineStr">
        <is>
          <t>Pessoal</t>
        </is>
      </c>
      <c r="F536" t="inlineStr">
        <is>
          <t>Marco</t>
        </is>
      </c>
      <c r="G536" t="inlineStr">
        <is>
          <t>Despesa</t>
        </is>
      </c>
      <c r="H536" s="3" t="n">
        <v>-604.77</v>
      </c>
      <c r="I536" t="inlineStr">
        <is>
          <t>Pix</t>
        </is>
      </c>
      <c r="J536" t="inlineStr">
        <is>
          <t>Não</t>
        </is>
      </c>
      <c r="K536" t="inlineStr">
        <is>
          <t>Eventual</t>
        </is>
      </c>
      <c r="L536" t="inlineStr">
        <is>
          <t>Marco/00000101-PHOTO-2026-05-08-11-11-21.jpg</t>
        </is>
      </c>
      <c r="M536" t="inlineStr">
        <is>
          <t>Mercado Pago account_statement-3b5a5492-8314-4c08-9511-4dbebbc07c06 - cópia.xlsx</t>
        </is>
      </c>
      <c r="N536" t="inlineStr">
        <is>
          <t>Pago</t>
        </is>
      </c>
      <c r="O536" t="inlineStr">
        <is>
          <t>Pix enviado Marco Aurelio de Moura Leite</t>
        </is>
      </c>
    </row>
    <row r="537">
      <c r="A537" s="29" t="n">
        <v>46150</v>
      </c>
      <c r="B537" t="n">
        <v>5</v>
      </c>
      <c r="C537" t="n">
        <v>2026</v>
      </c>
      <c r="D537" t="inlineStr">
        <is>
          <t>Geral</t>
        </is>
      </c>
      <c r="E537" t="inlineStr">
        <is>
          <t>Outros</t>
        </is>
      </c>
      <c r="F537" t="inlineStr">
        <is>
          <t>Transferência Pix Enviada</t>
        </is>
      </c>
      <c r="G537" t="inlineStr">
        <is>
          <t>Despesa</t>
        </is>
      </c>
      <c r="H537" s="3" t="n">
        <v>-47</v>
      </c>
      <c r="I537" t="inlineStr">
        <is>
          <t>Pix</t>
        </is>
      </c>
      <c r="J537" t="inlineStr">
        <is>
          <t>Não</t>
        </is>
      </c>
      <c r="K537" t="inlineStr">
        <is>
          <t>Eventual</t>
        </is>
      </c>
      <c r="L537" t="inlineStr"/>
      <c r="M537" t="inlineStr">
        <is>
          <t>Nubank NU_370124875_01MAI2026_31MAI2026.csv</t>
        </is>
      </c>
      <c r="N537" t="inlineStr">
        <is>
          <t>Sem comprovante</t>
        </is>
      </c>
      <c r="O537" t="inlineStr">
        <is>
          <t>Transferência enviada pelo Pix - HUBLA - 36.062.381/0001-80 - ADYEN DO BRASIL IP LTDA. Agência: 1 Conta: 100000164-3</t>
        </is>
      </c>
    </row>
    <row r="538">
      <c r="A538" s="29" t="n">
        <v>46151</v>
      </c>
      <c r="B538" t="n">
        <v>5</v>
      </c>
      <c r="C538" t="n">
        <v>2026</v>
      </c>
      <c r="D538" t="inlineStr">
        <is>
          <t>Pessoal</t>
        </is>
      </c>
      <c r="E538" t="inlineStr">
        <is>
          <t>Contas Variáveis</t>
        </is>
      </c>
      <c r="F538" t="inlineStr">
        <is>
          <t>Restaurante / Lazer</t>
        </is>
      </c>
      <c r="G538" t="inlineStr">
        <is>
          <t>Despesa</t>
        </is>
      </c>
      <c r="H538" s="3" t="n">
        <v>-49.9</v>
      </c>
      <c r="I538" t="inlineStr">
        <is>
          <t>Pix</t>
        </is>
      </c>
      <c r="J538" t="inlineStr">
        <is>
          <t>Não</t>
        </is>
      </c>
      <c r="K538" t="inlineStr">
        <is>
          <t>Eventual</t>
        </is>
      </c>
      <c r="L538" t="inlineStr"/>
      <c r="M538" t="inlineStr">
        <is>
          <t>Mercado Pago account_statement-3b5a5492-8314-4c08-9511-4dbebbc07c06 - cópia.xlsx</t>
        </is>
      </c>
      <c r="N538" t="inlineStr">
        <is>
          <t>Sem comprovante</t>
        </is>
      </c>
      <c r="O538" t="inlineStr">
        <is>
          <t>Pagamento com QR Pix Estar Bem Produtos Naturais Ltda</t>
        </is>
      </c>
    </row>
    <row r="539">
      <c r="A539" s="29" t="n">
        <v>46151</v>
      </c>
      <c r="B539" t="n">
        <v>5</v>
      </c>
      <c r="C539" t="n">
        <v>2026</v>
      </c>
      <c r="D539" t="inlineStr">
        <is>
          <t>Pessoal</t>
        </is>
      </c>
      <c r="E539" t="inlineStr">
        <is>
          <t>Outros</t>
        </is>
      </c>
      <c r="F539" t="inlineStr">
        <is>
          <t>Compras Diversas</t>
        </is>
      </c>
      <c r="G539" t="inlineStr">
        <is>
          <t>Despesa</t>
        </is>
      </c>
      <c r="H539" s="3" t="n">
        <v>-35.39</v>
      </c>
      <c r="I539" t="inlineStr">
        <is>
          <t>Pix</t>
        </is>
      </c>
      <c r="J539" t="inlineStr">
        <is>
          <t>Não</t>
        </is>
      </c>
      <c r="K539" t="inlineStr">
        <is>
          <t>Eventual</t>
        </is>
      </c>
      <c r="L539" t="inlineStr"/>
      <c r="M539" t="inlineStr">
        <is>
          <t>Mercado Pago account_statement-3b5a5492-8314-4c08-9511-4dbebbc07c06 - cópia.xlsx</t>
        </is>
      </c>
      <c r="N539" t="inlineStr">
        <is>
          <t>Sem comprovante</t>
        </is>
      </c>
      <c r="O539" t="inlineStr">
        <is>
          <t>Pagamento com QR Pix PALACIO COMERCIO DE EMBALAGENS LTDA</t>
        </is>
      </c>
    </row>
    <row r="540">
      <c r="A540" s="29" t="n">
        <v>46151</v>
      </c>
      <c r="B540" t="n">
        <v>5</v>
      </c>
      <c r="C540" t="n">
        <v>2026</v>
      </c>
      <c r="D540" t="inlineStr">
        <is>
          <t>Pessoal</t>
        </is>
      </c>
      <c r="E540" t="inlineStr">
        <is>
          <t>Contas Variáveis</t>
        </is>
      </c>
      <c r="F540" t="inlineStr">
        <is>
          <t>Restaurante / Lazer</t>
        </is>
      </c>
      <c r="G540" t="inlineStr">
        <is>
          <t>Despesa</t>
        </is>
      </c>
      <c r="H540" s="3" t="n">
        <v>-54.16</v>
      </c>
      <c r="I540" t="inlineStr">
        <is>
          <t>Pix</t>
        </is>
      </c>
      <c r="J540" t="inlineStr">
        <is>
          <t>Não</t>
        </is>
      </c>
      <c r="K540" t="inlineStr">
        <is>
          <t>Eventual</t>
        </is>
      </c>
      <c r="L540" t="inlineStr"/>
      <c r="M540" t="inlineStr">
        <is>
          <t>Mercado Pago account_statement-3b5a5492-8314-4c08-9511-4dbebbc07c06 - cópia.xlsx</t>
        </is>
      </c>
      <c r="N540" t="inlineStr">
        <is>
          <t>Sem comprovante</t>
        </is>
      </c>
      <c r="O540" t="inlineStr">
        <is>
          <t>Pagamento com QR Pix SAO JOSE SERVICOS LTDA</t>
        </is>
      </c>
    </row>
    <row r="541">
      <c r="A541" s="29" t="n">
        <v>46151</v>
      </c>
      <c r="B541" t="n">
        <v>5</v>
      </c>
      <c r="C541" t="n">
        <v>2026</v>
      </c>
      <c r="D541" t="inlineStr">
        <is>
          <t>Geral</t>
        </is>
      </c>
      <c r="E541" t="inlineStr">
        <is>
          <t>Outros</t>
        </is>
      </c>
      <c r="F541" t="inlineStr">
        <is>
          <t>Transferência Pix Enviada</t>
        </is>
      </c>
      <c r="G541" t="inlineStr">
        <is>
          <t>Despesa</t>
        </is>
      </c>
      <c r="H541" s="3" t="n">
        <v>-350</v>
      </c>
      <c r="I541" t="inlineStr">
        <is>
          <t>Pix</t>
        </is>
      </c>
      <c r="J541" t="inlineStr">
        <is>
          <t>Não</t>
        </is>
      </c>
      <c r="K541" t="inlineStr">
        <is>
          <t>Eventual</t>
        </is>
      </c>
      <c r="L541" t="inlineStr"/>
      <c r="M541" t="inlineStr">
        <is>
          <t>Mercado Pago account_statement-3b5a5492-8314-4c08-9511-4dbebbc07c06 - cópia.xlsx</t>
        </is>
      </c>
      <c r="N541" t="inlineStr">
        <is>
          <t>Sem comprovante</t>
        </is>
      </c>
      <c r="O541" t="inlineStr">
        <is>
          <t>Pix enviado M P Comercio de Informatica e Transportes Ltda</t>
        </is>
      </c>
    </row>
    <row r="542">
      <c r="A542" s="29" t="n">
        <v>46152</v>
      </c>
      <c r="B542" t="n">
        <v>5</v>
      </c>
      <c r="C542" t="n">
        <v>2026</v>
      </c>
      <c r="D542" t="inlineStr">
        <is>
          <t>Pessoal</t>
        </is>
      </c>
      <c r="E542" t="inlineStr">
        <is>
          <t>Contas Variáveis</t>
        </is>
      </c>
      <c r="F542" t="inlineStr">
        <is>
          <t>Mercado</t>
        </is>
      </c>
      <c r="G542" t="inlineStr">
        <is>
          <t>Despesa</t>
        </is>
      </c>
      <c r="H542" s="3" t="n">
        <v>-27.76</v>
      </c>
      <c r="I542" t="inlineStr">
        <is>
          <t>Débito</t>
        </is>
      </c>
      <c r="J542" t="inlineStr">
        <is>
          <t>Não</t>
        </is>
      </c>
      <c r="K542" t="inlineStr">
        <is>
          <t>Eventual</t>
        </is>
      </c>
      <c r="L542" t="inlineStr"/>
      <c r="M542" t="inlineStr">
        <is>
          <t>Nubank NU_370124875_01MAI2026_31MAI2026.csv</t>
        </is>
      </c>
      <c r="N542" t="inlineStr">
        <is>
          <t>Sem comprovante</t>
        </is>
      </c>
      <c r="O542" t="inlineStr">
        <is>
          <t>Compra no débito - CONDOR SAO BRAZ LJ11</t>
        </is>
      </c>
    </row>
    <row r="543">
      <c r="A543" s="29" t="n">
        <v>46152</v>
      </c>
      <c r="B543" t="n">
        <v>5</v>
      </c>
      <c r="C543" t="n">
        <v>2026</v>
      </c>
      <c r="D543" t="inlineStr">
        <is>
          <t>Pessoal</t>
        </is>
      </c>
      <c r="E543" t="inlineStr">
        <is>
          <t>Contas Variáveis</t>
        </is>
      </c>
      <c r="F543" t="inlineStr">
        <is>
          <t>Combustível</t>
        </is>
      </c>
      <c r="G543" t="inlineStr">
        <is>
          <t>Despesa</t>
        </is>
      </c>
      <c r="H543" s="3" t="n">
        <v>-51.42</v>
      </c>
      <c r="I543" t="inlineStr">
        <is>
          <t>Débito</t>
        </is>
      </c>
      <c r="J543" t="inlineStr">
        <is>
          <t>Não</t>
        </is>
      </c>
      <c r="K543" t="inlineStr">
        <is>
          <t>Eventual</t>
        </is>
      </c>
      <c r="L543" t="inlineStr"/>
      <c r="M543" t="inlineStr">
        <is>
          <t>Nubank NU_370124875_01MAI2026_31MAI2026.csv</t>
        </is>
      </c>
      <c r="N543" t="inlineStr">
        <is>
          <t>Sem comprovante</t>
        </is>
      </c>
      <c r="O543" t="inlineStr">
        <is>
          <t>Compra no débito - POSTO FAROL DO PARQUE</t>
        </is>
      </c>
    </row>
    <row r="544">
      <c r="A544" s="29" t="n">
        <v>46152</v>
      </c>
      <c r="B544" t="n">
        <v>5</v>
      </c>
      <c r="C544" t="n">
        <v>2026</v>
      </c>
      <c r="D544" t="inlineStr">
        <is>
          <t>Pessoal</t>
        </is>
      </c>
      <c r="E544" t="inlineStr">
        <is>
          <t>Contas Variáveis</t>
        </is>
      </c>
      <c r="F544" t="inlineStr">
        <is>
          <t>iFood</t>
        </is>
      </c>
      <c r="G544" t="inlineStr">
        <is>
          <t>Despesa</t>
        </is>
      </c>
      <c r="H544" s="3" t="n">
        <v>-100.06</v>
      </c>
      <c r="I544" t="inlineStr">
        <is>
          <t>Pix</t>
        </is>
      </c>
      <c r="J544" t="inlineStr">
        <is>
          <t>Não</t>
        </is>
      </c>
      <c r="K544" t="inlineStr">
        <is>
          <t>Eventual</t>
        </is>
      </c>
      <c r="L544" t="inlineStr"/>
      <c r="M544" t="inlineStr">
        <is>
          <t>Mercado Pago account_statement-3b5a5492-8314-4c08-9511-4dbebbc07c06 - cópia.xlsx</t>
        </is>
      </c>
      <c r="N544" t="inlineStr">
        <is>
          <t>Sem comprovante</t>
        </is>
      </c>
      <c r="O544" t="inlineStr">
        <is>
          <t>Pagamento com QR Pix IFOOD.COM AGENCIA DE RESTAURANTES ONLINE S.A.</t>
        </is>
      </c>
    </row>
    <row r="545">
      <c r="A545" s="29" t="n">
        <v>46152</v>
      </c>
      <c r="B545" t="n">
        <v>5</v>
      </c>
      <c r="C545" t="n">
        <v>2026</v>
      </c>
      <c r="D545" t="inlineStr">
        <is>
          <t>Pessoal</t>
        </is>
      </c>
      <c r="E545" t="inlineStr">
        <is>
          <t>Contas Variáveis</t>
        </is>
      </c>
      <c r="F545" t="inlineStr">
        <is>
          <t>Combustível</t>
        </is>
      </c>
      <c r="G545" t="inlineStr">
        <is>
          <t>Despesa</t>
        </is>
      </c>
      <c r="H545" s="3" t="n">
        <v>-233.63</v>
      </c>
      <c r="I545" t="inlineStr">
        <is>
          <t>Pix</t>
        </is>
      </c>
      <c r="J545" t="inlineStr">
        <is>
          <t>Não</t>
        </is>
      </c>
      <c r="K545" t="inlineStr">
        <is>
          <t>Eventual</t>
        </is>
      </c>
      <c r="L545" t="inlineStr"/>
      <c r="M545" t="inlineStr">
        <is>
          <t>Mercado Pago account_statement-3b5a5492-8314-4c08-9511-4dbebbc07c06 - cópia.xlsx</t>
        </is>
      </c>
      <c r="N545" t="inlineStr">
        <is>
          <t>Sem comprovante</t>
        </is>
      </c>
      <c r="O545" t="inlineStr">
        <is>
          <t>Pagamento com QR Pix L T NICHELE COMERCIO DE COMBUSTIVEIS LTDA</t>
        </is>
      </c>
    </row>
    <row r="546">
      <c r="A546" s="29" t="n">
        <v>46152</v>
      </c>
      <c r="B546" t="n">
        <v>5</v>
      </c>
      <c r="C546" t="n">
        <v>2026</v>
      </c>
      <c r="D546" t="inlineStr">
        <is>
          <t>Pessoal</t>
        </is>
      </c>
      <c r="E546" t="inlineStr">
        <is>
          <t>Contas Variáveis</t>
        </is>
      </c>
      <c r="F546" t="inlineStr">
        <is>
          <t>Restaurante / Lazer</t>
        </is>
      </c>
      <c r="G546" t="inlineStr">
        <is>
          <t>Despesa</t>
        </is>
      </c>
      <c r="H546" s="3" t="n">
        <v>-15</v>
      </c>
      <c r="I546" t="inlineStr">
        <is>
          <t>Pix</t>
        </is>
      </c>
      <c r="J546" t="inlineStr">
        <is>
          <t>Não</t>
        </is>
      </c>
      <c r="K546" t="inlineStr">
        <is>
          <t>Eventual</t>
        </is>
      </c>
      <c r="L546" t="inlineStr"/>
      <c r="M546" t="inlineStr">
        <is>
          <t>Mercado Pago account_statement-3b5a5492-8314-4c08-9511-4dbebbc07c06 - cópia.xlsx</t>
        </is>
      </c>
      <c r="N546" t="inlineStr">
        <is>
          <t>Sem comprovante</t>
        </is>
      </c>
      <c r="O546" t="inlineStr">
        <is>
          <t>Pagamento com QR Pix MADERO INDUSTRIA E COMERCIO S.A.</t>
        </is>
      </c>
    </row>
    <row r="547">
      <c r="A547" s="29" t="n">
        <v>46152</v>
      </c>
      <c r="B547" t="n">
        <v>5</v>
      </c>
      <c r="C547" t="n">
        <v>2026</v>
      </c>
      <c r="D547" t="inlineStr">
        <is>
          <t>Geral</t>
        </is>
      </c>
      <c r="E547" t="inlineStr">
        <is>
          <t>Transferência - Bruno (própria)</t>
        </is>
      </c>
      <c r="F547" t="inlineStr">
        <is>
          <t>Pix Bruno→Bruno (entre contas próprias)</t>
        </is>
      </c>
      <c r="G547" t="inlineStr">
        <is>
          <t>Despesa</t>
        </is>
      </c>
      <c r="H547" s="3" t="n">
        <v>-500</v>
      </c>
      <c r="I547" t="inlineStr">
        <is>
          <t>Pix</t>
        </is>
      </c>
      <c r="J547" t="inlineStr">
        <is>
          <t>Não</t>
        </is>
      </c>
      <c r="K547" t="inlineStr">
        <is>
          <t>Eventual</t>
        </is>
      </c>
      <c r="L547" t="inlineStr"/>
      <c r="M547" t="inlineStr">
        <is>
          <t>Mercado Pago account_statement-3b5a5492-8314-4c08-9511-4dbebbc07c06 - cópia.xlsx</t>
        </is>
      </c>
      <c r="N547" t="inlineStr">
        <is>
          <t>Sem comprovante</t>
        </is>
      </c>
      <c r="O547" t="inlineStr">
        <is>
          <t>Pix enviado Bruno Porto Seus</t>
        </is>
      </c>
    </row>
    <row r="548">
      <c r="A548" s="29" t="n">
        <v>46152</v>
      </c>
      <c r="B548" t="n">
        <v>5</v>
      </c>
      <c r="C548" t="n">
        <v>2026</v>
      </c>
      <c r="D548" t="inlineStr">
        <is>
          <t>Geral</t>
        </is>
      </c>
      <c r="E548" t="inlineStr">
        <is>
          <t>Outros</t>
        </is>
      </c>
      <c r="F548" t="inlineStr">
        <is>
          <t>Transferência Pix Enviada</t>
        </is>
      </c>
      <c r="G548" t="inlineStr">
        <is>
          <t>Despesa</t>
        </is>
      </c>
      <c r="H548" s="3" t="n">
        <v>-70</v>
      </c>
      <c r="I548" t="inlineStr">
        <is>
          <t>Pix</t>
        </is>
      </c>
      <c r="J548" t="inlineStr">
        <is>
          <t>Não</t>
        </is>
      </c>
      <c r="K548" t="inlineStr">
        <is>
          <t>Eventual</t>
        </is>
      </c>
      <c r="L548" t="inlineStr"/>
      <c r="M548" t="inlineStr">
        <is>
          <t>Mercado Pago account_statement-3b5a5492-8314-4c08-9511-4dbebbc07c06 - cópia.xlsx</t>
        </is>
      </c>
      <c r="N548" t="inlineStr">
        <is>
          <t>Sem comprovante</t>
        </is>
      </c>
      <c r="O548" t="inlineStr">
        <is>
          <t>Pix enviado Marlon Fernando da Paixao Furtuoso</t>
        </is>
      </c>
    </row>
    <row r="549">
      <c r="A549" s="29" t="n">
        <v>46152</v>
      </c>
      <c r="B549" t="n">
        <v>5</v>
      </c>
      <c r="C549" t="n">
        <v>2026</v>
      </c>
      <c r="D549" t="inlineStr">
        <is>
          <t>Pessoal</t>
        </is>
      </c>
      <c r="E549" t="inlineStr">
        <is>
          <t>Contas Variáveis</t>
        </is>
      </c>
      <c r="F549" t="inlineStr">
        <is>
          <t>iFood</t>
        </is>
      </c>
      <c r="G549" t="inlineStr">
        <is>
          <t>Despesa</t>
        </is>
      </c>
      <c r="H549" s="3" t="n">
        <v>-7.98</v>
      </c>
      <c r="I549" t="inlineStr">
        <is>
          <t>Pix</t>
        </is>
      </c>
      <c r="J549" t="inlineStr">
        <is>
          <t>Não</t>
        </is>
      </c>
      <c r="K549" t="inlineStr">
        <is>
          <t>Eventual</t>
        </is>
      </c>
      <c r="L549" t="inlineStr"/>
      <c r="M549" t="inlineStr">
        <is>
          <t>Nubank NU_370124875_01MAI2026_31MAI2026.csv</t>
        </is>
      </c>
      <c r="N549" t="inlineStr">
        <is>
          <t>Sem comprovante</t>
        </is>
      </c>
      <c r="O549" t="inlineStr">
        <is>
          <t>Transferência enviada pelo Pix - IFOOD.COM AGENCIA DE RESTAURANTES ONLINE S.A. - 14.380.200/0001-21 - IFOOD PAGO IP (0595) Agência: 1 Conta: 101793197-2</t>
        </is>
      </c>
    </row>
    <row r="550">
      <c r="A550" s="29" t="n">
        <v>46152</v>
      </c>
      <c r="B550" t="n">
        <v>5</v>
      </c>
      <c r="C550" t="n">
        <v>2026</v>
      </c>
      <c r="D550" t="inlineStr">
        <is>
          <t>Studio</t>
        </is>
      </c>
      <c r="E550" t="inlineStr">
        <is>
          <t>Receita - Denise (Salão)</t>
        </is>
      </c>
      <c r="F550" t="inlineStr">
        <is>
          <t>Depósito recebido de Denise / Salão</t>
        </is>
      </c>
      <c r="G550" t="inlineStr">
        <is>
          <t>Receita</t>
        </is>
      </c>
      <c r="H550" s="3" t="n">
        <v>500</v>
      </c>
      <c r="I550" t="inlineStr">
        <is>
          <t>Pix</t>
        </is>
      </c>
      <c r="J550" t="inlineStr">
        <is>
          <t>Não</t>
        </is>
      </c>
      <c r="K550" t="inlineStr">
        <is>
          <t>Eventual</t>
        </is>
      </c>
      <c r="L550" t="inlineStr"/>
      <c r="M550" t="inlineStr">
        <is>
          <t>Nubank NU_370124875_01MAI2026_31MAI2026.csv</t>
        </is>
      </c>
      <c r="N550" t="inlineStr">
        <is>
          <t>Recebido</t>
        </is>
      </c>
      <c r="O550" t="inlineStr">
        <is>
          <t>Transferência recebida pelo Pix - DENISE DE PAULA CENTRO DE ESTETICA LTDA - 05.823.454/0001-86 - MERCADO PAGO IP LTDA. (0323) Agência: 1 Conta: 8804533771-0</t>
        </is>
      </c>
    </row>
    <row r="551">
      <c r="A551" s="29" t="n">
        <v>46153</v>
      </c>
      <c r="B551" t="n">
        <v>5</v>
      </c>
      <c r="C551" t="n">
        <v>2026</v>
      </c>
      <c r="D551" t="inlineStr">
        <is>
          <t>Geral</t>
        </is>
      </c>
      <c r="E551" t="inlineStr">
        <is>
          <t>Outros</t>
        </is>
      </c>
      <c r="F551" t="inlineStr">
        <is>
          <t>Câmbio / Ebury</t>
        </is>
      </c>
      <c r="G551" t="inlineStr">
        <is>
          <t>Despesa</t>
        </is>
      </c>
      <c r="H551" s="3" t="n">
        <v>-483.07</v>
      </c>
      <c r="I551" t="inlineStr">
        <is>
          <t>Pix</t>
        </is>
      </c>
      <c r="J551" t="inlineStr">
        <is>
          <t>Não</t>
        </is>
      </c>
      <c r="K551" t="inlineStr">
        <is>
          <t>Eventual</t>
        </is>
      </c>
      <c r="L551" t="inlineStr"/>
      <c r="M551" t="inlineStr">
        <is>
          <t>Mercado Pago account_statement-3b5a5492-8314-4c08-9511-4dbebbc07c06 - cópia.xlsx</t>
        </is>
      </c>
      <c r="N551" t="inlineStr">
        <is>
          <t>Sem comprovante</t>
        </is>
      </c>
      <c r="O551" t="inlineStr">
        <is>
          <t>Pagamento com QR Pix EBURY SOLUCOES DE PAGAMEN</t>
        </is>
      </c>
    </row>
    <row r="552">
      <c r="A552" s="29" t="n">
        <v>46153</v>
      </c>
      <c r="B552" t="n">
        <v>5</v>
      </c>
      <c r="C552" t="n">
        <v>2026</v>
      </c>
      <c r="D552" t="inlineStr">
        <is>
          <t>Studio</t>
        </is>
      </c>
      <c r="E552" t="inlineStr">
        <is>
          <t>Contas Fixas</t>
        </is>
      </c>
      <c r="F552" t="inlineStr">
        <is>
          <t>Internet / Telecom</t>
        </is>
      </c>
      <c r="G552" t="inlineStr">
        <is>
          <t>Despesa</t>
        </is>
      </c>
      <c r="H552" s="3" t="n">
        <v>-100</v>
      </c>
      <c r="I552" t="inlineStr">
        <is>
          <t>Pix</t>
        </is>
      </c>
      <c r="J552" t="inlineStr">
        <is>
          <t>Sim</t>
        </is>
      </c>
      <c r="K552" t="inlineStr">
        <is>
          <t>Mensal</t>
        </is>
      </c>
      <c r="L552" t="inlineStr"/>
      <c r="M552" t="inlineStr">
        <is>
          <t>Mercado Pago account_statement-3b5a5492-8314-4c08-9511-4dbebbc07c06 - cópia.xlsx</t>
        </is>
      </c>
      <c r="N552" t="inlineStr">
        <is>
          <t>Sem comprovante</t>
        </is>
      </c>
      <c r="O552" t="inlineStr">
        <is>
          <t>Pagamento com QR Pix GOOGLE BRASIL INTERNET LTDA.</t>
        </is>
      </c>
    </row>
    <row r="553">
      <c r="A553" s="29" t="n">
        <v>46153</v>
      </c>
      <c r="B553" t="n">
        <v>5</v>
      </c>
      <c r="C553" t="n">
        <v>2026</v>
      </c>
      <c r="D553" t="inlineStr">
        <is>
          <t>Studio</t>
        </is>
      </c>
      <c r="E553" t="inlineStr">
        <is>
          <t>Outros</t>
        </is>
      </c>
      <c r="F553" t="inlineStr">
        <is>
          <t>Pagamento Cartão Bradesco</t>
        </is>
      </c>
      <c r="G553" t="inlineStr">
        <is>
          <t>Despesa</t>
        </is>
      </c>
      <c r="H553" s="3" t="n">
        <v>-316.32</v>
      </c>
      <c r="I553" t="inlineStr">
        <is>
          <t>Boleto</t>
        </is>
      </c>
      <c r="J553" t="inlineStr">
        <is>
          <t>Não</t>
        </is>
      </c>
      <c r="K553" t="inlineStr">
        <is>
          <t>Eventual</t>
        </is>
      </c>
      <c r="L553" t="inlineStr"/>
      <c r="M553" t="inlineStr">
        <is>
          <t>Mercado Pago account_statement-3b5a5492-8314-4c08-9511-4dbebbc07c06 - cópia.xlsx</t>
        </is>
      </c>
      <c r="N553" t="inlineStr">
        <is>
          <t>Sem comprovante</t>
        </is>
      </c>
      <c r="O553" t="inlineStr">
        <is>
          <t>Pagamento de conta Banco Bradesco S.A.</t>
        </is>
      </c>
    </row>
    <row r="554">
      <c r="A554" s="29" t="n">
        <v>46154</v>
      </c>
      <c r="B554" t="n">
        <v>5</v>
      </c>
      <c r="C554" t="n">
        <v>2026</v>
      </c>
      <c r="D554" t="inlineStr">
        <is>
          <t>Studio</t>
        </is>
      </c>
      <c r="E554" t="inlineStr">
        <is>
          <t>Receita - Liberação de Crédito</t>
        </is>
      </c>
      <c r="F554" t="inlineStr">
        <is>
          <t>Liberação de Crédito (Studio)</t>
        </is>
      </c>
      <c r="G554" t="inlineStr">
        <is>
          <t>Receita</t>
        </is>
      </c>
      <c r="H554" s="3" t="n">
        <v>290.88</v>
      </c>
      <c r="I554" t="inlineStr">
        <is>
          <t>Outro</t>
        </is>
      </c>
      <c r="J554" t="inlineStr">
        <is>
          <t>Não</t>
        </is>
      </c>
      <c r="K554" t="inlineStr">
        <is>
          <t>Eventual</t>
        </is>
      </c>
      <c r="L554" t="inlineStr"/>
      <c r="M554" t="inlineStr">
        <is>
          <t>Mercado Pago account_statement-3b5a5492-8314-4c08-9511-4dbebbc07c06 - cópia.xlsx</t>
        </is>
      </c>
      <c r="N554" t="inlineStr">
        <is>
          <t>Recebido</t>
        </is>
      </c>
      <c r="O554" t="inlineStr">
        <is>
          <t>Liberação de dinheiro</t>
        </is>
      </c>
    </row>
    <row r="555">
      <c r="A555" s="29" t="n">
        <v>46154</v>
      </c>
      <c r="B555" t="n">
        <v>5</v>
      </c>
      <c r="C555" t="n">
        <v>2026</v>
      </c>
      <c r="D555" t="inlineStr">
        <is>
          <t>Studio</t>
        </is>
      </c>
      <c r="E555" t="inlineStr">
        <is>
          <t>Receita - Liberação de Crédito</t>
        </is>
      </c>
      <c r="F555" t="inlineStr">
        <is>
          <t>Liberação de Crédito (Studio)</t>
        </is>
      </c>
      <c r="G555" t="inlineStr">
        <is>
          <t>Receita</t>
        </is>
      </c>
      <c r="H555" s="3" t="n">
        <v>890.01</v>
      </c>
      <c r="I555" t="inlineStr">
        <is>
          <t>Outro</t>
        </is>
      </c>
      <c r="J555" t="inlineStr">
        <is>
          <t>Não</t>
        </is>
      </c>
      <c r="K555" t="inlineStr">
        <is>
          <t>Eventual</t>
        </is>
      </c>
      <c r="L555" t="inlineStr"/>
      <c r="M555" t="inlineStr">
        <is>
          <t>Mercado Pago account_statement-3b5a5492-8314-4c08-9511-4dbebbc07c06 - cópia.xlsx</t>
        </is>
      </c>
      <c r="N555" t="inlineStr">
        <is>
          <t>Recebido</t>
        </is>
      </c>
      <c r="O555" t="inlineStr">
        <is>
          <t>Liberação de dinheiro</t>
        </is>
      </c>
    </row>
    <row r="556">
      <c r="A556" s="29" t="n">
        <v>46154</v>
      </c>
      <c r="B556" t="n">
        <v>5</v>
      </c>
      <c r="C556" t="n">
        <v>2026</v>
      </c>
      <c r="D556" t="inlineStr">
        <is>
          <t>Studio</t>
        </is>
      </c>
      <c r="E556" t="inlineStr">
        <is>
          <t>Receita - Liberação de Crédito</t>
        </is>
      </c>
      <c r="F556" t="inlineStr">
        <is>
          <t>Liberação de Crédito (Studio)</t>
        </is>
      </c>
      <c r="G556" t="inlineStr">
        <is>
          <t>Receita</t>
        </is>
      </c>
      <c r="H556" s="3" t="n">
        <v>484.8</v>
      </c>
      <c r="I556" t="inlineStr">
        <is>
          <t>Outro</t>
        </is>
      </c>
      <c r="J556" t="inlineStr">
        <is>
          <t>Não</t>
        </is>
      </c>
      <c r="K556" t="inlineStr">
        <is>
          <t>Eventual</t>
        </is>
      </c>
      <c r="L556" t="inlineStr"/>
      <c r="M556" t="inlineStr">
        <is>
          <t>Mercado Pago account_statement-3b5a5492-8314-4c08-9511-4dbebbc07c06 - cópia.xlsx</t>
        </is>
      </c>
      <c r="N556" t="inlineStr">
        <is>
          <t>Recebido</t>
        </is>
      </c>
      <c r="O556" t="inlineStr">
        <is>
          <t>Liberação de dinheiro</t>
        </is>
      </c>
    </row>
    <row r="557">
      <c r="A557" s="29" t="n">
        <v>46154</v>
      </c>
      <c r="B557" t="n">
        <v>5</v>
      </c>
      <c r="C557" t="n">
        <v>2026</v>
      </c>
      <c r="D557" t="inlineStr">
        <is>
          <t>Pessoal</t>
        </is>
      </c>
      <c r="E557" t="inlineStr">
        <is>
          <t>Contas Variáveis</t>
        </is>
      </c>
      <c r="F557" t="inlineStr">
        <is>
          <t>Combustível</t>
        </is>
      </c>
      <c r="G557" t="inlineStr">
        <is>
          <t>Despesa</t>
        </is>
      </c>
      <c r="H557" s="3" t="n">
        <v>-78.98999999999999</v>
      </c>
      <c r="I557" t="inlineStr">
        <is>
          <t>Pix</t>
        </is>
      </c>
      <c r="J557" t="inlineStr">
        <is>
          <t>Não</t>
        </is>
      </c>
      <c r="K557" t="inlineStr">
        <is>
          <t>Eventual</t>
        </is>
      </c>
      <c r="L557" t="inlineStr"/>
      <c r="M557" t="inlineStr">
        <is>
          <t>Mercado Pago account_statement-3b5a5492-8314-4c08-9511-4dbebbc07c06 - cópia.xlsx</t>
        </is>
      </c>
      <c r="N557" t="inlineStr">
        <is>
          <t>Sem comprovante</t>
        </is>
      </c>
      <c r="O557" t="inlineStr">
        <is>
          <t>Pagamento com QR Pix POSTO ZAKA ALTO DA XV LTDA</t>
        </is>
      </c>
    </row>
    <row r="558">
      <c r="A558" s="29" t="n">
        <v>46154</v>
      </c>
      <c r="B558" t="n">
        <v>5</v>
      </c>
      <c r="C558" t="n">
        <v>2026</v>
      </c>
      <c r="D558" t="inlineStr">
        <is>
          <t>Geral</t>
        </is>
      </c>
      <c r="E558" t="inlineStr">
        <is>
          <t>Outros</t>
        </is>
      </c>
      <c r="F558" t="inlineStr">
        <is>
          <t>Pagamento Caixa</t>
        </is>
      </c>
      <c r="G558" t="inlineStr">
        <is>
          <t>Despesa</t>
        </is>
      </c>
      <c r="H558" s="3" t="n">
        <v>-945.37</v>
      </c>
      <c r="I558" t="inlineStr">
        <is>
          <t>Boleto</t>
        </is>
      </c>
      <c r="J558" t="inlineStr">
        <is>
          <t>Não</t>
        </is>
      </c>
      <c r="K558" t="inlineStr">
        <is>
          <t>Eventual</t>
        </is>
      </c>
      <c r="L558" t="inlineStr"/>
      <c r="M558" t="inlineStr">
        <is>
          <t>Mercado Pago account_statement-3b5a5492-8314-4c08-9511-4dbebbc07c06 - cópia.xlsx</t>
        </is>
      </c>
      <c r="N558" t="inlineStr">
        <is>
          <t>Sem comprovante</t>
        </is>
      </c>
      <c r="O558" t="inlineStr">
        <is>
          <t>Pagamento de conta Caixa Econômica Federal</t>
        </is>
      </c>
    </row>
    <row r="559">
      <c r="A559" s="29" t="n">
        <v>46154</v>
      </c>
      <c r="B559" t="n">
        <v>5</v>
      </c>
      <c r="C559" t="n">
        <v>2026</v>
      </c>
      <c r="D559" t="inlineStr">
        <is>
          <t>Geral</t>
        </is>
      </c>
      <c r="E559" t="inlineStr">
        <is>
          <t>Outros</t>
        </is>
      </c>
      <c r="F559" t="inlineStr">
        <is>
          <t>Pagamento de fatura cartão</t>
        </is>
      </c>
      <c r="G559" t="inlineStr">
        <is>
          <t>Despesa</t>
        </is>
      </c>
      <c r="H559" s="3" t="n">
        <v>-400</v>
      </c>
      <c r="I559" t="inlineStr">
        <is>
          <t>Outro</t>
        </is>
      </c>
      <c r="J559" t="inlineStr">
        <is>
          <t>Não</t>
        </is>
      </c>
      <c r="K559" t="inlineStr">
        <is>
          <t>Eventual</t>
        </is>
      </c>
      <c r="L559" t="inlineStr"/>
      <c r="M559" t="inlineStr">
        <is>
          <t>Nubank NU_370124875_01MAI2026_31MAI2026.csv</t>
        </is>
      </c>
      <c r="N559" t="inlineStr">
        <is>
          <t>Sem comprovante</t>
        </is>
      </c>
      <c r="O559" t="inlineStr">
        <is>
          <t>Pagamento de fatura</t>
        </is>
      </c>
    </row>
    <row r="560">
      <c r="A560" s="29" t="n">
        <v>46154</v>
      </c>
      <c r="B560" t="n">
        <v>5</v>
      </c>
      <c r="C560" t="n">
        <v>2026</v>
      </c>
      <c r="D560" t="inlineStr">
        <is>
          <t>Geral</t>
        </is>
      </c>
      <c r="E560" t="inlineStr">
        <is>
          <t>Transferência - Bruno (própria)</t>
        </is>
      </c>
      <c r="F560" t="inlineStr">
        <is>
          <t>Pix Bruno→Bruno (entre contas próprias)</t>
        </is>
      </c>
      <c r="G560" t="inlineStr">
        <is>
          <t>Despesa</t>
        </is>
      </c>
      <c r="H560" s="3" t="n">
        <v>-50</v>
      </c>
      <c r="I560" t="inlineStr">
        <is>
          <t>Pix</t>
        </is>
      </c>
      <c r="J560" t="inlineStr">
        <is>
          <t>Não</t>
        </is>
      </c>
      <c r="K560" t="inlineStr">
        <is>
          <t>Eventual</t>
        </is>
      </c>
      <c r="L560" t="inlineStr"/>
      <c r="M560" t="inlineStr">
        <is>
          <t>Mercado Pago account_statement-3b5a5492-8314-4c08-9511-4dbebbc07c06 - cópia.xlsx</t>
        </is>
      </c>
      <c r="N560" t="inlineStr">
        <is>
          <t>Sem comprovante</t>
        </is>
      </c>
      <c r="O560" t="inlineStr">
        <is>
          <t>Pix enviado Bruno Porto Seus</t>
        </is>
      </c>
    </row>
    <row r="561">
      <c r="A561" s="29" t="n">
        <v>46154</v>
      </c>
      <c r="B561" t="n">
        <v>5</v>
      </c>
      <c r="C561" t="n">
        <v>2026</v>
      </c>
      <c r="D561" t="inlineStr">
        <is>
          <t>Geral</t>
        </is>
      </c>
      <c r="E561" t="inlineStr">
        <is>
          <t>Outros</t>
        </is>
      </c>
      <c r="F561" t="inlineStr">
        <is>
          <t>Transferência Pix Enviada</t>
        </is>
      </c>
      <c r="G561" t="inlineStr">
        <is>
          <t>Despesa</t>
        </is>
      </c>
      <c r="H561" s="3" t="n">
        <v>-110.4</v>
      </c>
      <c r="I561" t="inlineStr">
        <is>
          <t>Pix</t>
        </is>
      </c>
      <c r="J561" t="inlineStr">
        <is>
          <t>Não</t>
        </is>
      </c>
      <c r="K561" t="inlineStr">
        <is>
          <t>Eventual</t>
        </is>
      </c>
      <c r="L561" t="inlineStr"/>
      <c r="M561" t="inlineStr">
        <is>
          <t>Mercado Pago account_statement-3b5a5492-8314-4c08-9511-4dbebbc07c06 - cópia.xlsx</t>
        </is>
      </c>
      <c r="N561" t="inlineStr">
        <is>
          <t>Sem comprovante</t>
        </is>
      </c>
      <c r="O561" t="inlineStr">
        <is>
          <t>Pix enviado Michelly Carvalho de Azevedo Queiroz</t>
        </is>
      </c>
    </row>
    <row r="562">
      <c r="A562" s="29" t="n">
        <v>46154</v>
      </c>
      <c r="B562" t="n">
        <v>5</v>
      </c>
      <c r="C562" t="n">
        <v>2026</v>
      </c>
      <c r="D562" t="inlineStr">
        <is>
          <t>Studio</t>
        </is>
      </c>
      <c r="E562" t="inlineStr">
        <is>
          <t>Receita - Denise (Salão)</t>
        </is>
      </c>
      <c r="F562" t="inlineStr">
        <is>
          <t>Depósito recebido de Denise / Salão</t>
        </is>
      </c>
      <c r="G562" t="inlineStr">
        <is>
          <t>Receita</t>
        </is>
      </c>
      <c r="H562" s="3" t="n">
        <v>50</v>
      </c>
      <c r="I562" t="inlineStr">
        <is>
          <t>Pix</t>
        </is>
      </c>
      <c r="J562" t="inlineStr">
        <is>
          <t>Não</t>
        </is>
      </c>
      <c r="K562" t="inlineStr">
        <is>
          <t>Eventual</t>
        </is>
      </c>
      <c r="L562" t="inlineStr"/>
      <c r="M562" t="inlineStr">
        <is>
          <t>Nubank NU_370124875_01MAI2026_31MAI2026.csv</t>
        </is>
      </c>
      <c r="N562" t="inlineStr">
        <is>
          <t>Recebido</t>
        </is>
      </c>
      <c r="O562" t="inlineStr">
        <is>
          <t>Transferência recebida pelo Pix - DENISE DE PAULA CENTRO DE ESTETICA LTDA - 05.823.454/0001-86 - MERCADO PAGO IP LTDA. (0323) Agência: 1 Conta: 8804533771-0</t>
        </is>
      </c>
    </row>
    <row r="563">
      <c r="A563" s="29" t="n">
        <v>46155</v>
      </c>
      <c r="B563" t="n">
        <v>5</v>
      </c>
      <c r="C563" t="n">
        <v>2026</v>
      </c>
      <c r="D563" t="inlineStr">
        <is>
          <t>Studio</t>
        </is>
      </c>
      <c r="E563" t="inlineStr">
        <is>
          <t>Receita - Liberação de Crédito</t>
        </is>
      </c>
      <c r="F563" t="inlineStr">
        <is>
          <t>Liberação de Crédito (Studio)</t>
        </is>
      </c>
      <c r="G563" t="inlineStr">
        <is>
          <t>Receita</t>
        </is>
      </c>
      <c r="H563" s="3" t="n">
        <v>97.90000000000001</v>
      </c>
      <c r="I563" t="inlineStr">
        <is>
          <t>Outro</t>
        </is>
      </c>
      <c r="J563" t="inlineStr">
        <is>
          <t>Não</t>
        </is>
      </c>
      <c r="K563" t="inlineStr">
        <is>
          <t>Eventual</t>
        </is>
      </c>
      <c r="L563" t="inlineStr"/>
      <c r="M563" t="inlineStr">
        <is>
          <t>Mercado Pago account_statement-3b5a5492-8314-4c08-9511-4dbebbc07c06 - cópia.xlsx</t>
        </is>
      </c>
      <c r="N563" t="inlineStr">
        <is>
          <t>Recebido</t>
        </is>
      </c>
      <c r="O563" t="inlineStr">
        <is>
          <t>Liberação de dinheiro</t>
        </is>
      </c>
    </row>
    <row r="564">
      <c r="A564" s="29" t="n">
        <v>46155</v>
      </c>
      <c r="B564" t="n">
        <v>5</v>
      </c>
      <c r="C564" t="n">
        <v>2026</v>
      </c>
      <c r="D564" t="inlineStr">
        <is>
          <t>Studio</t>
        </is>
      </c>
      <c r="E564" t="inlineStr">
        <is>
          <t>Receita - Liberação de Crédito</t>
        </is>
      </c>
      <c r="F564" t="inlineStr">
        <is>
          <t>Liberação de Crédito (Studio)</t>
        </is>
      </c>
      <c r="G564" t="inlineStr">
        <is>
          <t>Receita</t>
        </is>
      </c>
      <c r="H564" s="3" t="n">
        <v>519.8</v>
      </c>
      <c r="I564" t="inlineStr">
        <is>
          <t>Outro</t>
        </is>
      </c>
      <c r="J564" t="inlineStr">
        <is>
          <t>Não</t>
        </is>
      </c>
      <c r="K564" t="inlineStr">
        <is>
          <t>Eventual</t>
        </is>
      </c>
      <c r="L564" t="inlineStr"/>
      <c r="M564" t="inlineStr">
        <is>
          <t>Mercado Pago account_statement-3b5a5492-8314-4c08-9511-4dbebbc07c06 - cópia.xlsx</t>
        </is>
      </c>
      <c r="N564" t="inlineStr">
        <is>
          <t>Recebido</t>
        </is>
      </c>
      <c r="O564" t="inlineStr">
        <is>
          <t>Liberação de dinheiro</t>
        </is>
      </c>
    </row>
    <row r="565">
      <c r="A565" s="29" t="n">
        <v>46155</v>
      </c>
      <c r="B565" t="n">
        <v>5</v>
      </c>
      <c r="C565" t="n">
        <v>2026</v>
      </c>
      <c r="D565" t="inlineStr">
        <is>
          <t>Studio</t>
        </is>
      </c>
      <c r="E565" t="inlineStr">
        <is>
          <t>Receita - Outros</t>
        </is>
      </c>
      <c r="F565" t="inlineStr">
        <is>
          <t>Receita não categorizada</t>
        </is>
      </c>
      <c r="G565" t="inlineStr">
        <is>
          <t>Receita</t>
        </is>
      </c>
      <c r="H565" s="3" t="n">
        <v>497.55</v>
      </c>
      <c r="I565" t="inlineStr">
        <is>
          <t>Pix</t>
        </is>
      </c>
      <c r="J565" t="inlineStr">
        <is>
          <t>Não</t>
        </is>
      </c>
      <c r="K565" t="inlineStr">
        <is>
          <t>Eventual</t>
        </is>
      </c>
      <c r="L565" t="inlineStr"/>
      <c r="M565" t="inlineStr">
        <is>
          <t>Mercado Pago account_statement-3b5a5492-8314-4c08-9511-4dbebbc07c06 - cópia.xlsx</t>
        </is>
      </c>
      <c r="N565" t="inlineStr">
        <is>
          <t>Recebido</t>
        </is>
      </c>
      <c r="O565" t="inlineStr">
        <is>
          <t>Pagamento com Código QR Pix 34.776.184 SILVANETE OLIVEIRA DE LIMA</t>
        </is>
      </c>
    </row>
    <row r="566">
      <c r="A566" s="29" t="n">
        <v>46155</v>
      </c>
      <c r="B566" t="n">
        <v>5</v>
      </c>
      <c r="C566" t="n">
        <v>2026</v>
      </c>
      <c r="D566" t="inlineStr">
        <is>
          <t>Studio</t>
        </is>
      </c>
      <c r="E566" t="inlineStr">
        <is>
          <t>Contas Fixas</t>
        </is>
      </c>
      <c r="F566" t="inlineStr">
        <is>
          <t>Internet / Telecom</t>
        </is>
      </c>
      <c r="G566" t="inlineStr">
        <is>
          <t>Despesa</t>
        </is>
      </c>
      <c r="H566" s="3" t="n">
        <v>-167.61</v>
      </c>
      <c r="I566" t="inlineStr">
        <is>
          <t>Pix</t>
        </is>
      </c>
      <c r="J566" t="inlineStr">
        <is>
          <t>Sim</t>
        </is>
      </c>
      <c r="K566" t="inlineStr">
        <is>
          <t>Mensal</t>
        </is>
      </c>
      <c r="L566" t="inlineStr"/>
      <c r="M566" t="inlineStr">
        <is>
          <t>Mercado Pago account_statement-3b5a5492-8314-4c08-9511-4dbebbc07c06 - cópia.xlsx</t>
        </is>
      </c>
      <c r="N566" t="inlineStr">
        <is>
          <t>Sem comprovante</t>
        </is>
      </c>
      <c r="O566" t="inlineStr">
        <is>
          <t>Pagamento com QR Pix PAGALEVE FUNDO DE INVESTIMENTO EM DIREITOS CREDITORIOS COMERC...</t>
        </is>
      </c>
    </row>
    <row r="567">
      <c r="A567" s="29" t="n">
        <v>46155</v>
      </c>
      <c r="B567" t="n">
        <v>5</v>
      </c>
      <c r="C567" t="n">
        <v>2026</v>
      </c>
      <c r="D567" t="inlineStr">
        <is>
          <t>Geral</t>
        </is>
      </c>
      <c r="E567" t="inlineStr">
        <is>
          <t>Transferência - Bruno (própria)</t>
        </is>
      </c>
      <c r="F567" t="inlineStr">
        <is>
          <t>Pix Bruno→Bruno (entre contas próprias)</t>
        </is>
      </c>
      <c r="G567" t="inlineStr">
        <is>
          <t>Despesa</t>
        </is>
      </c>
      <c r="H567" s="3" t="n">
        <v>-500</v>
      </c>
      <c r="I567" t="inlineStr">
        <is>
          <t>Pix</t>
        </is>
      </c>
      <c r="J567" t="inlineStr">
        <is>
          <t>Não</t>
        </is>
      </c>
      <c r="K567" t="inlineStr">
        <is>
          <t>Eventual</t>
        </is>
      </c>
      <c r="L567" t="inlineStr"/>
      <c r="M567" t="inlineStr">
        <is>
          <t>Mercado Pago account_statement-3b5a5492-8314-4c08-9511-4dbebbc07c06 - cópia.xlsx</t>
        </is>
      </c>
      <c r="N567" t="inlineStr">
        <is>
          <t>Sem comprovante</t>
        </is>
      </c>
      <c r="O567" t="inlineStr">
        <is>
          <t>Pix enviado Bruno Porto Seus</t>
        </is>
      </c>
    </row>
    <row r="568">
      <c r="A568" s="29" t="n">
        <v>46155</v>
      </c>
      <c r="B568" t="n">
        <v>5</v>
      </c>
      <c r="C568" t="n">
        <v>2026</v>
      </c>
      <c r="D568" t="inlineStr">
        <is>
          <t>Geral</t>
        </is>
      </c>
      <c r="E568" t="inlineStr">
        <is>
          <t>Outros</t>
        </is>
      </c>
      <c r="F568" t="inlineStr">
        <is>
          <t>Transferência Pix Enviada</t>
        </is>
      </c>
      <c r="G568" t="inlineStr">
        <is>
          <t>Despesa</t>
        </is>
      </c>
      <c r="H568" s="3" t="n">
        <v>-75</v>
      </c>
      <c r="I568" t="inlineStr">
        <is>
          <t>Pix</t>
        </is>
      </c>
      <c r="J568" t="inlineStr">
        <is>
          <t>Não</t>
        </is>
      </c>
      <c r="K568" t="inlineStr">
        <is>
          <t>Eventual</t>
        </is>
      </c>
      <c r="L568" t="inlineStr"/>
      <c r="M568" t="inlineStr">
        <is>
          <t>Nubank NU_370124875_01MAI2026_31MAI2026.csv</t>
        </is>
      </c>
      <c r="N568" t="inlineStr">
        <is>
          <t>Sem comprovante</t>
        </is>
      </c>
      <c r="O568" t="inlineStr">
        <is>
          <t>Transferência enviada pelo Pix - Lucele Kubitzki Farinacio - •••.339.679-•• - NU PAGAMENTOS - IP (0260) Agência: 1 Conta: 91422387-9</t>
        </is>
      </c>
    </row>
    <row r="569">
      <c r="A569" s="29" t="n">
        <v>46155</v>
      </c>
      <c r="B569" t="n">
        <v>5</v>
      </c>
      <c r="C569" t="n">
        <v>2026</v>
      </c>
      <c r="D569" t="inlineStr">
        <is>
          <t>Studio</t>
        </is>
      </c>
      <c r="E569" t="inlineStr">
        <is>
          <t>Receita - Denise (Salão)</t>
        </is>
      </c>
      <c r="F569" t="inlineStr">
        <is>
          <t>Depósito recebido de Denise / Salão</t>
        </is>
      </c>
      <c r="G569" t="inlineStr">
        <is>
          <t>Receita</t>
        </is>
      </c>
      <c r="H569" s="3" t="n">
        <v>500</v>
      </c>
      <c r="I569" t="inlineStr">
        <is>
          <t>Pix</t>
        </is>
      </c>
      <c r="J569" t="inlineStr">
        <is>
          <t>Não</t>
        </is>
      </c>
      <c r="K569" t="inlineStr">
        <is>
          <t>Eventual</t>
        </is>
      </c>
      <c r="L569" t="inlineStr"/>
      <c r="M569" t="inlineStr">
        <is>
          <t>Nubank NU_370124875_01MAI2026_31MAI2026.csv</t>
        </is>
      </c>
      <c r="N569" t="inlineStr">
        <is>
          <t>Recebido</t>
        </is>
      </c>
      <c r="O569" t="inlineStr">
        <is>
          <t>Transferência recebida pelo Pix - DENISE DE PAULA CENTRO DE ESTETICA LTDA - 05.823.454/0001-86 - MERCADO PAGO IP LTDA. (0323) Agência: 1 Conta: 8804533771-0</t>
        </is>
      </c>
    </row>
    <row r="570">
      <c r="A570" s="29" t="n">
        <v>46156</v>
      </c>
      <c r="B570" t="n">
        <v>5</v>
      </c>
      <c r="C570" t="n">
        <v>2026</v>
      </c>
      <c r="D570" t="inlineStr">
        <is>
          <t>Studio</t>
        </is>
      </c>
      <c r="E570" t="inlineStr">
        <is>
          <t>Receita - Liberação de Crédito</t>
        </is>
      </c>
      <c r="F570" t="inlineStr">
        <is>
          <t>Liberação de Crédito (Studio)</t>
        </is>
      </c>
      <c r="G570" t="inlineStr">
        <is>
          <t>Receita</t>
        </is>
      </c>
      <c r="H570" s="3" t="n">
        <v>592.35</v>
      </c>
      <c r="I570" t="inlineStr">
        <is>
          <t>Outro</t>
        </is>
      </c>
      <c r="J570" t="inlineStr">
        <is>
          <t>Não</t>
        </is>
      </c>
      <c r="K570" t="inlineStr">
        <is>
          <t>Eventual</t>
        </is>
      </c>
      <c r="L570" t="inlineStr"/>
      <c r="M570" t="inlineStr">
        <is>
          <t>Mercado Pago account_statement-3b5a5492-8314-4c08-9511-4dbebbc07c06 - cópia.xlsx</t>
        </is>
      </c>
      <c r="N570" t="inlineStr">
        <is>
          <t>Recebido</t>
        </is>
      </c>
      <c r="O570" t="inlineStr">
        <is>
          <t>Liberação de dinheiro</t>
        </is>
      </c>
    </row>
    <row r="571">
      <c r="A571" s="29" t="n">
        <v>46156</v>
      </c>
      <c r="B571" t="n">
        <v>5</v>
      </c>
      <c r="C571" t="n">
        <v>2026</v>
      </c>
      <c r="D571" t="inlineStr">
        <is>
          <t>Studio</t>
        </is>
      </c>
      <c r="E571" t="inlineStr">
        <is>
          <t>Receita - Liberação de Crédito</t>
        </is>
      </c>
      <c r="F571" t="inlineStr">
        <is>
          <t>Liberação de Crédito (Studio)</t>
        </is>
      </c>
      <c r="G571" t="inlineStr">
        <is>
          <t>Receita</t>
        </is>
      </c>
      <c r="H571" s="3" t="n">
        <v>395.56</v>
      </c>
      <c r="I571" t="inlineStr">
        <is>
          <t>Outro</t>
        </is>
      </c>
      <c r="J571" t="inlineStr">
        <is>
          <t>Não</t>
        </is>
      </c>
      <c r="K571" t="inlineStr">
        <is>
          <t>Eventual</t>
        </is>
      </c>
      <c r="L571" t="inlineStr"/>
      <c r="M571" t="inlineStr">
        <is>
          <t>Mercado Pago account_statement-3b5a5492-8314-4c08-9511-4dbebbc07c06 - cópia.xlsx</t>
        </is>
      </c>
      <c r="N571" t="inlineStr">
        <is>
          <t>Recebido</t>
        </is>
      </c>
      <c r="O571" t="inlineStr">
        <is>
          <t>Liberação de dinheiro</t>
        </is>
      </c>
    </row>
    <row r="572">
      <c r="A572" s="29" t="n">
        <v>46156</v>
      </c>
      <c r="B572" t="n">
        <v>5</v>
      </c>
      <c r="C572" t="n">
        <v>2026</v>
      </c>
      <c r="D572" t="inlineStr">
        <is>
          <t>Pessoal</t>
        </is>
      </c>
      <c r="E572" t="inlineStr">
        <is>
          <t>Contas Variáveis</t>
        </is>
      </c>
      <c r="F572" t="inlineStr">
        <is>
          <t>Mercado</t>
        </is>
      </c>
      <c r="G572" t="inlineStr">
        <is>
          <t>Despesa</t>
        </is>
      </c>
      <c r="H572" s="3" t="n">
        <v>-132.12</v>
      </c>
      <c r="I572" t="inlineStr">
        <is>
          <t>Outro</t>
        </is>
      </c>
      <c r="J572" t="inlineStr">
        <is>
          <t>Não</t>
        </is>
      </c>
      <c r="K572" t="inlineStr">
        <is>
          <t>Eventual</t>
        </is>
      </c>
      <c r="L572" t="inlineStr"/>
      <c r="M572" t="inlineStr">
        <is>
          <t>Mercado Pago account_statement-3b5a5492-8314-4c08-9511-4dbebbc07c06 - cópia.xlsx</t>
        </is>
      </c>
      <c r="N572" t="inlineStr">
        <is>
          <t>Sem comprovante</t>
        </is>
      </c>
      <c r="O572" t="inlineStr">
        <is>
          <t>Pagamento Mercado Libre</t>
        </is>
      </c>
    </row>
    <row r="573">
      <c r="A573" s="29" t="n">
        <v>46156</v>
      </c>
      <c r="B573" t="n">
        <v>5</v>
      </c>
      <c r="C573" t="n">
        <v>2026</v>
      </c>
      <c r="D573" t="inlineStr">
        <is>
          <t>Pessoal</t>
        </is>
      </c>
      <c r="E573" t="inlineStr">
        <is>
          <t>Contas Variáveis</t>
        </is>
      </c>
      <c r="F573" t="inlineStr">
        <is>
          <t>Mercado</t>
        </is>
      </c>
      <c r="G573" t="inlineStr">
        <is>
          <t>Despesa</t>
        </is>
      </c>
      <c r="H573" s="3" t="n">
        <v>-97.98</v>
      </c>
      <c r="I573" t="inlineStr">
        <is>
          <t>Outro</t>
        </is>
      </c>
      <c r="J573" t="inlineStr">
        <is>
          <t>Não</t>
        </is>
      </c>
      <c r="K573" t="inlineStr">
        <is>
          <t>Eventual</t>
        </is>
      </c>
      <c r="L573" t="inlineStr"/>
      <c r="M573" t="inlineStr">
        <is>
          <t>Mercado Pago account_statement-3b5a5492-8314-4c08-9511-4dbebbc07c06 - cópia.xlsx</t>
        </is>
      </c>
      <c r="N573" t="inlineStr">
        <is>
          <t>Sem comprovante</t>
        </is>
      </c>
      <c r="O573" t="inlineStr">
        <is>
          <t>Pagamento Mercado Libre</t>
        </is>
      </c>
    </row>
    <row r="574">
      <c r="A574" s="29" t="n">
        <v>46157</v>
      </c>
      <c r="B574" t="n">
        <v>5</v>
      </c>
      <c r="C574" t="n">
        <v>2026</v>
      </c>
      <c r="D574" t="inlineStr">
        <is>
          <t>Studio</t>
        </is>
      </c>
      <c r="E574" t="inlineStr">
        <is>
          <t>Receita - Liberação de Crédito</t>
        </is>
      </c>
      <c r="F574" t="inlineStr">
        <is>
          <t>Liberação de Crédito (Studio)</t>
        </is>
      </c>
      <c r="G574" t="inlineStr">
        <is>
          <t>Receita</t>
        </is>
      </c>
      <c r="H574" s="3" t="n">
        <v>662.5599999999999</v>
      </c>
      <c r="I574" t="inlineStr">
        <is>
          <t>Outro</t>
        </is>
      </c>
      <c r="J574" t="inlineStr">
        <is>
          <t>Não</t>
        </is>
      </c>
      <c r="K574" t="inlineStr">
        <is>
          <t>Eventual</t>
        </is>
      </c>
      <c r="L574" t="inlineStr"/>
      <c r="M574" t="inlineStr">
        <is>
          <t>Mercado Pago account_statement-3b5a5492-8314-4c08-9511-4dbebbc07c06 - cópia.xlsx</t>
        </is>
      </c>
      <c r="N574" t="inlineStr">
        <is>
          <t>Recebido</t>
        </is>
      </c>
      <c r="O574" t="inlineStr">
        <is>
          <t>Liberação de dinheiro</t>
        </is>
      </c>
    </row>
    <row r="575">
      <c r="A575" s="29" t="n">
        <v>46157</v>
      </c>
      <c r="B575" t="n">
        <v>5</v>
      </c>
      <c r="C575" t="n">
        <v>2026</v>
      </c>
      <c r="D575" t="inlineStr">
        <is>
          <t>Studio</t>
        </is>
      </c>
      <c r="E575" t="inlineStr">
        <is>
          <t>Receita - Outros</t>
        </is>
      </c>
      <c r="F575" t="inlineStr">
        <is>
          <t>Receita não categorizada</t>
        </is>
      </c>
      <c r="G575" t="inlineStr">
        <is>
          <t>Receita</t>
        </is>
      </c>
      <c r="H575" s="3" t="n">
        <v>497.55</v>
      </c>
      <c r="I575" t="inlineStr">
        <is>
          <t>Pix</t>
        </is>
      </c>
      <c r="J575" t="inlineStr">
        <is>
          <t>Não</t>
        </is>
      </c>
      <c r="K575" t="inlineStr">
        <is>
          <t>Eventual</t>
        </is>
      </c>
      <c r="L575" t="inlineStr"/>
      <c r="M575" t="inlineStr">
        <is>
          <t>Mercado Pago account_statement-3b5a5492-8314-4c08-9511-4dbebbc07c06 - cópia.xlsx</t>
        </is>
      </c>
      <c r="N575" t="inlineStr">
        <is>
          <t>Recebido</t>
        </is>
      </c>
      <c r="O575" t="inlineStr">
        <is>
          <t>Pagamento com Código QR Pix NAIR A GREGOLIN PROVENSI</t>
        </is>
      </c>
    </row>
    <row r="576">
      <c r="A576" s="29" t="n">
        <v>46157</v>
      </c>
      <c r="B576" t="n">
        <v>5</v>
      </c>
      <c r="C576" t="n">
        <v>2026</v>
      </c>
      <c r="D576" t="inlineStr">
        <is>
          <t>Pessoal</t>
        </is>
      </c>
      <c r="E576" t="inlineStr">
        <is>
          <t>Outros</t>
        </is>
      </c>
      <c r="F576" t="inlineStr">
        <is>
          <t>Compras Diversas</t>
        </is>
      </c>
      <c r="G576" t="inlineStr">
        <is>
          <t>Despesa</t>
        </is>
      </c>
      <c r="H576" s="3" t="n">
        <v>-20</v>
      </c>
      <c r="I576" t="inlineStr">
        <is>
          <t>Pix</t>
        </is>
      </c>
      <c r="J576" t="inlineStr">
        <is>
          <t>Não</t>
        </is>
      </c>
      <c r="K576" t="inlineStr">
        <is>
          <t>Eventual</t>
        </is>
      </c>
      <c r="L576" t="inlineStr"/>
      <c r="M576" t="inlineStr">
        <is>
          <t>Mercado Pago account_statement-3b5a5492-8314-4c08-9511-4dbebbc07c06 - cópia.xlsx</t>
        </is>
      </c>
      <c r="N576" t="inlineStr">
        <is>
          <t>Sem comprovante</t>
        </is>
      </c>
      <c r="O576" t="inlineStr">
        <is>
          <t>Pagamento com QR Pix MULTIDISPLAY COMERCIO E SERVICOS TECNOLOGICOS LTDA.</t>
        </is>
      </c>
    </row>
    <row r="577">
      <c r="A577" s="29" t="n">
        <v>46157</v>
      </c>
      <c r="B577" t="n">
        <v>5</v>
      </c>
      <c r="C577" t="n">
        <v>2026</v>
      </c>
      <c r="D577" t="inlineStr">
        <is>
          <t>Geral</t>
        </is>
      </c>
      <c r="E577" t="inlineStr">
        <is>
          <t>Outros</t>
        </is>
      </c>
      <c r="F577" t="inlineStr">
        <is>
          <t>Pagamento de fatura cartão</t>
        </is>
      </c>
      <c r="G577" t="inlineStr">
        <is>
          <t>Despesa</t>
        </is>
      </c>
      <c r="H577" s="3" t="n">
        <v>-300</v>
      </c>
      <c r="I577" t="inlineStr">
        <is>
          <t>Outro</t>
        </is>
      </c>
      <c r="J577" t="inlineStr">
        <is>
          <t>Não</t>
        </is>
      </c>
      <c r="K577" t="inlineStr">
        <is>
          <t>Eventual</t>
        </is>
      </c>
      <c r="L577" t="inlineStr"/>
      <c r="M577" t="inlineStr">
        <is>
          <t>Nubank NU_370124875_01MAI2026_31MAI2026.csv</t>
        </is>
      </c>
      <c r="N577" t="inlineStr">
        <is>
          <t>Sem comprovante</t>
        </is>
      </c>
      <c r="O577" t="inlineStr">
        <is>
          <t>Pagamento de fatura</t>
        </is>
      </c>
    </row>
    <row r="578">
      <c r="A578" s="29" t="n">
        <v>46157</v>
      </c>
      <c r="B578" t="n">
        <v>5</v>
      </c>
      <c r="C578" t="n">
        <v>2026</v>
      </c>
      <c r="D578" t="inlineStr">
        <is>
          <t>Geral</t>
        </is>
      </c>
      <c r="E578" t="inlineStr">
        <is>
          <t>Transferência - Bruno (própria)</t>
        </is>
      </c>
      <c r="F578" t="inlineStr">
        <is>
          <t>Pix Bruno→Bruno (entre contas próprias)</t>
        </is>
      </c>
      <c r="G578" t="inlineStr">
        <is>
          <t>Despesa</t>
        </is>
      </c>
      <c r="H578" s="3" t="n">
        <v>-100</v>
      </c>
      <c r="I578" t="inlineStr">
        <is>
          <t>Pix</t>
        </is>
      </c>
      <c r="J578" t="inlineStr">
        <is>
          <t>Não</t>
        </is>
      </c>
      <c r="K578" t="inlineStr">
        <is>
          <t>Eventual</t>
        </is>
      </c>
      <c r="L578" t="inlineStr"/>
      <c r="M578" t="inlineStr">
        <is>
          <t>Mercado Pago account_statement-3b5a5492-8314-4c08-9511-4dbebbc07c06 - cópia.xlsx</t>
        </is>
      </c>
      <c r="N578" t="inlineStr">
        <is>
          <t>Sem comprovante</t>
        </is>
      </c>
      <c r="O578" t="inlineStr">
        <is>
          <t>Pix enviado Bruno Porto Seus</t>
        </is>
      </c>
    </row>
    <row r="579">
      <c r="A579" s="29" t="n">
        <v>46157</v>
      </c>
      <c r="B579" t="n">
        <v>5</v>
      </c>
      <c r="C579" t="n">
        <v>2026</v>
      </c>
      <c r="D579" t="inlineStr">
        <is>
          <t>Geral</t>
        </is>
      </c>
      <c r="E579" t="inlineStr">
        <is>
          <t>Outros</t>
        </is>
      </c>
      <c r="F579" t="inlineStr">
        <is>
          <t>Transferência Pix Enviada</t>
        </is>
      </c>
      <c r="G579" t="inlineStr">
        <is>
          <t>Despesa</t>
        </is>
      </c>
      <c r="H579" s="3" t="n">
        <v>-200</v>
      </c>
      <c r="I579" t="inlineStr">
        <is>
          <t>Pix</t>
        </is>
      </c>
      <c r="J579" t="inlineStr">
        <is>
          <t>Não</t>
        </is>
      </c>
      <c r="K579" t="inlineStr">
        <is>
          <t>Eventual</t>
        </is>
      </c>
      <c r="L579" t="inlineStr"/>
      <c r="M579" t="inlineStr">
        <is>
          <t>Mercado Pago account_statement-3b5a5492-8314-4c08-9511-4dbebbc07c06 - cópia.xlsx</t>
        </is>
      </c>
      <c r="N579" t="inlineStr">
        <is>
          <t>Sem comprovante</t>
        </is>
      </c>
      <c r="O579" t="inlineStr">
        <is>
          <t>Pix enviado Marcio Jose Pereira</t>
        </is>
      </c>
    </row>
    <row r="580">
      <c r="A580" s="29" t="n">
        <v>46157</v>
      </c>
      <c r="B580" t="n">
        <v>5</v>
      </c>
      <c r="C580" t="n">
        <v>2026</v>
      </c>
      <c r="D580" t="inlineStr">
        <is>
          <t>Studio</t>
        </is>
      </c>
      <c r="E580" t="inlineStr">
        <is>
          <t>Pessoal</t>
        </is>
      </c>
      <c r="F580" t="inlineStr">
        <is>
          <t>Marco</t>
        </is>
      </c>
      <c r="G580" t="inlineStr">
        <is>
          <t>Despesa</t>
        </is>
      </c>
      <c r="H580" s="3" t="n">
        <v>-1335.04</v>
      </c>
      <c r="I580" t="inlineStr">
        <is>
          <t>Pix</t>
        </is>
      </c>
      <c r="J580" t="inlineStr">
        <is>
          <t>Não</t>
        </is>
      </c>
      <c r="K580" t="inlineStr">
        <is>
          <t>Eventual</t>
        </is>
      </c>
      <c r="L580" t="inlineStr"/>
      <c r="M580" t="inlineStr">
        <is>
          <t>Mercado Pago account_statement-3b5a5492-8314-4c08-9511-4dbebbc07c06 - cópia.xlsx</t>
        </is>
      </c>
      <c r="N580" t="inlineStr">
        <is>
          <t>Sem comprovante</t>
        </is>
      </c>
      <c r="O580" t="inlineStr">
        <is>
          <t>Pix enviado Marco Aurelio de Moura Leite</t>
        </is>
      </c>
    </row>
    <row r="581">
      <c r="A581" s="29" t="n">
        <v>46157</v>
      </c>
      <c r="B581" t="n">
        <v>5</v>
      </c>
      <c r="C581" t="n">
        <v>2026</v>
      </c>
      <c r="D581" t="inlineStr">
        <is>
          <t>Geral</t>
        </is>
      </c>
      <c r="E581" t="inlineStr">
        <is>
          <t>Pessoal</t>
        </is>
      </c>
      <c r="F581" t="inlineStr">
        <is>
          <t>Bruno Luiz (familiar)</t>
        </is>
      </c>
      <c r="G581" t="inlineStr">
        <is>
          <t>Despesa</t>
        </is>
      </c>
      <c r="H581" s="3" t="n">
        <v>-150</v>
      </c>
      <c r="I581" t="inlineStr">
        <is>
          <t>Pix</t>
        </is>
      </c>
      <c r="J581" t="inlineStr">
        <is>
          <t>Não</t>
        </is>
      </c>
      <c r="K581" t="inlineStr">
        <is>
          <t>Eventual</t>
        </is>
      </c>
      <c r="L581" t="inlineStr"/>
      <c r="M581" t="inlineStr">
        <is>
          <t>Nubank NU_370124875_01MAI2026_31MAI2026.csv</t>
        </is>
      </c>
      <c r="N581" t="inlineStr">
        <is>
          <t>Sem comprovante</t>
        </is>
      </c>
      <c r="O581" t="inlineStr">
        <is>
          <t>Transferência enviada pelo Pix - BRUNO LUIZ SASTRE SEUS JUNIOR - •••.516.739-•• - BCO BRADESCO S.A. (0237) Agência: 3925 Conta: 165900-6</t>
        </is>
      </c>
    </row>
    <row r="582">
      <c r="A582" s="29" t="n">
        <v>46157</v>
      </c>
      <c r="B582" t="n">
        <v>5</v>
      </c>
      <c r="C582" t="n">
        <v>2026</v>
      </c>
      <c r="D582" t="inlineStr">
        <is>
          <t>Geral</t>
        </is>
      </c>
      <c r="E582" t="inlineStr">
        <is>
          <t>Outros</t>
        </is>
      </c>
      <c r="F582" t="inlineStr">
        <is>
          <t>Transferência Pix Enviada</t>
        </is>
      </c>
      <c r="G582" t="inlineStr">
        <is>
          <t>Despesa</t>
        </is>
      </c>
      <c r="H582" s="3" t="n">
        <v>-50</v>
      </c>
      <c r="I582" t="inlineStr">
        <is>
          <t>Pix</t>
        </is>
      </c>
      <c r="J582" t="inlineStr">
        <is>
          <t>Não</t>
        </is>
      </c>
      <c r="K582" t="inlineStr">
        <is>
          <t>Eventual</t>
        </is>
      </c>
      <c r="L582" t="inlineStr"/>
      <c r="M582" t="inlineStr">
        <is>
          <t>Nubank NU_370124875_01MAI2026_31MAI2026.csv</t>
        </is>
      </c>
      <c r="N582" t="inlineStr">
        <is>
          <t>Sem comprovante</t>
        </is>
      </c>
      <c r="O582" t="inlineStr">
        <is>
          <t>Transferência enviada pelo Pix - Isabella Souza Lucas - •••.149.805-•• - NEON PAGAMENTOS S.A. IP (0536) Agência: 655 Conta: 15467692-6</t>
        </is>
      </c>
    </row>
    <row r="583">
      <c r="A583" s="29" t="n">
        <v>46157</v>
      </c>
      <c r="B583" t="n">
        <v>5</v>
      </c>
      <c r="C583" t="n">
        <v>2026</v>
      </c>
      <c r="D583" t="inlineStr">
        <is>
          <t>Studio</t>
        </is>
      </c>
      <c r="E583" t="inlineStr">
        <is>
          <t>Receita - Denise (Salão)</t>
        </is>
      </c>
      <c r="F583" t="inlineStr">
        <is>
          <t>Depósito recebido de Denise / Salão</t>
        </is>
      </c>
      <c r="G583" t="inlineStr">
        <is>
          <t>Receita</t>
        </is>
      </c>
      <c r="H583" s="3" t="n">
        <v>100</v>
      </c>
      <c r="I583" t="inlineStr">
        <is>
          <t>Pix</t>
        </is>
      </c>
      <c r="J583" t="inlineStr">
        <is>
          <t>Não</t>
        </is>
      </c>
      <c r="K583" t="inlineStr">
        <is>
          <t>Eventual</t>
        </is>
      </c>
      <c r="L583" t="inlineStr"/>
      <c r="M583" t="inlineStr">
        <is>
          <t>Nubank NU_370124875_01MAI2026_31MAI2026.csv</t>
        </is>
      </c>
      <c r="N583" t="inlineStr">
        <is>
          <t>Recebido</t>
        </is>
      </c>
      <c r="O583" t="inlineStr">
        <is>
          <t>Transferência recebida pelo Pix - DENISE DE PAULA CENTRO DE ESTETICA LTDA - 05.823.454/0001-86 - MERCADO PAGO IP LTDA. (0323) Agência: 1 Conta: 8804533771-0</t>
        </is>
      </c>
    </row>
    <row r="584">
      <c r="A584" s="29" t="n">
        <v>46158</v>
      </c>
      <c r="B584" t="n">
        <v>5</v>
      </c>
      <c r="C584" t="n">
        <v>2026</v>
      </c>
      <c r="D584" t="inlineStr">
        <is>
          <t>Pessoal</t>
        </is>
      </c>
      <c r="E584" t="inlineStr">
        <is>
          <t>Contas Variáveis</t>
        </is>
      </c>
      <c r="F584" t="inlineStr">
        <is>
          <t>Compra no débito</t>
        </is>
      </c>
      <c r="G584" t="inlineStr">
        <is>
          <t>Despesa</t>
        </is>
      </c>
      <c r="H584" s="3" t="n">
        <v>-13</v>
      </c>
      <c r="I584" t="inlineStr">
        <is>
          <t>Débito</t>
        </is>
      </c>
      <c r="J584" t="inlineStr">
        <is>
          <t>Não</t>
        </is>
      </c>
      <c r="K584" t="inlineStr">
        <is>
          <t>Eventual</t>
        </is>
      </c>
      <c r="L584" t="inlineStr"/>
      <c r="M584" t="inlineStr">
        <is>
          <t>Nubank NU_370124875_01MAI2026_31MAI2026.csv</t>
        </is>
      </c>
      <c r="N584" t="inlineStr">
        <is>
          <t>Sem comprovante</t>
        </is>
      </c>
      <c r="O584" t="inlineStr">
        <is>
          <t>Compra no débito - ARMAZEM GARAGEM BAR</t>
        </is>
      </c>
    </row>
    <row r="585">
      <c r="A585" s="29" t="n">
        <v>46158</v>
      </c>
      <c r="B585" t="n">
        <v>5</v>
      </c>
      <c r="C585" t="n">
        <v>2026</v>
      </c>
      <c r="D585" t="inlineStr">
        <is>
          <t>Pessoal</t>
        </is>
      </c>
      <c r="E585" t="inlineStr">
        <is>
          <t>Contas Variáveis</t>
        </is>
      </c>
      <c r="F585" t="inlineStr">
        <is>
          <t>Compra no débito</t>
        </is>
      </c>
      <c r="G585" t="inlineStr">
        <is>
          <t>Despesa</t>
        </is>
      </c>
      <c r="H585" s="3" t="n">
        <v>-28</v>
      </c>
      <c r="I585" t="inlineStr">
        <is>
          <t>Débito</t>
        </is>
      </c>
      <c r="J585" t="inlineStr">
        <is>
          <t>Não</t>
        </is>
      </c>
      <c r="K585" t="inlineStr">
        <is>
          <t>Eventual</t>
        </is>
      </c>
      <c r="L585" t="inlineStr"/>
      <c r="M585" t="inlineStr">
        <is>
          <t>Nubank NU_370124875_01MAI2026_31MAI2026.csv</t>
        </is>
      </c>
      <c r="N585" t="inlineStr">
        <is>
          <t>Sem comprovante</t>
        </is>
      </c>
      <c r="O585" t="inlineStr">
        <is>
          <t>Compra no débito - ARMAZEM GARAGEM BAR</t>
        </is>
      </c>
    </row>
    <row r="586">
      <c r="A586" s="29" t="n">
        <v>46158</v>
      </c>
      <c r="B586" t="n">
        <v>5</v>
      </c>
      <c r="C586" t="n">
        <v>2026</v>
      </c>
      <c r="D586" t="inlineStr">
        <is>
          <t>Studio</t>
        </is>
      </c>
      <c r="E586" t="inlineStr">
        <is>
          <t>Receita - Liberação de Crédito</t>
        </is>
      </c>
      <c r="F586" t="inlineStr">
        <is>
          <t>Liberação de Crédito (Studio)</t>
        </is>
      </c>
      <c r="G586" t="inlineStr">
        <is>
          <t>Receita</t>
        </is>
      </c>
      <c r="H586" s="3" t="n">
        <v>662.5599999999999</v>
      </c>
      <c r="I586" t="inlineStr">
        <is>
          <t>Outro</t>
        </is>
      </c>
      <c r="J586" t="inlineStr">
        <is>
          <t>Não</t>
        </is>
      </c>
      <c r="K586" t="inlineStr">
        <is>
          <t>Eventual</t>
        </is>
      </c>
      <c r="L586" t="inlineStr"/>
      <c r="M586" t="inlineStr">
        <is>
          <t>Mercado Pago account_statement-3b5a5492-8314-4c08-9511-4dbebbc07c06 - cópia.xlsx</t>
        </is>
      </c>
      <c r="N586" t="inlineStr">
        <is>
          <t>Recebido</t>
        </is>
      </c>
      <c r="O586" t="inlineStr">
        <is>
          <t>Liberação de dinheiro</t>
        </is>
      </c>
    </row>
    <row r="587">
      <c r="A587" s="29" t="n">
        <v>46158</v>
      </c>
      <c r="B587" t="n">
        <v>5</v>
      </c>
      <c r="C587" t="n">
        <v>2026</v>
      </c>
      <c r="D587" t="inlineStr">
        <is>
          <t>Pessoal</t>
        </is>
      </c>
      <c r="E587" t="inlineStr">
        <is>
          <t>Contas Variáveis</t>
        </is>
      </c>
      <c r="F587" t="inlineStr">
        <is>
          <t>Mercado</t>
        </is>
      </c>
      <c r="G587" t="inlineStr">
        <is>
          <t>Despesa</t>
        </is>
      </c>
      <c r="H587" s="3" t="n">
        <v>-147.56</v>
      </c>
      <c r="I587" t="inlineStr">
        <is>
          <t>Pix</t>
        </is>
      </c>
      <c r="J587" t="inlineStr">
        <is>
          <t>Não</t>
        </is>
      </c>
      <c r="K587" t="inlineStr">
        <is>
          <t>Eventual</t>
        </is>
      </c>
      <c r="L587" t="inlineStr"/>
      <c r="M587" t="inlineStr">
        <is>
          <t>Mercado Pago account_statement-3b5a5492-8314-4c08-9511-4dbebbc07c06 - cópia.xlsx</t>
        </is>
      </c>
      <c r="N587" t="inlineStr">
        <is>
          <t>Sem comprovante</t>
        </is>
      </c>
      <c r="O587" t="inlineStr">
        <is>
          <t>Pagamento com QR Pix CONDOR SUPER CENTER LTDA</t>
        </is>
      </c>
    </row>
    <row r="588">
      <c r="A588" s="29" t="n">
        <v>46158</v>
      </c>
      <c r="B588" t="n">
        <v>5</v>
      </c>
      <c r="C588" t="n">
        <v>2026</v>
      </c>
      <c r="D588" t="inlineStr">
        <is>
          <t>Pessoal</t>
        </is>
      </c>
      <c r="E588" t="inlineStr">
        <is>
          <t>Contas Variáveis</t>
        </is>
      </c>
      <c r="F588" t="inlineStr">
        <is>
          <t>Mercado</t>
        </is>
      </c>
      <c r="G588" t="inlineStr">
        <is>
          <t>Despesa</t>
        </is>
      </c>
      <c r="H588" s="3" t="n">
        <v>-147.42</v>
      </c>
      <c r="I588" t="inlineStr">
        <is>
          <t>Pix</t>
        </is>
      </c>
      <c r="J588" t="inlineStr">
        <is>
          <t>Não</t>
        </is>
      </c>
      <c r="K588" t="inlineStr">
        <is>
          <t>Eventual</t>
        </is>
      </c>
      <c r="L588" t="inlineStr"/>
      <c r="M588" t="inlineStr">
        <is>
          <t>Mercado Pago account_statement-3b5a5492-8314-4c08-9511-4dbebbc07c06 - cópia.xlsx</t>
        </is>
      </c>
      <c r="N588" t="inlineStr">
        <is>
          <t>Sem comprovante</t>
        </is>
      </c>
      <c r="O588" t="inlineStr">
        <is>
          <t>Pagamento com QR Pix WMS SUPERMERCADOS DO BRASIL LTDA</t>
        </is>
      </c>
    </row>
    <row r="589">
      <c r="A589" s="29" t="n">
        <v>46158</v>
      </c>
      <c r="B589" t="n">
        <v>5</v>
      </c>
      <c r="C589" t="n">
        <v>2026</v>
      </c>
      <c r="D589" t="inlineStr">
        <is>
          <t>Geral</t>
        </is>
      </c>
      <c r="E589" t="inlineStr">
        <is>
          <t>Outros</t>
        </is>
      </c>
      <c r="F589" t="inlineStr">
        <is>
          <t>Transferência Pix Enviada</t>
        </is>
      </c>
      <c r="G589" t="inlineStr">
        <is>
          <t>Despesa</t>
        </is>
      </c>
      <c r="H589" s="3" t="n">
        <v>-18</v>
      </c>
      <c r="I589" t="inlineStr">
        <is>
          <t>Pix</t>
        </is>
      </c>
      <c r="J589" t="inlineStr">
        <is>
          <t>Não</t>
        </is>
      </c>
      <c r="K589" t="inlineStr">
        <is>
          <t>Eventual</t>
        </is>
      </c>
      <c r="L589" t="inlineStr"/>
      <c r="M589" t="inlineStr">
        <is>
          <t>Nubank NU_370124875_01MAI2026_31MAI2026.csv</t>
        </is>
      </c>
      <c r="N589" t="inlineStr">
        <is>
          <t>Sem comprovante</t>
        </is>
      </c>
      <c r="O589" t="inlineStr">
        <is>
          <t>Transferência enviada pelo Pix - CAIXA INSTANTANEA S.A. - 24.038.490/0001-83 - CAIXA ECONOMICA FEDERAL (0104) Agência: 647 Conta: 9999000309224038490-1</t>
        </is>
      </c>
    </row>
    <row r="590">
      <c r="A590" s="29" t="n">
        <v>46159</v>
      </c>
      <c r="B590" t="n">
        <v>5</v>
      </c>
      <c r="C590" t="n">
        <v>2026</v>
      </c>
      <c r="D590" t="inlineStr">
        <is>
          <t>Pessoal</t>
        </is>
      </c>
      <c r="E590" t="inlineStr">
        <is>
          <t>Contas Variáveis</t>
        </is>
      </c>
      <c r="F590" t="inlineStr">
        <is>
          <t>Compra no débito</t>
        </is>
      </c>
      <c r="G590" t="inlineStr">
        <is>
          <t>Despesa</t>
        </is>
      </c>
      <c r="H590" s="3" t="n">
        <v>-5</v>
      </c>
      <c r="I590" t="inlineStr">
        <is>
          <t>Débito</t>
        </is>
      </c>
      <c r="J590" t="inlineStr">
        <is>
          <t>Não</t>
        </is>
      </c>
      <c r="K590" t="inlineStr">
        <is>
          <t>Eventual</t>
        </is>
      </c>
      <c r="L590" t="inlineStr"/>
      <c r="M590" t="inlineStr">
        <is>
          <t>Nubank NU_370124875_01MAI2026_31MAI2026.csv</t>
        </is>
      </c>
      <c r="N590" t="inlineStr">
        <is>
          <t>Sem comprovante</t>
        </is>
      </c>
      <c r="O590" t="inlineStr">
        <is>
          <t>Compra no débito - LETTS BURGER AND BAR</t>
        </is>
      </c>
    </row>
    <row r="591">
      <c r="A591" s="29" t="n">
        <v>46159</v>
      </c>
      <c r="B591" t="n">
        <v>5</v>
      </c>
      <c r="C591" t="n">
        <v>2026</v>
      </c>
      <c r="D591" t="inlineStr">
        <is>
          <t>Pessoal</t>
        </is>
      </c>
      <c r="E591" t="inlineStr">
        <is>
          <t>Outros</t>
        </is>
      </c>
      <c r="F591" t="inlineStr">
        <is>
          <t>Compras Diversas</t>
        </is>
      </c>
      <c r="G591" t="inlineStr">
        <is>
          <t>Despesa</t>
        </is>
      </c>
      <c r="H591" s="3" t="n">
        <v>-81.48999999999999</v>
      </c>
      <c r="I591" t="inlineStr">
        <is>
          <t>Pix</t>
        </is>
      </c>
      <c r="J591" t="inlineStr">
        <is>
          <t>Não</t>
        </is>
      </c>
      <c r="K591" t="inlineStr">
        <is>
          <t>Eventual</t>
        </is>
      </c>
      <c r="L591" t="inlineStr"/>
      <c r="M591" t="inlineStr">
        <is>
          <t>Mercado Pago account_statement-3b5a5492-8314-4c08-9511-4dbebbc07c06 - cópia.xlsx</t>
        </is>
      </c>
      <c r="N591" t="inlineStr">
        <is>
          <t>Sem comprovante</t>
        </is>
      </c>
      <c r="O591" t="inlineStr">
        <is>
          <t>Pagamento com QR Pix PANATURA INDUSTRIA E COMERCIO DE ALIMENTOS LTDA</t>
        </is>
      </c>
    </row>
    <row r="592">
      <c r="A592" s="29" t="n">
        <v>46159</v>
      </c>
      <c r="B592" t="n">
        <v>5</v>
      </c>
      <c r="C592" t="n">
        <v>2026</v>
      </c>
      <c r="D592" t="inlineStr">
        <is>
          <t>Pessoal</t>
        </is>
      </c>
      <c r="E592" t="inlineStr">
        <is>
          <t>Outros</t>
        </is>
      </c>
      <c r="F592" t="inlineStr">
        <is>
          <t>Compras Diversas</t>
        </is>
      </c>
      <c r="G592" t="inlineStr">
        <is>
          <t>Despesa</t>
        </is>
      </c>
      <c r="H592" s="3" t="n">
        <v>-26.65</v>
      </c>
      <c r="I592" t="inlineStr">
        <is>
          <t>Pix</t>
        </is>
      </c>
      <c r="J592" t="inlineStr">
        <is>
          <t>Não</t>
        </is>
      </c>
      <c r="K592" t="inlineStr">
        <is>
          <t>Eventual</t>
        </is>
      </c>
      <c r="L592" t="inlineStr"/>
      <c r="M592" t="inlineStr">
        <is>
          <t>Mercado Pago account_statement-3b5a5492-8314-4c08-9511-4dbebbc07c06 - cópia.xlsx</t>
        </is>
      </c>
      <c r="N592" t="inlineStr">
        <is>
          <t>Sem comprovante</t>
        </is>
      </c>
      <c r="O592" t="inlineStr">
        <is>
          <t>Pagamento com QR Pix PANATURA INDUSTRIA E COMERCIO DE ALIMENTOS LTDA</t>
        </is>
      </c>
    </row>
    <row r="593">
      <c r="A593" s="29" t="n">
        <v>46159</v>
      </c>
      <c r="B593" t="n">
        <v>5</v>
      </c>
      <c r="C593" t="n">
        <v>2026</v>
      </c>
      <c r="D593" t="inlineStr">
        <is>
          <t>Geral</t>
        </is>
      </c>
      <c r="E593" t="inlineStr">
        <is>
          <t>Outros</t>
        </is>
      </c>
      <c r="F593" t="inlineStr">
        <is>
          <t>Transferência Pix Enviada</t>
        </is>
      </c>
      <c r="G593" t="inlineStr">
        <is>
          <t>Despesa</t>
        </is>
      </c>
      <c r="H593" s="3" t="n">
        <v>-7</v>
      </c>
      <c r="I593" t="inlineStr">
        <is>
          <t>Pix</t>
        </is>
      </c>
      <c r="J593" t="inlineStr">
        <is>
          <t>Não</t>
        </is>
      </c>
      <c r="K593" t="inlineStr">
        <is>
          <t>Eventual</t>
        </is>
      </c>
      <c r="L593" t="inlineStr"/>
      <c r="M593" t="inlineStr">
        <is>
          <t>Nubank NU_370124875_01MAI2026_31MAI2026.csv</t>
        </is>
      </c>
      <c r="N593" t="inlineStr">
        <is>
          <t>Sem comprovante</t>
        </is>
      </c>
      <c r="O593" t="inlineStr">
        <is>
          <t>Transferência enviada pelo Pix - CAIXA INSTANTANEA S.A. - 24.038.490/0001-83 - CAIXA ECONOMICA FEDERAL (0104) Agência: 647 Conta: 9999000309224038490-1</t>
        </is>
      </c>
    </row>
    <row r="594">
      <c r="A594" s="29" t="n">
        <v>46160</v>
      </c>
      <c r="B594" t="n">
        <v>5</v>
      </c>
      <c r="C594" t="n">
        <v>2026</v>
      </c>
      <c r="D594" t="inlineStr">
        <is>
          <t>Studio</t>
        </is>
      </c>
      <c r="E594" t="inlineStr">
        <is>
          <t>Receita - Liberação de Crédito</t>
        </is>
      </c>
      <c r="F594" t="inlineStr">
        <is>
          <t>Liberação de Crédito (Studio)</t>
        </is>
      </c>
      <c r="G594" t="inlineStr">
        <is>
          <t>Receita</t>
        </is>
      </c>
      <c r="H594" s="3" t="n">
        <v>283.53</v>
      </c>
      <c r="I594" t="inlineStr">
        <is>
          <t>Outro</t>
        </is>
      </c>
      <c r="J594" t="inlineStr">
        <is>
          <t>Não</t>
        </is>
      </c>
      <c r="K594" t="inlineStr">
        <is>
          <t>Eventual</t>
        </is>
      </c>
      <c r="L594" t="inlineStr"/>
      <c r="M594" t="inlineStr">
        <is>
          <t>Mercado Pago account_statement-3b5a5492-8314-4c08-9511-4dbebbc07c06 - cópia.xlsx</t>
        </is>
      </c>
      <c r="N594" t="inlineStr">
        <is>
          <t>Recebido</t>
        </is>
      </c>
      <c r="O594" t="inlineStr">
        <is>
          <t>Liberação de dinheiro</t>
        </is>
      </c>
    </row>
    <row r="595">
      <c r="A595" s="29" t="n">
        <v>46160</v>
      </c>
      <c r="B595" t="n">
        <v>5</v>
      </c>
      <c r="C595" t="n">
        <v>2026</v>
      </c>
      <c r="D595" t="inlineStr">
        <is>
          <t>Pessoal</t>
        </is>
      </c>
      <c r="E595" t="inlineStr">
        <is>
          <t>Contas Fixas</t>
        </is>
      </c>
      <c r="F595" t="inlineStr">
        <is>
          <t>Luz (Copel)</t>
        </is>
      </c>
      <c r="G595" t="inlineStr">
        <is>
          <t>Despesa</t>
        </is>
      </c>
      <c r="H595" s="3" t="n">
        <v>-130.81</v>
      </c>
      <c r="I595" t="inlineStr">
        <is>
          <t>Pix</t>
        </is>
      </c>
      <c r="J595" t="inlineStr">
        <is>
          <t>Sim</t>
        </is>
      </c>
      <c r="K595" t="inlineStr">
        <is>
          <t>Mensal</t>
        </is>
      </c>
      <c r="L595" t="inlineStr"/>
      <c r="M595" t="inlineStr">
        <is>
          <t>Mercado Pago account_statement-3b5a5492-8314-4c08-9511-4dbebbc07c06 - cópia.xlsx</t>
        </is>
      </c>
      <c r="N595" t="inlineStr">
        <is>
          <t>Sem comprovante</t>
        </is>
      </c>
      <c r="O595" t="inlineStr">
        <is>
          <t>Pagamento com QR Pix COPEL DISTRIBUICAO S.A.</t>
        </is>
      </c>
    </row>
    <row r="596">
      <c r="A596" s="29" t="n">
        <v>46160</v>
      </c>
      <c r="B596" t="n">
        <v>5</v>
      </c>
      <c r="C596" t="n">
        <v>2026</v>
      </c>
      <c r="D596" t="inlineStr">
        <is>
          <t>Pessoal</t>
        </is>
      </c>
      <c r="E596" t="inlineStr">
        <is>
          <t>Contas Fixas</t>
        </is>
      </c>
      <c r="F596" t="inlineStr">
        <is>
          <t>Luz (Copel)</t>
        </is>
      </c>
      <c r="G596" t="inlineStr">
        <is>
          <t>Despesa</t>
        </is>
      </c>
      <c r="H596" s="3" t="n">
        <v>-130.81</v>
      </c>
      <c r="I596" t="inlineStr">
        <is>
          <t>Pix</t>
        </is>
      </c>
      <c r="J596" t="inlineStr">
        <is>
          <t>Sim</t>
        </is>
      </c>
      <c r="K596" t="inlineStr">
        <is>
          <t>Mensal</t>
        </is>
      </c>
      <c r="L596" t="inlineStr"/>
      <c r="M596" t="inlineStr">
        <is>
          <t>Mercado Pago account_statement-3b5a5492-8314-4c08-9511-4dbebbc07c06 - cópia.xlsx</t>
        </is>
      </c>
      <c r="N596" t="inlineStr">
        <is>
          <t>Sem comprovante</t>
        </is>
      </c>
      <c r="O596" t="inlineStr">
        <is>
          <t>Pagamento com QR Pix COPEL DISTRIBUICAO S.A.</t>
        </is>
      </c>
    </row>
    <row r="597">
      <c r="A597" s="29" t="n">
        <v>46160</v>
      </c>
      <c r="B597" t="n">
        <v>5</v>
      </c>
      <c r="C597" t="n">
        <v>2026</v>
      </c>
      <c r="D597" t="inlineStr">
        <is>
          <t>Pessoal</t>
        </is>
      </c>
      <c r="E597" t="inlineStr">
        <is>
          <t>Contas Fixas</t>
        </is>
      </c>
      <c r="F597" t="inlineStr">
        <is>
          <t>Luz (Copel)</t>
        </is>
      </c>
      <c r="G597" t="inlineStr">
        <is>
          <t>Despesa</t>
        </is>
      </c>
      <c r="H597" s="3" t="n">
        <v>-130.81</v>
      </c>
      <c r="I597" t="inlineStr">
        <is>
          <t>Pix</t>
        </is>
      </c>
      <c r="J597" t="inlineStr">
        <is>
          <t>Sim</t>
        </is>
      </c>
      <c r="K597" t="inlineStr">
        <is>
          <t>Mensal</t>
        </is>
      </c>
      <c r="L597" t="inlineStr"/>
      <c r="M597" t="inlineStr">
        <is>
          <t>Mercado Pago account_statement-3b5a5492-8314-4c08-9511-4dbebbc07c06 - cópia.xlsx</t>
        </is>
      </c>
      <c r="N597" t="inlineStr">
        <is>
          <t>Sem comprovante</t>
        </is>
      </c>
      <c r="O597" t="inlineStr">
        <is>
          <t>Pagamento com QR Pix COPEL DISTRIBUICAO S.A.</t>
        </is>
      </c>
    </row>
    <row r="598">
      <c r="A598" s="29" t="n">
        <v>46160</v>
      </c>
      <c r="B598" t="n">
        <v>5</v>
      </c>
      <c r="C598" t="n">
        <v>2026</v>
      </c>
      <c r="D598" t="inlineStr">
        <is>
          <t>Geral</t>
        </is>
      </c>
      <c r="E598" t="inlineStr">
        <is>
          <t>Transferência - Bruno (própria)</t>
        </is>
      </c>
      <c r="F598" t="inlineStr">
        <is>
          <t>Pix Bruno→Bruno (entre contas próprias)</t>
        </is>
      </c>
      <c r="G598" t="inlineStr">
        <is>
          <t>Despesa</t>
        </is>
      </c>
      <c r="H598" s="3" t="n">
        <v>-500</v>
      </c>
      <c r="I598" t="inlineStr">
        <is>
          <t>Pix</t>
        </is>
      </c>
      <c r="J598" t="inlineStr">
        <is>
          <t>Não</t>
        </is>
      </c>
      <c r="K598" t="inlineStr">
        <is>
          <t>Eventual</t>
        </is>
      </c>
      <c r="L598" t="inlineStr"/>
      <c r="M598" t="inlineStr">
        <is>
          <t>Mercado Pago account_statement-3b5a5492-8314-4c08-9511-4dbebbc07c06 - cópia.xlsx</t>
        </is>
      </c>
      <c r="N598" t="inlineStr">
        <is>
          <t>Sem comprovante</t>
        </is>
      </c>
      <c r="O598" t="inlineStr">
        <is>
          <t>Pix enviado Bruno Porto Seus</t>
        </is>
      </c>
    </row>
    <row r="599">
      <c r="A599" s="29" t="n">
        <v>46160</v>
      </c>
      <c r="B599" t="n">
        <v>5</v>
      </c>
      <c r="C599" t="n">
        <v>2026</v>
      </c>
      <c r="D599" t="inlineStr">
        <is>
          <t>Geral</t>
        </is>
      </c>
      <c r="E599" t="inlineStr">
        <is>
          <t>Transferência - Denise</t>
        </is>
      </c>
      <c r="F599" t="inlineStr">
        <is>
          <t>Pix Bruno→Denise</t>
        </is>
      </c>
      <c r="G599" t="inlineStr">
        <is>
          <t>Despesa</t>
        </is>
      </c>
      <c r="H599" s="3" t="n">
        <v>-600</v>
      </c>
      <c r="I599" t="inlineStr">
        <is>
          <t>Pix</t>
        </is>
      </c>
      <c r="J599" t="inlineStr">
        <is>
          <t>Não</t>
        </is>
      </c>
      <c r="K599" t="inlineStr">
        <is>
          <t>Eventual</t>
        </is>
      </c>
      <c r="L599" t="inlineStr"/>
      <c r="M599" t="inlineStr">
        <is>
          <t>Mercado Pago account_statement-3b5a5492-8314-4c08-9511-4dbebbc07c06 - cópia.xlsx</t>
        </is>
      </c>
      <c r="N599" t="inlineStr">
        <is>
          <t>Sem comprovante</t>
        </is>
      </c>
      <c r="O599" t="inlineStr">
        <is>
          <t>Pix enviado Denise De Paula</t>
        </is>
      </c>
    </row>
    <row r="600">
      <c r="A600" s="29" t="n">
        <v>46160</v>
      </c>
      <c r="B600" t="n">
        <v>5</v>
      </c>
      <c r="C600" t="n">
        <v>2026</v>
      </c>
      <c r="D600" t="inlineStr">
        <is>
          <t>Geral</t>
        </is>
      </c>
      <c r="E600" t="inlineStr">
        <is>
          <t>Outros</t>
        </is>
      </c>
      <c r="F600" t="inlineStr">
        <is>
          <t>Transferência Pix Enviada</t>
        </is>
      </c>
      <c r="G600" t="inlineStr">
        <is>
          <t>Despesa</t>
        </is>
      </c>
      <c r="H600" s="3" t="n">
        <v>-55</v>
      </c>
      <c r="I600" t="inlineStr">
        <is>
          <t>Pix</t>
        </is>
      </c>
      <c r="J600" t="inlineStr">
        <is>
          <t>Não</t>
        </is>
      </c>
      <c r="K600" t="inlineStr">
        <is>
          <t>Eventual</t>
        </is>
      </c>
      <c r="L600" t="inlineStr"/>
      <c r="M600" t="inlineStr">
        <is>
          <t>Nubank NU_370124875_01MAI2026_31MAI2026.csv</t>
        </is>
      </c>
      <c r="N600" t="inlineStr">
        <is>
          <t>Sem comprovante</t>
        </is>
      </c>
      <c r="O600" t="inlineStr">
        <is>
          <t>Transferência enviada pelo Pix - Paulo Cesar Rubim - •••.499.909-•• - CAIXA ECONOMICA FEDERAL (0104) Agência: 3915 Conta: 1288000000808698404-2</t>
        </is>
      </c>
    </row>
    <row r="601">
      <c r="A601" s="29" t="n">
        <v>46160</v>
      </c>
      <c r="B601" t="n">
        <v>5</v>
      </c>
      <c r="C601" t="n">
        <v>2026</v>
      </c>
      <c r="D601" t="inlineStr">
        <is>
          <t>Studio</t>
        </is>
      </c>
      <c r="E601" t="inlineStr">
        <is>
          <t>Receita - Denise (Salão)</t>
        </is>
      </c>
      <c r="F601" t="inlineStr">
        <is>
          <t>Depósito recebido de Denise / Salão</t>
        </is>
      </c>
      <c r="G601" t="inlineStr">
        <is>
          <t>Receita</t>
        </is>
      </c>
      <c r="H601" s="3" t="n">
        <v>500</v>
      </c>
      <c r="I601" t="inlineStr">
        <is>
          <t>Pix</t>
        </is>
      </c>
      <c r="J601" t="inlineStr">
        <is>
          <t>Não</t>
        </is>
      </c>
      <c r="K601" t="inlineStr">
        <is>
          <t>Eventual</t>
        </is>
      </c>
      <c r="L601" t="inlineStr"/>
      <c r="M601" t="inlineStr">
        <is>
          <t>Nubank NU_370124875_01MAI2026_31MAI2026.csv</t>
        </is>
      </c>
      <c r="N601" t="inlineStr">
        <is>
          <t>Recebido</t>
        </is>
      </c>
      <c r="O601" t="inlineStr">
        <is>
          <t>Transferência recebida pelo Pix - DENISE DE PAULA CENTRO DE ESTETICA LTDA - 05.823.454/0001-86 - MERCADO PAGO IP LTDA. (0323) Agência: 1 Conta: 8804533771-0</t>
        </is>
      </c>
    </row>
    <row r="602">
      <c r="A602" s="29" t="n">
        <v>46161</v>
      </c>
      <c r="B602" t="n">
        <v>5</v>
      </c>
      <c r="C602" t="n">
        <v>2026</v>
      </c>
      <c r="D602" t="inlineStr">
        <is>
          <t>Studio</t>
        </is>
      </c>
      <c r="E602" t="inlineStr">
        <is>
          <t>Receita - Liberação de Crédito</t>
        </is>
      </c>
      <c r="F602" t="inlineStr">
        <is>
          <t>Liberação de Crédito (Studio)</t>
        </is>
      </c>
      <c r="G602" t="inlineStr">
        <is>
          <t>Receita</t>
        </is>
      </c>
      <c r="H602" s="3" t="n">
        <v>652.38</v>
      </c>
      <c r="I602" t="inlineStr">
        <is>
          <t>Outro</t>
        </is>
      </c>
      <c r="J602" t="inlineStr">
        <is>
          <t>Não</t>
        </is>
      </c>
      <c r="K602" t="inlineStr">
        <is>
          <t>Eventual</t>
        </is>
      </c>
      <c r="L602" t="inlineStr"/>
      <c r="M602" t="inlineStr">
        <is>
          <t>Mercado Pago account_statement-3b5a5492-8314-4c08-9511-4dbebbc07c06 - cópia.xlsx</t>
        </is>
      </c>
      <c r="N602" t="inlineStr">
        <is>
          <t>Recebido</t>
        </is>
      </c>
      <c r="O602" t="inlineStr">
        <is>
          <t>Liberação de dinheiro</t>
        </is>
      </c>
    </row>
    <row r="603">
      <c r="A603" s="29" t="n">
        <v>46161</v>
      </c>
      <c r="B603" t="n">
        <v>5</v>
      </c>
      <c r="C603" t="n">
        <v>2026</v>
      </c>
      <c r="D603" t="inlineStr">
        <is>
          <t>Studio</t>
        </is>
      </c>
      <c r="E603" t="inlineStr">
        <is>
          <t>Receita - Liberação de Crédito</t>
        </is>
      </c>
      <c r="F603" t="inlineStr">
        <is>
          <t>Liberação de Crédito (Studio)</t>
        </is>
      </c>
      <c r="G603" t="inlineStr">
        <is>
          <t>Receita</t>
        </is>
      </c>
      <c r="H603" s="3" t="n">
        <v>559.05</v>
      </c>
      <c r="I603" t="inlineStr">
        <is>
          <t>Outro</t>
        </is>
      </c>
      <c r="J603" t="inlineStr">
        <is>
          <t>Não</t>
        </is>
      </c>
      <c r="K603" t="inlineStr">
        <is>
          <t>Eventual</t>
        </is>
      </c>
      <c r="L603" t="inlineStr"/>
      <c r="M603" t="inlineStr">
        <is>
          <t>Mercado Pago account_statement-3b5a5492-8314-4c08-9511-4dbebbc07c06 - cópia.xlsx</t>
        </is>
      </c>
      <c r="N603" t="inlineStr">
        <is>
          <t>Recebido</t>
        </is>
      </c>
      <c r="O603" t="inlineStr">
        <is>
          <t>Liberação de dinheiro</t>
        </is>
      </c>
    </row>
    <row r="604">
      <c r="A604" s="29" t="n">
        <v>46161</v>
      </c>
      <c r="B604" t="n">
        <v>5</v>
      </c>
      <c r="C604" t="n">
        <v>2026</v>
      </c>
      <c r="D604" t="inlineStr">
        <is>
          <t>Pessoal</t>
        </is>
      </c>
      <c r="E604" t="inlineStr">
        <is>
          <t>Contas Variáveis</t>
        </is>
      </c>
      <c r="F604" t="inlineStr">
        <is>
          <t>Mercado</t>
        </is>
      </c>
      <c r="G604" t="inlineStr">
        <is>
          <t>Despesa</t>
        </is>
      </c>
      <c r="H604" s="3" t="n">
        <v>-39.33</v>
      </c>
      <c r="I604" t="inlineStr">
        <is>
          <t>Outro</t>
        </is>
      </c>
      <c r="J604" t="inlineStr">
        <is>
          <t>Não</t>
        </is>
      </c>
      <c r="K604" t="inlineStr">
        <is>
          <t>Eventual</t>
        </is>
      </c>
      <c r="L604" t="inlineStr"/>
      <c r="M604" t="inlineStr">
        <is>
          <t>Mercado Pago account_statement-3b5a5492-8314-4c08-9511-4dbebbc07c06 - cópia.xlsx</t>
        </is>
      </c>
      <c r="N604" t="inlineStr">
        <is>
          <t>Sem comprovante</t>
        </is>
      </c>
      <c r="O604" t="inlineStr">
        <is>
          <t>Pagamento Mercado Livre</t>
        </is>
      </c>
    </row>
    <row r="605">
      <c r="A605" s="29" t="n">
        <v>46161</v>
      </c>
      <c r="B605" t="n">
        <v>5</v>
      </c>
      <c r="C605" t="n">
        <v>2026</v>
      </c>
      <c r="D605" t="inlineStr">
        <is>
          <t>Studio</t>
        </is>
      </c>
      <c r="E605" t="inlineStr">
        <is>
          <t>Receita - Outros</t>
        </is>
      </c>
      <c r="F605" t="inlineStr">
        <is>
          <t>Receita não categorizada</t>
        </is>
      </c>
      <c r="G605" t="inlineStr">
        <is>
          <t>Receita</t>
        </is>
      </c>
      <c r="H605" s="3" t="n">
        <v>497.55</v>
      </c>
      <c r="I605" t="inlineStr">
        <is>
          <t>Pix</t>
        </is>
      </c>
      <c r="J605" t="inlineStr">
        <is>
          <t>Não</t>
        </is>
      </c>
      <c r="K605" t="inlineStr">
        <is>
          <t>Eventual</t>
        </is>
      </c>
      <c r="L605" t="inlineStr"/>
      <c r="M605" t="inlineStr">
        <is>
          <t>Mercado Pago account_statement-3b5a5492-8314-4c08-9511-4dbebbc07c06 - cópia.xlsx</t>
        </is>
      </c>
      <c r="N605" t="inlineStr">
        <is>
          <t>Recebido</t>
        </is>
      </c>
      <c r="O605" t="inlineStr">
        <is>
          <t>Pagamento com Código QR Pix ISABEL CRISTINA E LARA</t>
        </is>
      </c>
    </row>
    <row r="606">
      <c r="A606" s="29" t="n">
        <v>46161</v>
      </c>
      <c r="B606" t="n">
        <v>5</v>
      </c>
      <c r="C606" t="n">
        <v>2026</v>
      </c>
      <c r="D606" t="inlineStr">
        <is>
          <t>Studio</t>
        </is>
      </c>
      <c r="E606" t="inlineStr">
        <is>
          <t>Receita - Outros</t>
        </is>
      </c>
      <c r="F606" t="inlineStr">
        <is>
          <t>Receita não categorizada</t>
        </is>
      </c>
      <c r="G606" t="inlineStr">
        <is>
          <t>Receita</t>
        </is>
      </c>
      <c r="H606" s="3" t="n">
        <v>496.55</v>
      </c>
      <c r="I606" t="inlineStr">
        <is>
          <t>Pix</t>
        </is>
      </c>
      <c r="J606" t="inlineStr">
        <is>
          <t>Não</t>
        </is>
      </c>
      <c r="K606" t="inlineStr">
        <is>
          <t>Eventual</t>
        </is>
      </c>
      <c r="L606" t="inlineStr"/>
      <c r="M606" t="inlineStr">
        <is>
          <t>Mercado Pago account_statement-3b5a5492-8314-4c08-9511-4dbebbc07c06 - cópia.xlsx</t>
        </is>
      </c>
      <c r="N606" t="inlineStr">
        <is>
          <t>Recebido</t>
        </is>
      </c>
      <c r="O606" t="inlineStr">
        <is>
          <t>Pagamento com Código QR Pix Maria Bernadete Navroski</t>
        </is>
      </c>
    </row>
    <row r="607">
      <c r="A607" s="29" t="n">
        <v>46161</v>
      </c>
      <c r="B607" t="n">
        <v>5</v>
      </c>
      <c r="C607" t="n">
        <v>2026</v>
      </c>
      <c r="D607" t="inlineStr">
        <is>
          <t>Studio</t>
        </is>
      </c>
      <c r="E607" t="inlineStr">
        <is>
          <t>Outros</t>
        </is>
      </c>
      <c r="F607" t="inlineStr">
        <is>
          <t>Serviços Online / Domínio</t>
        </is>
      </c>
      <c r="G607" t="inlineStr">
        <is>
          <t>Despesa</t>
        </is>
      </c>
      <c r="H607" s="3" t="n">
        <v>-39.99</v>
      </c>
      <c r="I607" t="inlineStr">
        <is>
          <t>Pix</t>
        </is>
      </c>
      <c r="J607" t="inlineStr">
        <is>
          <t>Não</t>
        </is>
      </c>
      <c r="K607" t="inlineStr">
        <is>
          <t>Eventual</t>
        </is>
      </c>
      <c r="L607" t="inlineStr"/>
      <c r="M607" t="inlineStr">
        <is>
          <t>Mercado Pago account_statement-3b5a5492-8314-4c08-9511-4dbebbc07c06 - cópia.xlsx</t>
        </is>
      </c>
      <c r="N607" t="inlineStr">
        <is>
          <t>Sem comprovante</t>
        </is>
      </c>
      <c r="O607" t="inlineStr">
        <is>
          <t>Pagamento com QR Pix BYTEDANCE BRASIL TECNOLOGIA LTDA.</t>
        </is>
      </c>
    </row>
    <row r="608">
      <c r="A608" s="29" t="n">
        <v>46161</v>
      </c>
      <c r="B608" t="n">
        <v>5</v>
      </c>
      <c r="C608" t="n">
        <v>2026</v>
      </c>
      <c r="D608" t="inlineStr">
        <is>
          <t>Studio</t>
        </is>
      </c>
      <c r="E608" t="inlineStr">
        <is>
          <t>Contas Fixas</t>
        </is>
      </c>
      <c r="F608" t="inlineStr">
        <is>
          <t>Internet / Telecom</t>
        </is>
      </c>
      <c r="G608" t="inlineStr">
        <is>
          <t>Despesa</t>
        </is>
      </c>
      <c r="H608" s="3" t="n">
        <v>-250</v>
      </c>
      <c r="I608" t="inlineStr">
        <is>
          <t>Pix</t>
        </is>
      </c>
      <c r="J608" t="inlineStr">
        <is>
          <t>Sim</t>
        </is>
      </c>
      <c r="K608" t="inlineStr">
        <is>
          <t>Mensal</t>
        </is>
      </c>
      <c r="L608" t="inlineStr"/>
      <c r="M608" t="inlineStr">
        <is>
          <t>Mercado Pago account_statement-3b5a5492-8314-4c08-9511-4dbebbc07c06 - cópia.xlsx</t>
        </is>
      </c>
      <c r="N608" t="inlineStr">
        <is>
          <t>Sem comprovante</t>
        </is>
      </c>
      <c r="O608" t="inlineStr">
        <is>
          <t>Pagamento com QR Pix GOOGLE BRASIL INTERNET LTDA.</t>
        </is>
      </c>
    </row>
    <row r="609">
      <c r="A609" s="29" t="n">
        <v>46161</v>
      </c>
      <c r="B609" t="n">
        <v>5</v>
      </c>
      <c r="C609" t="n">
        <v>2026</v>
      </c>
      <c r="D609" t="inlineStr">
        <is>
          <t>Pessoal</t>
        </is>
      </c>
      <c r="E609" t="inlineStr">
        <is>
          <t>Contas Variáveis</t>
        </is>
      </c>
      <c r="F609" t="inlineStr">
        <is>
          <t>iFood</t>
        </is>
      </c>
      <c r="G609" t="inlineStr">
        <is>
          <t>Despesa</t>
        </is>
      </c>
      <c r="H609" s="3" t="n">
        <v>-100.06</v>
      </c>
      <c r="I609" t="inlineStr">
        <is>
          <t>Pix</t>
        </is>
      </c>
      <c r="J609" t="inlineStr">
        <is>
          <t>Não</t>
        </is>
      </c>
      <c r="K609" t="inlineStr">
        <is>
          <t>Eventual</t>
        </is>
      </c>
      <c r="L609" t="inlineStr"/>
      <c r="M609" t="inlineStr">
        <is>
          <t>Mercado Pago account_statement-3b5a5492-8314-4c08-9511-4dbebbc07c06 - cópia.xlsx</t>
        </is>
      </c>
      <c r="N609" t="inlineStr">
        <is>
          <t>Sem comprovante</t>
        </is>
      </c>
      <c r="O609" t="inlineStr">
        <is>
          <t>Pagamento com QR Pix IFOOD.COM AGENCIA DE RESTAURANTES ONLINE S.A.</t>
        </is>
      </c>
    </row>
    <row r="610">
      <c r="A610" s="29" t="n">
        <v>46161</v>
      </c>
      <c r="B610" t="n">
        <v>5</v>
      </c>
      <c r="C610" t="n">
        <v>2026</v>
      </c>
      <c r="D610" t="inlineStr">
        <is>
          <t>Geral</t>
        </is>
      </c>
      <c r="E610" t="inlineStr">
        <is>
          <t>Outros</t>
        </is>
      </c>
      <c r="F610" t="inlineStr">
        <is>
          <t>Serviço Médico</t>
        </is>
      </c>
      <c r="G610" t="inlineStr">
        <is>
          <t>Despesa</t>
        </is>
      </c>
      <c r="H610" s="3" t="n">
        <v>-326.68</v>
      </c>
      <c r="I610" t="inlineStr">
        <is>
          <t>Pix</t>
        </is>
      </c>
      <c r="J610" t="inlineStr">
        <is>
          <t>Não</t>
        </is>
      </c>
      <c r="K610" t="inlineStr">
        <is>
          <t>Eventual</t>
        </is>
      </c>
      <c r="L610" t="inlineStr"/>
      <c r="M610" t="inlineStr">
        <is>
          <t>Mercado Pago account_statement-3b5a5492-8314-4c08-9511-4dbebbc07c06 - cópia.xlsx</t>
        </is>
      </c>
      <c r="N610" t="inlineStr">
        <is>
          <t>Sem comprovante</t>
        </is>
      </c>
      <c r="O610" t="inlineStr">
        <is>
          <t>Pagamento com QR Pix SALVA SERVICOS MEDICOS DE EMERGENCIA LTDA</t>
        </is>
      </c>
    </row>
    <row r="611">
      <c r="A611" s="29" t="n">
        <v>46161</v>
      </c>
      <c r="B611" t="n">
        <v>5</v>
      </c>
      <c r="C611" t="n">
        <v>2026</v>
      </c>
      <c r="D611" t="inlineStr">
        <is>
          <t>Geral</t>
        </is>
      </c>
      <c r="E611" t="inlineStr">
        <is>
          <t>Outros</t>
        </is>
      </c>
      <c r="F611" t="inlineStr">
        <is>
          <t>Pagamento de fatura cartão</t>
        </is>
      </c>
      <c r="G611" t="inlineStr">
        <is>
          <t>Despesa</t>
        </is>
      </c>
      <c r="H611" s="3" t="n">
        <v>-250</v>
      </c>
      <c r="I611" t="inlineStr">
        <is>
          <t>Outro</t>
        </is>
      </c>
      <c r="J611" t="inlineStr">
        <is>
          <t>Não</t>
        </is>
      </c>
      <c r="K611" t="inlineStr">
        <is>
          <t>Eventual</t>
        </is>
      </c>
      <c r="L611" t="inlineStr"/>
      <c r="M611" t="inlineStr">
        <is>
          <t>Nubank NU_370124875_01MAI2026_31MAI2026.csv</t>
        </is>
      </c>
      <c r="N611" t="inlineStr">
        <is>
          <t>Sem comprovante</t>
        </is>
      </c>
      <c r="O611" t="inlineStr">
        <is>
          <t>Pagamento de fatura</t>
        </is>
      </c>
    </row>
    <row r="612">
      <c r="A612" s="29" t="n">
        <v>46161</v>
      </c>
      <c r="B612" t="n">
        <v>5</v>
      </c>
      <c r="C612" t="n">
        <v>2026</v>
      </c>
      <c r="D612" t="inlineStr">
        <is>
          <t>Geral</t>
        </is>
      </c>
      <c r="E612" t="inlineStr">
        <is>
          <t>Transferência - Denise</t>
        </is>
      </c>
      <c r="F612" t="inlineStr">
        <is>
          <t>Pix Bruno→Denise</t>
        </is>
      </c>
      <c r="G612" t="inlineStr">
        <is>
          <t>Despesa</t>
        </is>
      </c>
      <c r="H612" s="3" t="n">
        <v>-500</v>
      </c>
      <c r="I612" t="inlineStr">
        <is>
          <t>Pix</t>
        </is>
      </c>
      <c r="J612" t="inlineStr">
        <is>
          <t>Não</t>
        </is>
      </c>
      <c r="K612" t="inlineStr">
        <is>
          <t>Eventual</t>
        </is>
      </c>
      <c r="L612" t="inlineStr"/>
      <c r="M612" t="inlineStr">
        <is>
          <t>Mercado Pago account_statement-3b5a5492-8314-4c08-9511-4dbebbc07c06 - cópia.xlsx</t>
        </is>
      </c>
      <c r="N612" t="inlineStr">
        <is>
          <t>Sem comprovante</t>
        </is>
      </c>
      <c r="O612" t="inlineStr">
        <is>
          <t>Pix enviado Denise De Paula</t>
        </is>
      </c>
    </row>
    <row r="613">
      <c r="A613" s="29" t="n">
        <v>46161</v>
      </c>
      <c r="B613" t="n">
        <v>5</v>
      </c>
      <c r="C613" t="n">
        <v>2026</v>
      </c>
      <c r="D613" t="inlineStr">
        <is>
          <t>Geral</t>
        </is>
      </c>
      <c r="E613" t="inlineStr">
        <is>
          <t>Outros</t>
        </is>
      </c>
      <c r="F613" t="inlineStr">
        <is>
          <t>Transferência Pix Enviada</t>
        </is>
      </c>
      <c r="G613" t="inlineStr">
        <is>
          <t>Despesa</t>
        </is>
      </c>
      <c r="H613" s="3" t="n">
        <v>-303.12</v>
      </c>
      <c r="I613" t="inlineStr">
        <is>
          <t>Pix</t>
        </is>
      </c>
      <c r="J613" t="inlineStr">
        <is>
          <t>Não</t>
        </is>
      </c>
      <c r="K613" t="inlineStr">
        <is>
          <t>Eventual</t>
        </is>
      </c>
      <c r="L613" t="inlineStr">
        <is>
          <t>Segline/00000022-PHOTO-2026-05-19-15-28-28.jpg</t>
        </is>
      </c>
      <c r="M613" t="inlineStr">
        <is>
          <t>Mercado Pago account_statement-3b5a5492-8314-4c08-9511-4dbebbc07c06 - cópia.xlsx</t>
        </is>
      </c>
      <c r="N613" t="inlineStr">
        <is>
          <t>Pago</t>
        </is>
      </c>
      <c r="O613" t="inlineStr">
        <is>
          <t>Pix enviado Segline Automacao Predial e Reparacao de Equipamentos de Alarmes Ltda</t>
        </is>
      </c>
    </row>
    <row r="614">
      <c r="A614" s="29" t="n">
        <v>46162</v>
      </c>
      <c r="B614" t="n">
        <v>5</v>
      </c>
      <c r="C614" t="n">
        <v>2026</v>
      </c>
      <c r="D614" t="inlineStr">
        <is>
          <t>Studio</t>
        </is>
      </c>
      <c r="E614" t="inlineStr">
        <is>
          <t>Receita - Liberação de Crédito</t>
        </is>
      </c>
      <c r="F614" t="inlineStr">
        <is>
          <t>Liberação de Crédito (Studio)</t>
        </is>
      </c>
      <c r="G614" t="inlineStr">
        <is>
          <t>Receita</t>
        </is>
      </c>
      <c r="H614" s="3" t="n">
        <v>296.67</v>
      </c>
      <c r="I614" t="inlineStr">
        <is>
          <t>Outro</t>
        </is>
      </c>
      <c r="J614" t="inlineStr">
        <is>
          <t>Não</t>
        </is>
      </c>
      <c r="K614" t="inlineStr">
        <is>
          <t>Eventual</t>
        </is>
      </c>
      <c r="L614" t="inlineStr"/>
      <c r="M614" t="inlineStr">
        <is>
          <t>Mercado Pago account_statement-3b5a5492-8314-4c08-9511-4dbebbc07c06 - cópia.xlsx</t>
        </is>
      </c>
      <c r="N614" t="inlineStr">
        <is>
          <t>Recebido</t>
        </is>
      </c>
      <c r="O614" t="inlineStr">
        <is>
          <t>Liberação de dinheiro</t>
        </is>
      </c>
    </row>
    <row r="615">
      <c r="A615" s="29" t="n">
        <v>46162</v>
      </c>
      <c r="B615" t="n">
        <v>5</v>
      </c>
      <c r="C615" t="n">
        <v>2026</v>
      </c>
      <c r="D615" t="inlineStr">
        <is>
          <t>Studio</t>
        </is>
      </c>
      <c r="E615" t="inlineStr">
        <is>
          <t>Receita - Liberação de Crédito</t>
        </is>
      </c>
      <c r="F615" t="inlineStr">
        <is>
          <t>Liberação de Crédito (Studio)</t>
        </is>
      </c>
      <c r="G615" t="inlineStr">
        <is>
          <t>Receita</t>
        </is>
      </c>
      <c r="H615" s="3" t="n">
        <v>649.63</v>
      </c>
      <c r="I615" t="inlineStr">
        <is>
          <t>Outro</t>
        </is>
      </c>
      <c r="J615" t="inlineStr">
        <is>
          <t>Não</t>
        </is>
      </c>
      <c r="K615" t="inlineStr">
        <is>
          <t>Eventual</t>
        </is>
      </c>
      <c r="L615" t="inlineStr"/>
      <c r="M615" t="inlineStr">
        <is>
          <t>Mercado Pago account_statement-3b5a5492-8314-4c08-9511-4dbebbc07c06 - cópia.xlsx</t>
        </is>
      </c>
      <c r="N615" t="inlineStr">
        <is>
          <t>Recebido</t>
        </is>
      </c>
      <c r="O615" t="inlineStr">
        <is>
          <t>Liberação de dinheiro</t>
        </is>
      </c>
    </row>
    <row r="616">
      <c r="A616" s="29" t="n">
        <v>46162</v>
      </c>
      <c r="B616" t="n">
        <v>5</v>
      </c>
      <c r="C616" t="n">
        <v>2026</v>
      </c>
      <c r="D616" t="inlineStr">
        <is>
          <t>Studio</t>
        </is>
      </c>
      <c r="E616" t="inlineStr">
        <is>
          <t>Receita - Liberação de Crédito</t>
        </is>
      </c>
      <c r="F616" t="inlineStr">
        <is>
          <t>Liberação de Crédito (Studio)</t>
        </is>
      </c>
      <c r="G616" t="inlineStr">
        <is>
          <t>Receita</t>
        </is>
      </c>
      <c r="H616" s="3" t="n">
        <v>494.45</v>
      </c>
      <c r="I616" t="inlineStr">
        <is>
          <t>Outro</t>
        </is>
      </c>
      <c r="J616" t="inlineStr">
        <is>
          <t>Não</t>
        </is>
      </c>
      <c r="K616" t="inlineStr">
        <is>
          <t>Eventual</t>
        </is>
      </c>
      <c r="L616" t="inlineStr"/>
      <c r="M616" t="inlineStr">
        <is>
          <t>Mercado Pago account_statement-3b5a5492-8314-4c08-9511-4dbebbc07c06 - cópia.xlsx</t>
        </is>
      </c>
      <c r="N616" t="inlineStr">
        <is>
          <t>Recebido</t>
        </is>
      </c>
      <c r="O616" t="inlineStr">
        <is>
          <t>Liberação de dinheiro</t>
        </is>
      </c>
    </row>
    <row r="617">
      <c r="A617" s="29" t="n">
        <v>46162</v>
      </c>
      <c r="B617" t="n">
        <v>5</v>
      </c>
      <c r="C617" t="n">
        <v>2026</v>
      </c>
      <c r="D617" t="inlineStr">
        <is>
          <t>Studio</t>
        </is>
      </c>
      <c r="E617" t="inlineStr">
        <is>
          <t>Receita - Outros</t>
        </is>
      </c>
      <c r="F617" t="inlineStr">
        <is>
          <t>Receita não categorizada</t>
        </is>
      </c>
      <c r="G617" t="inlineStr">
        <is>
          <t>Receita</t>
        </is>
      </c>
      <c r="H617" s="3" t="n">
        <v>547.3</v>
      </c>
      <c r="I617" t="inlineStr">
        <is>
          <t>Pix</t>
        </is>
      </c>
      <c r="J617" t="inlineStr">
        <is>
          <t>Não</t>
        </is>
      </c>
      <c r="K617" t="inlineStr">
        <is>
          <t>Eventual</t>
        </is>
      </c>
      <c r="L617" t="inlineStr"/>
      <c r="M617" t="inlineStr">
        <is>
          <t>Mercado Pago account_statement-3b5a5492-8314-4c08-9511-4dbebbc07c06 - cópia.xlsx</t>
        </is>
      </c>
      <c r="N617" t="inlineStr">
        <is>
          <t>Recebido</t>
        </is>
      </c>
      <c r="O617" t="inlineStr">
        <is>
          <t>Pagamento com Código QR Pix DIRSE NEVES DE SOUZA</t>
        </is>
      </c>
    </row>
    <row r="618">
      <c r="A618" s="29" t="n">
        <v>46162</v>
      </c>
      <c r="B618" t="n">
        <v>5</v>
      </c>
      <c r="C618" t="n">
        <v>2026</v>
      </c>
      <c r="D618" t="inlineStr">
        <is>
          <t>Geral</t>
        </is>
      </c>
      <c r="E618" t="inlineStr">
        <is>
          <t>Outros</t>
        </is>
      </c>
      <c r="F618" t="inlineStr">
        <is>
          <t>Transferência Pix Enviada</t>
        </is>
      </c>
      <c r="G618" t="inlineStr">
        <is>
          <t>Despesa</t>
        </is>
      </c>
      <c r="H618" s="3" t="n">
        <v>-8</v>
      </c>
      <c r="I618" t="inlineStr">
        <is>
          <t>Pix</t>
        </is>
      </c>
      <c r="J618" t="inlineStr">
        <is>
          <t>Não</t>
        </is>
      </c>
      <c r="K618" t="inlineStr">
        <is>
          <t>Eventual</t>
        </is>
      </c>
      <c r="L618" t="inlineStr"/>
      <c r="M618" t="inlineStr">
        <is>
          <t>Nubank NU_370124875_01MAI2026_31MAI2026.csv</t>
        </is>
      </c>
      <c r="N618" t="inlineStr">
        <is>
          <t>Sem comprovante</t>
        </is>
      </c>
      <c r="O618" t="inlineStr">
        <is>
          <t>Transferência enviada pelo Pix - DEIVISSON COSTA DA SILVA - •••.652.010-•• - EFÍ S.A. - IP (0364) Agência: 1 Conta: 693619-9</t>
        </is>
      </c>
    </row>
    <row r="619">
      <c r="A619" s="29" t="n">
        <v>46163</v>
      </c>
      <c r="B619" t="n">
        <v>5</v>
      </c>
      <c r="C619" t="n">
        <v>2026</v>
      </c>
      <c r="D619" t="inlineStr">
        <is>
          <t>Studio</t>
        </is>
      </c>
      <c r="E619" t="inlineStr">
        <is>
          <t>Receita - Liberação de Crédito</t>
        </is>
      </c>
      <c r="F619" t="inlineStr">
        <is>
          <t>Liberação de Crédito (Studio)</t>
        </is>
      </c>
      <c r="G619" t="inlineStr">
        <is>
          <t>Receita</t>
        </is>
      </c>
      <c r="H619" s="3" t="n">
        <v>247.22</v>
      </c>
      <c r="I619" t="inlineStr">
        <is>
          <t>Outro</t>
        </is>
      </c>
      <c r="J619" t="inlineStr">
        <is>
          <t>Não</t>
        </is>
      </c>
      <c r="K619" t="inlineStr">
        <is>
          <t>Eventual</t>
        </is>
      </c>
      <c r="L619" t="inlineStr"/>
      <c r="M619" t="inlineStr">
        <is>
          <t>Mercado Pago account_statement-3b5a5492-8314-4c08-9511-4dbebbc07c06 - cópia.xlsx</t>
        </is>
      </c>
      <c r="N619" t="inlineStr">
        <is>
          <t>Recebido</t>
        </is>
      </c>
      <c r="O619" t="inlineStr">
        <is>
          <t>Liberação de dinheiro</t>
        </is>
      </c>
    </row>
    <row r="620">
      <c r="A620" s="29" t="n">
        <v>46163</v>
      </c>
      <c r="B620" t="n">
        <v>5</v>
      </c>
      <c r="C620" t="n">
        <v>2026</v>
      </c>
      <c r="D620" t="inlineStr">
        <is>
          <t>Studio</t>
        </is>
      </c>
      <c r="E620" t="inlineStr">
        <is>
          <t>Receita - Liberação de Crédito</t>
        </is>
      </c>
      <c r="F620" t="inlineStr">
        <is>
          <t>Liberação de Crédito (Studio)</t>
        </is>
      </c>
      <c r="G620" t="inlineStr">
        <is>
          <t>Receita</t>
        </is>
      </c>
      <c r="H620" s="3" t="n">
        <v>247.22</v>
      </c>
      <c r="I620" t="inlineStr">
        <is>
          <t>Outro</t>
        </is>
      </c>
      <c r="J620" t="inlineStr">
        <is>
          <t>Não</t>
        </is>
      </c>
      <c r="K620" t="inlineStr">
        <is>
          <t>Eventual</t>
        </is>
      </c>
      <c r="L620" t="inlineStr"/>
      <c r="M620" t="inlineStr">
        <is>
          <t>Mercado Pago account_statement-3b5a5492-8314-4c08-9511-4dbebbc07c06 - cópia.xlsx</t>
        </is>
      </c>
      <c r="N620" t="inlineStr">
        <is>
          <t>Recebido</t>
        </is>
      </c>
      <c r="O620" t="inlineStr">
        <is>
          <t>Liberação de dinheiro</t>
        </is>
      </c>
    </row>
    <row r="621">
      <c r="A621" s="29" t="n">
        <v>46163</v>
      </c>
      <c r="B621" t="n">
        <v>5</v>
      </c>
      <c r="C621" t="n">
        <v>2026</v>
      </c>
      <c r="D621" t="inlineStr">
        <is>
          <t>Studio</t>
        </is>
      </c>
      <c r="E621" t="inlineStr">
        <is>
          <t>Receita - Liberação de Crédito</t>
        </is>
      </c>
      <c r="F621" t="inlineStr">
        <is>
          <t>Liberação de Crédito (Studio)</t>
        </is>
      </c>
      <c r="G621" t="inlineStr">
        <is>
          <t>Receita</t>
        </is>
      </c>
      <c r="H621" s="3" t="n">
        <v>494.45</v>
      </c>
      <c r="I621" t="inlineStr">
        <is>
          <t>Outro</t>
        </is>
      </c>
      <c r="J621" t="inlineStr">
        <is>
          <t>Não</t>
        </is>
      </c>
      <c r="K621" t="inlineStr">
        <is>
          <t>Eventual</t>
        </is>
      </c>
      <c r="L621" t="inlineStr"/>
      <c r="M621" t="inlineStr">
        <is>
          <t>Mercado Pago account_statement-3b5a5492-8314-4c08-9511-4dbebbc07c06 - cópia.xlsx</t>
        </is>
      </c>
      <c r="N621" t="inlineStr">
        <is>
          <t>Recebido</t>
        </is>
      </c>
      <c r="O621" t="inlineStr">
        <is>
          <t>Liberação de dinheiro</t>
        </is>
      </c>
    </row>
    <row r="622">
      <c r="A622" s="29" t="n">
        <v>46163</v>
      </c>
      <c r="B622" t="n">
        <v>5</v>
      </c>
      <c r="C622" t="n">
        <v>2026</v>
      </c>
      <c r="D622" t="inlineStr">
        <is>
          <t>Studio</t>
        </is>
      </c>
      <c r="E622" t="inlineStr">
        <is>
          <t>Receita - Liberação de Crédito</t>
        </is>
      </c>
      <c r="F622" t="inlineStr">
        <is>
          <t>Liberação de Crédito (Studio)</t>
        </is>
      </c>
      <c r="G622" t="inlineStr">
        <is>
          <t>Receita</t>
        </is>
      </c>
      <c r="H622" s="3" t="n">
        <v>494.45</v>
      </c>
      <c r="I622" t="inlineStr">
        <is>
          <t>Outro</t>
        </is>
      </c>
      <c r="J622" t="inlineStr">
        <is>
          <t>Não</t>
        </is>
      </c>
      <c r="K622" t="inlineStr">
        <is>
          <t>Eventual</t>
        </is>
      </c>
      <c r="L622" t="inlineStr"/>
      <c r="M622" t="inlineStr">
        <is>
          <t>Mercado Pago account_statement-3b5a5492-8314-4c08-9511-4dbebbc07c06 - cópia.xlsx</t>
        </is>
      </c>
      <c r="N622" t="inlineStr">
        <is>
          <t>Recebido</t>
        </is>
      </c>
      <c r="O622" t="inlineStr">
        <is>
          <t>Liberação de dinheiro</t>
        </is>
      </c>
    </row>
    <row r="623">
      <c r="A623" s="29" t="n">
        <v>46163</v>
      </c>
      <c r="B623" t="n">
        <v>5</v>
      </c>
      <c r="C623" t="n">
        <v>2026</v>
      </c>
      <c r="D623" t="inlineStr">
        <is>
          <t>Studio</t>
        </is>
      </c>
      <c r="E623" t="inlineStr">
        <is>
          <t>Receita - Liberação de Crédito</t>
        </is>
      </c>
      <c r="F623" t="inlineStr">
        <is>
          <t>Liberação de Crédito (Studio)</t>
        </is>
      </c>
      <c r="G623" t="inlineStr">
        <is>
          <t>Receita</t>
        </is>
      </c>
      <c r="H623" s="3" t="n">
        <v>494.45</v>
      </c>
      <c r="I623" t="inlineStr">
        <is>
          <t>Outro</t>
        </is>
      </c>
      <c r="J623" t="inlineStr">
        <is>
          <t>Não</t>
        </is>
      </c>
      <c r="K623" t="inlineStr">
        <is>
          <t>Eventual</t>
        </is>
      </c>
      <c r="L623" t="inlineStr"/>
      <c r="M623" t="inlineStr">
        <is>
          <t>Mercado Pago account_statement-3b5a5492-8314-4c08-9511-4dbebbc07c06 - cópia.xlsx</t>
        </is>
      </c>
      <c r="N623" t="inlineStr">
        <is>
          <t>Recebido</t>
        </is>
      </c>
      <c r="O623" t="inlineStr">
        <is>
          <t>Liberação de dinheiro</t>
        </is>
      </c>
    </row>
    <row r="624">
      <c r="A624" s="29" t="n">
        <v>46163</v>
      </c>
      <c r="B624" t="n">
        <v>5</v>
      </c>
      <c r="C624" t="n">
        <v>2026</v>
      </c>
      <c r="D624" t="inlineStr">
        <is>
          <t>Pessoal</t>
        </is>
      </c>
      <c r="E624" t="inlineStr">
        <is>
          <t>Contas Variáveis</t>
        </is>
      </c>
      <c r="F624" t="inlineStr">
        <is>
          <t>Farmácia</t>
        </is>
      </c>
      <c r="G624" t="inlineStr">
        <is>
          <t>Despesa</t>
        </is>
      </c>
      <c r="H624" s="3" t="n">
        <v>-25.98</v>
      </c>
      <c r="I624" t="inlineStr">
        <is>
          <t>Pix</t>
        </is>
      </c>
      <c r="J624" t="inlineStr">
        <is>
          <t>Não</t>
        </is>
      </c>
      <c r="K624" t="inlineStr">
        <is>
          <t>Eventual</t>
        </is>
      </c>
      <c r="L624" t="inlineStr"/>
      <c r="M624" t="inlineStr">
        <is>
          <t>Mercado Pago account_statement-3b5a5492-8314-4c08-9511-4dbebbc07c06 - cópia.xlsx</t>
        </is>
      </c>
      <c r="N624" t="inlineStr">
        <is>
          <t>Sem comprovante</t>
        </is>
      </c>
      <c r="O624" t="inlineStr">
        <is>
          <t>Pagamento com QR Pix FARMACIA IRMAOS PAVESI LTDA</t>
        </is>
      </c>
    </row>
    <row r="625">
      <c r="A625" s="29" t="n">
        <v>46163</v>
      </c>
      <c r="B625" t="n">
        <v>5</v>
      </c>
      <c r="C625" t="n">
        <v>2026</v>
      </c>
      <c r="D625" t="inlineStr">
        <is>
          <t>Geral</t>
        </is>
      </c>
      <c r="E625" t="inlineStr">
        <is>
          <t>Outros</t>
        </is>
      </c>
      <c r="F625" t="inlineStr">
        <is>
          <t>Não identificado</t>
        </is>
      </c>
      <c r="G625" t="inlineStr">
        <is>
          <t>Despesa</t>
        </is>
      </c>
      <c r="H625" s="3" t="n">
        <v>-66.90000000000001</v>
      </c>
      <c r="I625" t="inlineStr">
        <is>
          <t>Pix</t>
        </is>
      </c>
      <c r="J625" t="inlineStr">
        <is>
          <t>Não</t>
        </is>
      </c>
      <c r="K625" t="inlineStr">
        <is>
          <t>Eventual</t>
        </is>
      </c>
      <c r="L625" t="inlineStr"/>
      <c r="M625" t="inlineStr">
        <is>
          <t>Mercado Pago account_statement-3b5a5492-8314-4c08-9511-4dbebbc07c06 - cópia.xlsx</t>
        </is>
      </c>
      <c r="N625" t="inlineStr">
        <is>
          <t>Sem comprovante</t>
        </is>
      </c>
      <c r="O625" t="inlineStr">
        <is>
          <t>Pagamento com QR Pix HIPERZOO PET SHOP LTDA.</t>
        </is>
      </c>
    </row>
    <row r="626">
      <c r="A626" s="29" t="n">
        <v>46163</v>
      </c>
      <c r="B626" t="n">
        <v>5</v>
      </c>
      <c r="C626" t="n">
        <v>2026</v>
      </c>
      <c r="D626" t="inlineStr">
        <is>
          <t>Studio</t>
        </is>
      </c>
      <c r="E626" t="inlineStr">
        <is>
          <t>Contas Fixas</t>
        </is>
      </c>
      <c r="F626" t="inlineStr">
        <is>
          <t>Internet / Telecom</t>
        </is>
      </c>
      <c r="G626" t="inlineStr">
        <is>
          <t>Despesa</t>
        </is>
      </c>
      <c r="H626" s="3" t="n">
        <v>-249.25</v>
      </c>
      <c r="I626" t="inlineStr">
        <is>
          <t>Boleto</t>
        </is>
      </c>
      <c r="J626" t="inlineStr">
        <is>
          <t>Sim</t>
        </is>
      </c>
      <c r="K626" t="inlineStr">
        <is>
          <t>Mensal</t>
        </is>
      </c>
      <c r="L626" t="inlineStr"/>
      <c r="M626" t="inlineStr">
        <is>
          <t>Mercado Pago account_statement-3b5a5492-8314-4c08-9511-4dbebbc07c06 - cópia.xlsx</t>
        </is>
      </c>
      <c r="N626" t="inlineStr">
        <is>
          <t>Sem comprovante</t>
        </is>
      </c>
      <c r="O626" t="inlineStr">
        <is>
          <t>Pagamento de conta Banco Votorantim S.A.</t>
        </is>
      </c>
    </row>
    <row r="627">
      <c r="A627" s="29" t="n">
        <v>46163</v>
      </c>
      <c r="B627" t="n">
        <v>5</v>
      </c>
      <c r="C627" t="n">
        <v>2026</v>
      </c>
      <c r="D627" t="inlineStr">
        <is>
          <t>Studio</t>
        </is>
      </c>
      <c r="E627" t="inlineStr">
        <is>
          <t>Pessoal</t>
        </is>
      </c>
      <c r="F627" t="inlineStr">
        <is>
          <t>Marco</t>
        </is>
      </c>
      <c r="G627" t="inlineStr">
        <is>
          <t>Despesa</t>
        </is>
      </c>
      <c r="H627" s="3" t="n">
        <v>-1385</v>
      </c>
      <c r="I627" t="inlineStr">
        <is>
          <t>Pix</t>
        </is>
      </c>
      <c r="J627" t="inlineStr">
        <is>
          <t>Não</t>
        </is>
      </c>
      <c r="K627" t="inlineStr">
        <is>
          <t>Eventual</t>
        </is>
      </c>
      <c r="L627" t="inlineStr">
        <is>
          <t>Marco/00000102-PHOTO-2026-05-21-17-36-44.jpg</t>
        </is>
      </c>
      <c r="M627" t="inlineStr">
        <is>
          <t>Mercado Pago account_statement-3b5a5492-8314-4c08-9511-4dbebbc07c06 - cópia.xlsx</t>
        </is>
      </c>
      <c r="N627" t="inlineStr">
        <is>
          <t>Pago</t>
        </is>
      </c>
      <c r="O627" t="inlineStr">
        <is>
          <t>Pix enviado Marco Aurelio de Moura Leite</t>
        </is>
      </c>
    </row>
    <row r="628">
      <c r="A628" s="29" t="n">
        <v>46163</v>
      </c>
      <c r="B628" t="n">
        <v>5</v>
      </c>
      <c r="C628" t="n">
        <v>2026</v>
      </c>
      <c r="D628" t="inlineStr">
        <is>
          <t>Geral</t>
        </is>
      </c>
      <c r="E628" t="inlineStr">
        <is>
          <t>Outros</t>
        </is>
      </c>
      <c r="F628" t="inlineStr">
        <is>
          <t>Transferência Pix Enviada</t>
        </is>
      </c>
      <c r="G628" t="inlineStr">
        <is>
          <t>Despesa</t>
        </is>
      </c>
      <c r="H628" s="3" t="n">
        <v>-193</v>
      </c>
      <c r="I628" t="inlineStr">
        <is>
          <t>Pix</t>
        </is>
      </c>
      <c r="J628" t="inlineStr">
        <is>
          <t>Não</t>
        </is>
      </c>
      <c r="K628" t="inlineStr">
        <is>
          <t>Eventual</t>
        </is>
      </c>
      <c r="L628" t="inlineStr"/>
      <c r="M628" t="inlineStr">
        <is>
          <t>Mercado Pago account_statement-3b5a5492-8314-4c08-9511-4dbebbc07c06 - cópia.xlsx</t>
        </is>
      </c>
      <c r="N628" t="inlineStr">
        <is>
          <t>Sem comprovante</t>
        </is>
      </c>
      <c r="O628" t="inlineStr">
        <is>
          <t>Pix enviado Michelly Carvalho de Azevedo Queiroz</t>
        </is>
      </c>
    </row>
    <row r="629">
      <c r="A629" s="29" t="n">
        <v>46163</v>
      </c>
      <c r="B629" t="n">
        <v>5</v>
      </c>
      <c r="C629" t="n">
        <v>2026</v>
      </c>
      <c r="D629" t="inlineStr">
        <is>
          <t>Geral</t>
        </is>
      </c>
      <c r="E629" t="inlineStr">
        <is>
          <t>Pessoal</t>
        </is>
      </c>
      <c r="F629" t="inlineStr">
        <is>
          <t>Bruno Luiz (familiar)</t>
        </is>
      </c>
      <c r="G629" t="inlineStr">
        <is>
          <t>Despesa</t>
        </is>
      </c>
      <c r="H629" s="3" t="n">
        <v>-130</v>
      </c>
      <c r="I629" t="inlineStr">
        <is>
          <t>Pix</t>
        </is>
      </c>
      <c r="J629" t="inlineStr">
        <is>
          <t>Não</t>
        </is>
      </c>
      <c r="K629" t="inlineStr">
        <is>
          <t>Eventual</t>
        </is>
      </c>
      <c r="L629" t="inlineStr"/>
      <c r="M629" t="inlineStr">
        <is>
          <t>Nubank NU_370124875_01MAI2026_31MAI2026.csv</t>
        </is>
      </c>
      <c r="N629" t="inlineStr">
        <is>
          <t>Sem comprovante</t>
        </is>
      </c>
      <c r="O629" t="inlineStr">
        <is>
          <t>Transferência enviada pelo Pix - Bruno Luiz Sastre Seus Junior - •••.516.739-•• - BCO BRADESCO S.A. (0237) Agência: 3925 Conta: 165900-6</t>
        </is>
      </c>
    </row>
    <row r="630">
      <c r="A630" s="29" t="n">
        <v>46164</v>
      </c>
      <c r="B630" t="n">
        <v>5</v>
      </c>
      <c r="C630" t="n">
        <v>2026</v>
      </c>
      <c r="D630" t="inlineStr">
        <is>
          <t>Pessoal</t>
        </is>
      </c>
      <c r="E630" t="inlineStr">
        <is>
          <t>Contas Variáveis</t>
        </is>
      </c>
      <c r="F630" t="inlineStr">
        <is>
          <t>Compra no débito</t>
        </is>
      </c>
      <c r="G630" t="inlineStr">
        <is>
          <t>Despesa</t>
        </is>
      </c>
      <c r="H630" s="3" t="n">
        <v>-45</v>
      </c>
      <c r="I630" t="inlineStr">
        <is>
          <t>Débito</t>
        </is>
      </c>
      <c r="J630" t="inlineStr">
        <is>
          <t>Não</t>
        </is>
      </c>
      <c r="K630" t="inlineStr">
        <is>
          <t>Eventual</t>
        </is>
      </c>
      <c r="L630" t="inlineStr"/>
      <c r="M630" t="inlineStr">
        <is>
          <t>Nubank NU_370124875_01MAI2026_31MAI2026.csv</t>
        </is>
      </c>
      <c r="N630" t="inlineStr">
        <is>
          <t>Sem comprovante</t>
        </is>
      </c>
      <c r="O630" t="inlineStr">
        <is>
          <t>Compra no débito - ARMAZEM GARAGEM BAR</t>
        </is>
      </c>
    </row>
    <row r="631">
      <c r="A631" s="29" t="n">
        <v>46164</v>
      </c>
      <c r="B631" t="n">
        <v>5</v>
      </c>
      <c r="C631" t="n">
        <v>2026</v>
      </c>
      <c r="D631" t="inlineStr">
        <is>
          <t>Pessoal</t>
        </is>
      </c>
      <c r="E631" t="inlineStr">
        <is>
          <t>Contas Variáveis</t>
        </is>
      </c>
      <c r="F631" t="inlineStr">
        <is>
          <t>Compra no débito</t>
        </is>
      </c>
      <c r="G631" t="inlineStr">
        <is>
          <t>Despesa</t>
        </is>
      </c>
      <c r="H631" s="3" t="n">
        <v>-6</v>
      </c>
      <c r="I631" t="inlineStr">
        <is>
          <t>Débito</t>
        </is>
      </c>
      <c r="J631" t="inlineStr">
        <is>
          <t>Não</t>
        </is>
      </c>
      <c r="K631" t="inlineStr">
        <is>
          <t>Eventual</t>
        </is>
      </c>
      <c r="L631" t="inlineStr"/>
      <c r="M631" t="inlineStr">
        <is>
          <t>Nubank NU_370124875_01MAI2026_31MAI2026.csv</t>
        </is>
      </c>
      <c r="N631" t="inlineStr">
        <is>
          <t>Sem comprovante</t>
        </is>
      </c>
      <c r="O631" t="inlineStr">
        <is>
          <t>Compra no débito - ARMAZEM GARAGEM BAR</t>
        </is>
      </c>
    </row>
    <row r="632">
      <c r="A632" s="29" t="n">
        <v>46164</v>
      </c>
      <c r="B632" t="n">
        <v>5</v>
      </c>
      <c r="C632" t="n">
        <v>2026</v>
      </c>
      <c r="D632" t="inlineStr">
        <is>
          <t>Pessoal</t>
        </is>
      </c>
      <c r="E632" t="inlineStr">
        <is>
          <t>Contas Variáveis</t>
        </is>
      </c>
      <c r="F632" t="inlineStr">
        <is>
          <t>Compra no débito</t>
        </is>
      </c>
      <c r="G632" t="inlineStr">
        <is>
          <t>Despesa</t>
        </is>
      </c>
      <c r="H632" s="3" t="n">
        <v>-12</v>
      </c>
      <c r="I632" t="inlineStr">
        <is>
          <t>Débito</t>
        </is>
      </c>
      <c r="J632" t="inlineStr">
        <is>
          <t>Não</t>
        </is>
      </c>
      <c r="K632" t="inlineStr">
        <is>
          <t>Eventual</t>
        </is>
      </c>
      <c r="L632" t="inlineStr"/>
      <c r="M632" t="inlineStr">
        <is>
          <t>Nubank NU_370124875_01MAI2026_31MAI2026.csv</t>
        </is>
      </c>
      <c r="N632" t="inlineStr">
        <is>
          <t>Sem comprovante</t>
        </is>
      </c>
      <c r="O632" t="inlineStr">
        <is>
          <t>Compra no débito - ARMAZEM GARAGEM BAR</t>
        </is>
      </c>
    </row>
    <row r="633">
      <c r="A633" s="29" t="n">
        <v>46164</v>
      </c>
      <c r="B633" t="n">
        <v>5</v>
      </c>
      <c r="C633" t="n">
        <v>2026</v>
      </c>
      <c r="D633" t="inlineStr">
        <is>
          <t>Geral</t>
        </is>
      </c>
      <c r="E633" t="inlineStr">
        <is>
          <t>Outros</t>
        </is>
      </c>
      <c r="F633" t="inlineStr">
        <is>
          <t>Não identificado</t>
        </is>
      </c>
      <c r="G633" t="inlineStr">
        <is>
          <t>Despesa</t>
        </is>
      </c>
      <c r="H633" s="3" t="n">
        <v>-30</v>
      </c>
      <c r="I633" t="inlineStr">
        <is>
          <t>Outro</t>
        </is>
      </c>
      <c r="J633" t="inlineStr">
        <is>
          <t>Não</t>
        </is>
      </c>
      <c r="K633" t="inlineStr">
        <is>
          <t>Eventual</t>
        </is>
      </c>
      <c r="L633" t="inlineStr"/>
      <c r="M633" t="inlineStr">
        <is>
          <t>Mercado Pago account_statement-3b5a5492-8314-4c08-9511-4dbebbc07c06 - cópia.xlsx</t>
        </is>
      </c>
      <c r="N633" t="inlineStr">
        <is>
          <t>Sem comprovante</t>
        </is>
      </c>
      <c r="O633" t="inlineStr">
        <is>
          <t>Pagamento com código QR ARMAZEM GARAGEM BAR</t>
        </is>
      </c>
    </row>
    <row r="634">
      <c r="A634" s="29" t="n">
        <v>46164</v>
      </c>
      <c r="B634" t="n">
        <v>5</v>
      </c>
      <c r="C634" t="n">
        <v>2026</v>
      </c>
      <c r="D634" t="inlineStr">
        <is>
          <t>Geral</t>
        </is>
      </c>
      <c r="E634" t="inlineStr">
        <is>
          <t>Transferência - Bruno (própria)</t>
        </is>
      </c>
      <c r="F634" t="inlineStr">
        <is>
          <t>Pix Bruno→Bruno (entre contas próprias)</t>
        </is>
      </c>
      <c r="G634" t="inlineStr">
        <is>
          <t>Despesa</t>
        </is>
      </c>
      <c r="H634" s="3" t="n">
        <v>-100</v>
      </c>
      <c r="I634" t="inlineStr">
        <is>
          <t>Pix</t>
        </is>
      </c>
      <c r="J634" t="inlineStr">
        <is>
          <t>Não</t>
        </is>
      </c>
      <c r="K634" t="inlineStr">
        <is>
          <t>Eventual</t>
        </is>
      </c>
      <c r="L634" t="inlineStr"/>
      <c r="M634" t="inlineStr">
        <is>
          <t>Mercado Pago account_statement-3b5a5492-8314-4c08-9511-4dbebbc07c06 - cópia.xlsx</t>
        </is>
      </c>
      <c r="N634" t="inlineStr">
        <is>
          <t>Sem comprovante</t>
        </is>
      </c>
      <c r="O634" t="inlineStr">
        <is>
          <t>Pix enviado Bruno Porto Seus</t>
        </is>
      </c>
    </row>
    <row r="635">
      <c r="A635" s="29" t="n">
        <v>46164</v>
      </c>
      <c r="B635" t="n">
        <v>5</v>
      </c>
      <c r="C635" t="n">
        <v>2026</v>
      </c>
      <c r="D635" t="inlineStr">
        <is>
          <t>Geral</t>
        </is>
      </c>
      <c r="E635" t="inlineStr">
        <is>
          <t>Outros</t>
        </is>
      </c>
      <c r="F635" t="inlineStr">
        <is>
          <t>Transferência Pix Enviada</t>
        </is>
      </c>
      <c r="G635" t="inlineStr">
        <is>
          <t>Despesa</t>
        </is>
      </c>
      <c r="H635" s="3" t="n">
        <v>-30.31</v>
      </c>
      <c r="I635" t="inlineStr">
        <is>
          <t>Pix</t>
        </is>
      </c>
      <c r="J635" t="inlineStr">
        <is>
          <t>Não</t>
        </is>
      </c>
      <c r="K635" t="inlineStr">
        <is>
          <t>Eventual</t>
        </is>
      </c>
      <c r="L635" t="inlineStr"/>
      <c r="M635" t="inlineStr">
        <is>
          <t>Mercado Pago account_statement-3b5a5492-8314-4c08-9511-4dbebbc07c06 - cópia.xlsx</t>
        </is>
      </c>
      <c r="N635" t="inlineStr">
        <is>
          <t>Sem comprovante</t>
        </is>
      </c>
      <c r="O635" t="inlineStr">
        <is>
          <t>Pix enviado Fertine Imoveis Ltda</t>
        </is>
      </c>
    </row>
    <row r="636">
      <c r="A636" s="29" t="n">
        <v>46164</v>
      </c>
      <c r="B636" t="n">
        <v>5</v>
      </c>
      <c r="C636" t="n">
        <v>2026</v>
      </c>
      <c r="D636" t="inlineStr">
        <is>
          <t>Studio</t>
        </is>
      </c>
      <c r="E636" t="inlineStr">
        <is>
          <t>Receita - Denise (Salão)</t>
        </is>
      </c>
      <c r="F636" t="inlineStr">
        <is>
          <t>Depósito recebido de Denise / Salão</t>
        </is>
      </c>
      <c r="G636" t="inlineStr">
        <is>
          <t>Receita</t>
        </is>
      </c>
      <c r="H636" s="3" t="n">
        <v>100</v>
      </c>
      <c r="I636" t="inlineStr">
        <is>
          <t>Pix</t>
        </is>
      </c>
      <c r="J636" t="inlineStr">
        <is>
          <t>Não</t>
        </is>
      </c>
      <c r="K636" t="inlineStr">
        <is>
          <t>Eventual</t>
        </is>
      </c>
      <c r="L636" t="inlineStr"/>
      <c r="M636" t="inlineStr">
        <is>
          <t>Nubank NU_370124875_01MAI2026_31MAI2026.csv</t>
        </is>
      </c>
      <c r="N636" t="inlineStr">
        <is>
          <t>Recebido</t>
        </is>
      </c>
      <c r="O636" t="inlineStr">
        <is>
          <t>Transferência recebida pelo Pix - DENISE DE PAULA CENTRO DE ESTETICA LTDA - 05.823.454/0001-86 - MERCADO PAGO IP LTDA. (0323) Agência: 1 Conta: 8804533771-0</t>
        </is>
      </c>
    </row>
    <row r="637">
      <c r="A637" s="29" t="n">
        <v>46165</v>
      </c>
      <c r="B637" t="n">
        <v>5</v>
      </c>
      <c r="C637" t="n">
        <v>2026</v>
      </c>
      <c r="D637" t="inlineStr">
        <is>
          <t>Pessoal</t>
        </is>
      </c>
      <c r="E637" t="inlineStr">
        <is>
          <t>Contas Variáveis</t>
        </is>
      </c>
      <c r="F637" t="inlineStr">
        <is>
          <t>Compra no débito</t>
        </is>
      </c>
      <c r="G637" t="inlineStr">
        <is>
          <t>Despesa</t>
        </is>
      </c>
      <c r="H637" s="3" t="n">
        <v>-30.57</v>
      </c>
      <c r="I637" t="inlineStr">
        <is>
          <t>Débito</t>
        </is>
      </c>
      <c r="J637" t="inlineStr">
        <is>
          <t>Não</t>
        </is>
      </c>
      <c r="K637" t="inlineStr">
        <is>
          <t>Eventual</t>
        </is>
      </c>
      <c r="L637" t="inlineStr"/>
      <c r="M637" t="inlineStr">
        <is>
          <t>Nubank NU_370124875_01MAI2026_31MAI2026.csv</t>
        </is>
      </c>
      <c r="N637" t="inlineStr">
        <is>
          <t>Sem comprovante</t>
        </is>
      </c>
      <c r="O637" t="inlineStr">
        <is>
          <t>Compra no débito - ANTONIO VILSON MUCHOV</t>
        </is>
      </c>
    </row>
    <row r="638">
      <c r="A638" s="29" t="n">
        <v>46165</v>
      </c>
      <c r="B638" t="n">
        <v>5</v>
      </c>
      <c r="C638" t="n">
        <v>2026</v>
      </c>
      <c r="D638" t="inlineStr">
        <is>
          <t>Pessoal</t>
        </is>
      </c>
      <c r="E638" t="inlineStr">
        <is>
          <t>Contas Variáveis</t>
        </is>
      </c>
      <c r="F638" t="inlineStr">
        <is>
          <t>Compra no débito</t>
        </is>
      </c>
      <c r="G638" t="inlineStr">
        <is>
          <t>Despesa</t>
        </is>
      </c>
      <c r="H638" s="3" t="n">
        <v>-112</v>
      </c>
      <c r="I638" t="inlineStr">
        <is>
          <t>Débito</t>
        </is>
      </c>
      <c r="J638" t="inlineStr">
        <is>
          <t>Não</t>
        </is>
      </c>
      <c r="K638" t="inlineStr">
        <is>
          <t>Eventual</t>
        </is>
      </c>
      <c r="L638" t="inlineStr"/>
      <c r="M638" t="inlineStr">
        <is>
          <t>Nubank NU_370124875_01MAI2026_31MAI2026.csv</t>
        </is>
      </c>
      <c r="N638" t="inlineStr">
        <is>
          <t>Sem comprovante</t>
        </is>
      </c>
      <c r="O638" t="inlineStr">
        <is>
          <t>Compra no débito - CASA COMPRAS SAO BRAZ</t>
        </is>
      </c>
    </row>
    <row r="639">
      <c r="A639" s="29" t="n">
        <v>46165</v>
      </c>
      <c r="B639" t="n">
        <v>5</v>
      </c>
      <c r="C639" t="n">
        <v>2026</v>
      </c>
      <c r="D639" t="inlineStr">
        <is>
          <t>Pessoal</t>
        </is>
      </c>
      <c r="E639" t="inlineStr">
        <is>
          <t>Contas Variáveis</t>
        </is>
      </c>
      <c r="F639" t="inlineStr">
        <is>
          <t>Mercado</t>
        </is>
      </c>
      <c r="G639" t="inlineStr">
        <is>
          <t>Despesa</t>
        </is>
      </c>
      <c r="H639" s="3" t="n">
        <v>-15.49</v>
      </c>
      <c r="I639" t="inlineStr">
        <is>
          <t>Débito</t>
        </is>
      </c>
      <c r="J639" t="inlineStr">
        <is>
          <t>Não</t>
        </is>
      </c>
      <c r="K639" t="inlineStr">
        <is>
          <t>Eventual</t>
        </is>
      </c>
      <c r="L639" t="inlineStr"/>
      <c r="M639" t="inlineStr">
        <is>
          <t>Nubank NU_370124875_01MAI2026_31MAI2026.csv</t>
        </is>
      </c>
      <c r="N639" t="inlineStr">
        <is>
          <t>Sem comprovante</t>
        </is>
      </c>
      <c r="O639" t="inlineStr">
        <is>
          <t>Compra no débito - MINI MERCADO SAO BRAZ</t>
        </is>
      </c>
    </row>
    <row r="640">
      <c r="A640" s="29" t="n">
        <v>46165</v>
      </c>
      <c r="B640" t="n">
        <v>5</v>
      </c>
      <c r="C640" t="n">
        <v>2026</v>
      </c>
      <c r="D640" t="inlineStr">
        <is>
          <t>Studio</t>
        </is>
      </c>
      <c r="E640" t="inlineStr">
        <is>
          <t>Receita - Outros</t>
        </is>
      </c>
      <c r="F640" t="inlineStr">
        <is>
          <t>Receita não categorizada</t>
        </is>
      </c>
      <c r="G640" t="inlineStr">
        <is>
          <t>Receita</t>
        </is>
      </c>
      <c r="H640" s="3" t="n">
        <v>666.72</v>
      </c>
      <c r="I640" t="inlineStr">
        <is>
          <t>Pix</t>
        </is>
      </c>
      <c r="J640" t="inlineStr">
        <is>
          <t>Não</t>
        </is>
      </c>
      <c r="K640" t="inlineStr">
        <is>
          <t>Eventual</t>
        </is>
      </c>
      <c r="L640" t="inlineStr"/>
      <c r="M640" t="inlineStr">
        <is>
          <t>Mercado Pago account_statement-3b5a5492-8314-4c08-9511-4dbebbc07c06 - cópia.xlsx</t>
        </is>
      </c>
      <c r="N640" t="inlineStr">
        <is>
          <t>Recebido</t>
        </is>
      </c>
      <c r="O640" t="inlineStr">
        <is>
          <t>Pagamento com Código QR Pix MARCIA PEIXOTO R SILVA</t>
        </is>
      </c>
    </row>
    <row r="641">
      <c r="A641" s="29" t="n">
        <v>46165</v>
      </c>
      <c r="B641" t="n">
        <v>5</v>
      </c>
      <c r="C641" t="n">
        <v>2026</v>
      </c>
      <c r="D641" t="inlineStr">
        <is>
          <t>Geral</t>
        </is>
      </c>
      <c r="E641" t="inlineStr">
        <is>
          <t>Outros</t>
        </is>
      </c>
      <c r="F641" t="inlineStr">
        <is>
          <t>Não identificado</t>
        </is>
      </c>
      <c r="G641" t="inlineStr">
        <is>
          <t>Despesa</t>
        </is>
      </c>
      <c r="H641" s="3" t="n">
        <v>-13.9</v>
      </c>
      <c r="I641" t="inlineStr">
        <is>
          <t>Pix</t>
        </is>
      </c>
      <c r="J641" t="inlineStr">
        <is>
          <t>Não</t>
        </is>
      </c>
      <c r="K641" t="inlineStr">
        <is>
          <t>Eventual</t>
        </is>
      </c>
      <c r="L641" t="inlineStr"/>
      <c r="M641" t="inlineStr">
        <is>
          <t>Mercado Pago account_statement-3b5a5492-8314-4c08-9511-4dbebbc07c06 - cópia.xlsx</t>
        </is>
      </c>
      <c r="N641" t="inlineStr">
        <is>
          <t>Sem comprovante</t>
        </is>
      </c>
      <c r="O641" t="inlineStr">
        <is>
          <t>Pagamento com QR Pix ASSB COMERCIO VAREJISTA DE DOCES LTDA.</t>
        </is>
      </c>
    </row>
    <row r="642">
      <c r="A642" s="29" t="n">
        <v>46165</v>
      </c>
      <c r="B642" t="n">
        <v>5</v>
      </c>
      <c r="C642" t="n">
        <v>2026</v>
      </c>
      <c r="D642" t="inlineStr">
        <is>
          <t>Pessoal</t>
        </is>
      </c>
      <c r="E642" t="inlineStr">
        <is>
          <t>Contas Variáveis</t>
        </is>
      </c>
      <c r="F642" t="inlineStr">
        <is>
          <t>Mercado</t>
        </is>
      </c>
      <c r="G642" t="inlineStr">
        <is>
          <t>Despesa</t>
        </is>
      </c>
      <c r="H642" s="3" t="n">
        <v>-83.97</v>
      </c>
      <c r="I642" t="inlineStr">
        <is>
          <t>Pix</t>
        </is>
      </c>
      <c r="J642" t="inlineStr">
        <is>
          <t>Não</t>
        </is>
      </c>
      <c r="K642" t="inlineStr">
        <is>
          <t>Eventual</t>
        </is>
      </c>
      <c r="L642" t="inlineStr"/>
      <c r="M642" t="inlineStr">
        <is>
          <t>Mercado Pago account_statement-3b5a5492-8314-4c08-9511-4dbebbc07c06 - cópia.xlsx</t>
        </is>
      </c>
      <c r="N642" t="inlineStr">
        <is>
          <t>Sem comprovante</t>
        </is>
      </c>
      <c r="O642" t="inlineStr">
        <is>
          <t>Pagamento com QR Pix CIA BEAL DE ALIMENTOS</t>
        </is>
      </c>
    </row>
    <row r="643">
      <c r="A643" s="29" t="n">
        <v>46165</v>
      </c>
      <c r="B643" t="n">
        <v>5</v>
      </c>
      <c r="C643" t="n">
        <v>2026</v>
      </c>
      <c r="D643" t="inlineStr">
        <is>
          <t>Pessoal</t>
        </is>
      </c>
      <c r="E643" t="inlineStr">
        <is>
          <t>Contas Variáveis</t>
        </is>
      </c>
      <c r="F643" t="inlineStr">
        <is>
          <t>Mercado</t>
        </is>
      </c>
      <c r="G643" t="inlineStr">
        <is>
          <t>Despesa</t>
        </is>
      </c>
      <c r="H643" s="3" t="n">
        <v>-25.97</v>
      </c>
      <c r="I643" t="inlineStr">
        <is>
          <t>Pix</t>
        </is>
      </c>
      <c r="J643" t="inlineStr">
        <is>
          <t>Não</t>
        </is>
      </c>
      <c r="K643" t="inlineStr">
        <is>
          <t>Eventual</t>
        </is>
      </c>
      <c r="L643" t="inlineStr"/>
      <c r="M643" t="inlineStr">
        <is>
          <t>Mercado Pago account_statement-3b5a5492-8314-4c08-9511-4dbebbc07c06 - cópia.xlsx</t>
        </is>
      </c>
      <c r="N643" t="inlineStr">
        <is>
          <t>Sem comprovante</t>
        </is>
      </c>
      <c r="O643" t="inlineStr">
        <is>
          <t>Pagamento com QR Pix CIA BEAL DE ALIMENTOS</t>
        </is>
      </c>
    </row>
    <row r="644">
      <c r="A644" s="29" t="n">
        <v>46165</v>
      </c>
      <c r="B644" t="n">
        <v>5</v>
      </c>
      <c r="C644" t="n">
        <v>2026</v>
      </c>
      <c r="D644" t="inlineStr">
        <is>
          <t>Studio</t>
        </is>
      </c>
      <c r="E644" t="inlineStr">
        <is>
          <t>Contas Fixas</t>
        </is>
      </c>
      <c r="F644" t="inlineStr">
        <is>
          <t>Hospedagem / Site</t>
        </is>
      </c>
      <c r="G644" t="inlineStr">
        <is>
          <t>Despesa</t>
        </is>
      </c>
      <c r="H644" s="3" t="n">
        <v>-45.28</v>
      </c>
      <c r="I644" t="inlineStr">
        <is>
          <t>Pix</t>
        </is>
      </c>
      <c r="J644" t="inlineStr">
        <is>
          <t>Sim</t>
        </is>
      </c>
      <c r="K644" t="inlineStr">
        <is>
          <t>Mensal</t>
        </is>
      </c>
      <c r="L644" t="inlineStr">
        <is>
          <t>Site/00000015-PHOTO-2026-05-23-10-57-38.jpg</t>
        </is>
      </c>
      <c r="M644" t="inlineStr">
        <is>
          <t>Mercado Pago account_statement-3b5a5492-8314-4c08-9511-4dbebbc07c06 - cópia.xlsx</t>
        </is>
      </c>
      <c r="N644" t="inlineStr">
        <is>
          <t>Pago</t>
        </is>
      </c>
      <c r="O644" t="inlineStr">
        <is>
          <t>Pagamento com QR Pix HOSTGATOR BRASIL LTDA</t>
        </is>
      </c>
    </row>
    <row r="645">
      <c r="A645" s="29" t="n">
        <v>46165</v>
      </c>
      <c r="B645" t="n">
        <v>5</v>
      </c>
      <c r="C645" t="n">
        <v>2026</v>
      </c>
      <c r="D645" t="inlineStr">
        <is>
          <t>Pessoal</t>
        </is>
      </c>
      <c r="E645" t="inlineStr">
        <is>
          <t>Contas Variáveis</t>
        </is>
      </c>
      <c r="F645" t="inlineStr">
        <is>
          <t>iFood</t>
        </is>
      </c>
      <c r="G645" t="inlineStr">
        <is>
          <t>Despesa</t>
        </is>
      </c>
      <c r="H645" s="3" t="n">
        <v>-119.15</v>
      </c>
      <c r="I645" t="inlineStr">
        <is>
          <t>Pix</t>
        </is>
      </c>
      <c r="J645" t="inlineStr">
        <is>
          <t>Não</t>
        </is>
      </c>
      <c r="K645" t="inlineStr">
        <is>
          <t>Eventual</t>
        </is>
      </c>
      <c r="L645" t="inlineStr"/>
      <c r="M645" t="inlineStr">
        <is>
          <t>Mercado Pago account_statement-3b5a5492-8314-4c08-9511-4dbebbc07c06 - cópia.xlsx</t>
        </is>
      </c>
      <c r="N645" t="inlineStr">
        <is>
          <t>Sem comprovante</t>
        </is>
      </c>
      <c r="O645" t="inlineStr">
        <is>
          <t>Pagamento com QR Pix IFOOD.COM AGENCIA DE RESTAURANTES ONLINE S.A.</t>
        </is>
      </c>
    </row>
    <row r="646">
      <c r="A646" s="29" t="n">
        <v>46165</v>
      </c>
      <c r="B646" t="n">
        <v>5</v>
      </c>
      <c r="C646" t="n">
        <v>2026</v>
      </c>
      <c r="D646" t="inlineStr">
        <is>
          <t>Geral</t>
        </is>
      </c>
      <c r="E646" t="inlineStr">
        <is>
          <t>Outros</t>
        </is>
      </c>
      <c r="F646" t="inlineStr">
        <is>
          <t>Não identificado</t>
        </is>
      </c>
      <c r="G646" t="inlineStr">
        <is>
          <t>Despesa</t>
        </is>
      </c>
      <c r="H646" s="3" t="n">
        <v>-12</v>
      </c>
      <c r="I646" t="inlineStr">
        <is>
          <t>Pix</t>
        </is>
      </c>
      <c r="J646" t="inlineStr">
        <is>
          <t>Não</t>
        </is>
      </c>
      <c r="K646" t="inlineStr">
        <is>
          <t>Eventual</t>
        </is>
      </c>
      <c r="L646" t="inlineStr"/>
      <c r="M646" t="inlineStr">
        <is>
          <t>Mercado Pago account_statement-3b5a5492-8314-4c08-9511-4dbebbc07c06 - cópia.xlsx</t>
        </is>
      </c>
      <c r="N646" t="inlineStr">
        <is>
          <t>Sem comprovante</t>
        </is>
      </c>
      <c r="O646" t="inlineStr">
        <is>
          <t>Pagamento com QR Pix ON TECNOLOGIA DE MOBILIDADE URBANA S.A.</t>
        </is>
      </c>
    </row>
    <row r="647">
      <c r="A647" s="29" t="n">
        <v>46165</v>
      </c>
      <c r="B647" t="n">
        <v>5</v>
      </c>
      <c r="C647" t="n">
        <v>2026</v>
      </c>
      <c r="D647" t="inlineStr">
        <is>
          <t>Pessoal</t>
        </is>
      </c>
      <c r="E647" t="inlineStr">
        <is>
          <t>Contas Variáveis</t>
        </is>
      </c>
      <c r="F647" t="inlineStr">
        <is>
          <t>Combustível</t>
        </is>
      </c>
      <c r="G647" t="inlineStr">
        <is>
          <t>Despesa</t>
        </is>
      </c>
      <c r="H647" s="3" t="n">
        <v>-117.98</v>
      </c>
      <c r="I647" t="inlineStr">
        <is>
          <t>Pix</t>
        </is>
      </c>
      <c r="J647" t="inlineStr">
        <is>
          <t>Não</t>
        </is>
      </c>
      <c r="K647" t="inlineStr">
        <is>
          <t>Eventual</t>
        </is>
      </c>
      <c r="L647" t="inlineStr"/>
      <c r="M647" t="inlineStr">
        <is>
          <t>Mercado Pago account_statement-3b5a5492-8314-4c08-9511-4dbebbc07c06 - cópia.xlsx</t>
        </is>
      </c>
      <c r="N647" t="inlineStr">
        <is>
          <t>Sem comprovante</t>
        </is>
      </c>
      <c r="O647" t="inlineStr">
        <is>
          <t>Pagamento com QR Pix POSTO CANAL CAPITAL VERDE LTDA</t>
        </is>
      </c>
    </row>
    <row r="648">
      <c r="A648" s="29" t="n">
        <v>46165</v>
      </c>
      <c r="B648" t="n">
        <v>5</v>
      </c>
      <c r="C648" t="n">
        <v>2026</v>
      </c>
      <c r="D648" t="inlineStr">
        <is>
          <t>Geral</t>
        </is>
      </c>
      <c r="E648" t="inlineStr">
        <is>
          <t>Transferência - Bruno (própria)</t>
        </is>
      </c>
      <c r="F648" t="inlineStr">
        <is>
          <t>Pix Bruno→Bruno (entre contas próprias)</t>
        </is>
      </c>
      <c r="G648" t="inlineStr">
        <is>
          <t>Despesa</t>
        </is>
      </c>
      <c r="H648" s="3" t="n">
        <v>-300</v>
      </c>
      <c r="I648" t="inlineStr">
        <is>
          <t>Pix</t>
        </is>
      </c>
      <c r="J648" t="inlineStr">
        <is>
          <t>Não</t>
        </is>
      </c>
      <c r="K648" t="inlineStr">
        <is>
          <t>Eventual</t>
        </is>
      </c>
      <c r="L648" t="inlineStr"/>
      <c r="M648" t="inlineStr">
        <is>
          <t>Mercado Pago account_statement-3b5a5492-8314-4c08-9511-4dbebbc07c06 - cópia.xlsx</t>
        </is>
      </c>
      <c r="N648" t="inlineStr">
        <is>
          <t>Sem comprovante</t>
        </is>
      </c>
      <c r="O648" t="inlineStr">
        <is>
          <t>Pix enviado Bruno Porto Seus</t>
        </is>
      </c>
    </row>
    <row r="649">
      <c r="A649" s="29" t="n">
        <v>46165</v>
      </c>
      <c r="B649" t="n">
        <v>5</v>
      </c>
      <c r="C649" t="n">
        <v>2026</v>
      </c>
      <c r="D649" t="inlineStr">
        <is>
          <t>Geral</t>
        </is>
      </c>
      <c r="E649" t="inlineStr">
        <is>
          <t>Outros</t>
        </is>
      </c>
      <c r="F649" t="inlineStr">
        <is>
          <t>Transferência Pix Enviada</t>
        </is>
      </c>
      <c r="G649" t="inlineStr">
        <is>
          <t>Despesa</t>
        </is>
      </c>
      <c r="H649" s="3" t="n">
        <v>-500</v>
      </c>
      <c r="I649" t="inlineStr">
        <is>
          <t>Pix</t>
        </is>
      </c>
      <c r="J649" t="inlineStr">
        <is>
          <t>Não</t>
        </is>
      </c>
      <c r="K649" t="inlineStr">
        <is>
          <t>Eventual</t>
        </is>
      </c>
      <c r="L649" t="inlineStr"/>
      <c r="M649" t="inlineStr">
        <is>
          <t>Mercado Pago account_statement-3b5a5492-8314-4c08-9511-4dbebbc07c06 - cópia.xlsx</t>
        </is>
      </c>
      <c r="N649" t="inlineStr">
        <is>
          <t>Sem comprovante</t>
        </is>
      </c>
      <c r="O649" t="inlineStr">
        <is>
          <t>Pix enviado Maynara Almeida da Cruz</t>
        </is>
      </c>
    </row>
    <row r="650">
      <c r="A650" s="29" t="n">
        <v>46165</v>
      </c>
      <c r="B650" t="n">
        <v>5</v>
      </c>
      <c r="C650" t="n">
        <v>2026</v>
      </c>
      <c r="D650" t="inlineStr">
        <is>
          <t>Studio</t>
        </is>
      </c>
      <c r="E650" t="inlineStr">
        <is>
          <t>Receita - Outros</t>
        </is>
      </c>
      <c r="F650" t="inlineStr">
        <is>
          <t>Receita não categorizada</t>
        </is>
      </c>
      <c r="G650" t="inlineStr">
        <is>
          <t>Receita</t>
        </is>
      </c>
      <c r="H650" s="3" t="n">
        <v>12.5</v>
      </c>
      <c r="I650" t="inlineStr">
        <is>
          <t>Boleto</t>
        </is>
      </c>
      <c r="J650" t="inlineStr">
        <is>
          <t>Não</t>
        </is>
      </c>
      <c r="K650" t="inlineStr">
        <is>
          <t>Eventual</t>
        </is>
      </c>
      <c r="L650" t="inlineStr"/>
      <c r="M650" t="inlineStr">
        <is>
          <t>Nubank NU_370124875_01MAI2026_31MAI2026.csv</t>
        </is>
      </c>
      <c r="N650" t="inlineStr">
        <is>
          <t>Recebido</t>
        </is>
      </c>
      <c r="O650" t="inlineStr">
        <is>
          <t>Transferência Recebida - Leonardo Munhoz Lucio - •••.391.699-•• - NU PAGAMENTOS - IP (0260) Agência: 1 Conta: 68494942-4</t>
        </is>
      </c>
    </row>
    <row r="651">
      <c r="A651" s="29" t="n">
        <v>46165</v>
      </c>
      <c r="B651" t="n">
        <v>5</v>
      </c>
      <c r="C651" t="n">
        <v>2026</v>
      </c>
      <c r="D651" t="inlineStr">
        <is>
          <t>Geral</t>
        </is>
      </c>
      <c r="E651" t="inlineStr">
        <is>
          <t>Outros</t>
        </is>
      </c>
      <c r="F651" t="inlineStr">
        <is>
          <t>Transferência Pix Enviada</t>
        </is>
      </c>
      <c r="G651" t="inlineStr">
        <is>
          <t>Despesa</t>
        </is>
      </c>
      <c r="H651" s="3" t="n">
        <v>-55.42</v>
      </c>
      <c r="I651" t="inlineStr">
        <is>
          <t>Pix</t>
        </is>
      </c>
      <c r="J651" t="inlineStr">
        <is>
          <t>Não</t>
        </is>
      </c>
      <c r="K651" t="inlineStr">
        <is>
          <t>Eventual</t>
        </is>
      </c>
      <c r="L651" t="inlineStr"/>
      <c r="M651" t="inlineStr">
        <is>
          <t>Nubank NU_370124875_01MAI2026_31MAI2026.csv</t>
        </is>
      </c>
      <c r="N651" t="inlineStr">
        <is>
          <t>Sem comprovante</t>
        </is>
      </c>
      <c r="O651" t="inlineStr">
        <is>
          <t>Transferência enviada pelo Pix - CAIXA INSTANTANEA S.A. - 24.038.490/0001-83 - CAIXA ECONOMICA FEDERAL (0104) Agência: 647 Conta: 9999000309224038490-1</t>
        </is>
      </c>
    </row>
    <row r="652">
      <c r="A652" s="29" t="n">
        <v>46165</v>
      </c>
      <c r="B652" t="n">
        <v>5</v>
      </c>
      <c r="C652" t="n">
        <v>2026</v>
      </c>
      <c r="D652" t="inlineStr">
        <is>
          <t>Studio</t>
        </is>
      </c>
      <c r="E652" t="inlineStr">
        <is>
          <t>Receita - Denise (Salão)</t>
        </is>
      </c>
      <c r="F652" t="inlineStr">
        <is>
          <t>Depósito recebido de Denise / Salão</t>
        </is>
      </c>
      <c r="G652" t="inlineStr">
        <is>
          <t>Receita</t>
        </is>
      </c>
      <c r="H652" s="3" t="n">
        <v>300</v>
      </c>
      <c r="I652" t="inlineStr">
        <is>
          <t>Pix</t>
        </is>
      </c>
      <c r="J652" t="inlineStr">
        <is>
          <t>Não</t>
        </is>
      </c>
      <c r="K652" t="inlineStr">
        <is>
          <t>Eventual</t>
        </is>
      </c>
      <c r="L652" t="inlineStr"/>
      <c r="M652" t="inlineStr">
        <is>
          <t>Nubank NU_370124875_01MAI2026_31MAI2026.csv</t>
        </is>
      </c>
      <c r="N652" t="inlineStr">
        <is>
          <t>Recebido</t>
        </is>
      </c>
      <c r="O652" t="inlineStr">
        <is>
          <t>Transferência recebida pelo Pix - DENISE DE PAULA CENTRO DE ESTETICA LTDA - 05.823.454/0001-86 - MERCADO PAGO IP LTDA. (0323) Agência: 1 Conta: 8804533771-0</t>
        </is>
      </c>
    </row>
    <row r="653">
      <c r="A653" s="29" t="n">
        <v>46166</v>
      </c>
      <c r="B653" t="n">
        <v>5</v>
      </c>
      <c r="C653" t="n">
        <v>2026</v>
      </c>
      <c r="D653" t="inlineStr">
        <is>
          <t>Pessoal</t>
        </is>
      </c>
      <c r="E653" t="inlineStr">
        <is>
          <t>Contas Variáveis</t>
        </is>
      </c>
      <c r="F653" t="inlineStr">
        <is>
          <t>Restaurante / Alimentação</t>
        </is>
      </c>
      <c r="G653" t="inlineStr">
        <is>
          <t>Despesa</t>
        </is>
      </c>
      <c r="H653" s="3" t="n">
        <v>-6.9</v>
      </c>
      <c r="I653" t="inlineStr">
        <is>
          <t>Débito</t>
        </is>
      </c>
      <c r="J653" t="inlineStr">
        <is>
          <t>Não</t>
        </is>
      </c>
      <c r="K653" t="inlineStr">
        <is>
          <t>Eventual</t>
        </is>
      </c>
      <c r="L653" t="inlineStr"/>
      <c r="M653" t="inlineStr">
        <is>
          <t>Nubank NU_370124875_01MAI2026_31MAI2026.csv</t>
        </is>
      </c>
      <c r="N653" t="inlineStr">
        <is>
          <t>Sem comprovante</t>
        </is>
      </c>
      <c r="O653" t="inlineStr">
        <is>
          <t>Compra no débito - SANTA FELICIDADE</t>
        </is>
      </c>
    </row>
    <row r="654">
      <c r="A654" s="29" t="n">
        <v>46166</v>
      </c>
      <c r="B654" t="n">
        <v>5</v>
      </c>
      <c r="C654" t="n">
        <v>2026</v>
      </c>
      <c r="D654" t="inlineStr">
        <is>
          <t>Pessoal</t>
        </is>
      </c>
      <c r="E654" t="inlineStr">
        <is>
          <t>Contas Variáveis</t>
        </is>
      </c>
      <c r="F654" t="inlineStr">
        <is>
          <t>iFood</t>
        </is>
      </c>
      <c r="G654" t="inlineStr">
        <is>
          <t>Despesa</t>
        </is>
      </c>
      <c r="H654" s="3" t="n">
        <v>-54.88</v>
      </c>
      <c r="I654" t="inlineStr">
        <is>
          <t>Pix</t>
        </is>
      </c>
      <c r="J654" t="inlineStr">
        <is>
          <t>Não</t>
        </is>
      </c>
      <c r="K654" t="inlineStr">
        <is>
          <t>Eventual</t>
        </is>
      </c>
      <c r="L654" t="inlineStr"/>
      <c r="M654" t="inlineStr">
        <is>
          <t>Mercado Pago account_statement-3b5a5492-8314-4c08-9511-4dbebbc07c06 - cópia.xlsx</t>
        </is>
      </c>
      <c r="N654" t="inlineStr">
        <is>
          <t>Sem comprovante</t>
        </is>
      </c>
      <c r="O654" t="inlineStr">
        <is>
          <t>Pagamento com QR Pix IFOOD.COM AGENCIA DE RESTAURANTES ONLINE S.A.</t>
        </is>
      </c>
    </row>
    <row r="655">
      <c r="A655" s="29" t="n">
        <v>46166</v>
      </c>
      <c r="B655" t="n">
        <v>5</v>
      </c>
      <c r="C655" t="n">
        <v>2026</v>
      </c>
      <c r="D655" t="inlineStr">
        <is>
          <t>Geral</t>
        </is>
      </c>
      <c r="E655" t="inlineStr">
        <is>
          <t>Outros</t>
        </is>
      </c>
      <c r="F655" t="inlineStr">
        <is>
          <t>Pagamento de fatura cartão</t>
        </is>
      </c>
      <c r="G655" t="inlineStr">
        <is>
          <t>Despesa</t>
        </is>
      </c>
      <c r="H655" s="3" t="n">
        <v>-200</v>
      </c>
      <c r="I655" t="inlineStr">
        <is>
          <t>Outro</t>
        </is>
      </c>
      <c r="J655" t="inlineStr">
        <is>
          <t>Não</t>
        </is>
      </c>
      <c r="K655" t="inlineStr">
        <is>
          <t>Eventual</t>
        </is>
      </c>
      <c r="L655" t="inlineStr"/>
      <c r="M655" t="inlineStr">
        <is>
          <t>Nubank NU_370124875_01MAI2026_31MAI2026.csv</t>
        </is>
      </c>
      <c r="N655" t="inlineStr">
        <is>
          <t>Sem comprovante</t>
        </is>
      </c>
      <c r="O655" t="inlineStr">
        <is>
          <t>Pagamento de fatura</t>
        </is>
      </c>
    </row>
    <row r="656">
      <c r="A656" s="29" t="n">
        <v>46166</v>
      </c>
      <c r="B656" t="n">
        <v>5</v>
      </c>
      <c r="C656" t="n">
        <v>2026</v>
      </c>
      <c r="D656" t="inlineStr">
        <is>
          <t>Geral</t>
        </is>
      </c>
      <c r="E656" t="inlineStr">
        <is>
          <t>Transferência - Bruno (própria)</t>
        </is>
      </c>
      <c r="F656" t="inlineStr">
        <is>
          <t>Pix Bruno→Bruno (entre contas próprias)</t>
        </is>
      </c>
      <c r="G656" t="inlineStr">
        <is>
          <t>Despesa</t>
        </is>
      </c>
      <c r="H656" s="3" t="n">
        <v>-50</v>
      </c>
      <c r="I656" t="inlineStr">
        <is>
          <t>Pix</t>
        </is>
      </c>
      <c r="J656" t="inlineStr">
        <is>
          <t>Não</t>
        </is>
      </c>
      <c r="K656" t="inlineStr">
        <is>
          <t>Eventual</t>
        </is>
      </c>
      <c r="L656" t="inlineStr"/>
      <c r="M656" t="inlineStr">
        <is>
          <t>Mercado Pago account_statement-3b5a5492-8314-4c08-9511-4dbebbc07c06 - cópia.xlsx</t>
        </is>
      </c>
      <c r="N656" t="inlineStr">
        <is>
          <t>Sem comprovante</t>
        </is>
      </c>
      <c r="O656" t="inlineStr">
        <is>
          <t>Pix enviado Bruno Porto Seus</t>
        </is>
      </c>
    </row>
    <row r="657">
      <c r="A657" s="29" t="n">
        <v>46166</v>
      </c>
      <c r="B657" t="n">
        <v>5</v>
      </c>
      <c r="C657" t="n">
        <v>2026</v>
      </c>
      <c r="D657" t="inlineStr">
        <is>
          <t>Geral</t>
        </is>
      </c>
      <c r="E657" t="inlineStr">
        <is>
          <t>Transferência - Bruno (própria)</t>
        </is>
      </c>
      <c r="F657" t="inlineStr">
        <is>
          <t>Pix Bruno→Bruno (entre contas próprias)</t>
        </is>
      </c>
      <c r="G657" t="inlineStr">
        <is>
          <t>Despesa</t>
        </is>
      </c>
      <c r="H657" s="3" t="n">
        <v>-300</v>
      </c>
      <c r="I657" t="inlineStr">
        <is>
          <t>Pix</t>
        </is>
      </c>
      <c r="J657" t="inlineStr">
        <is>
          <t>Não</t>
        </is>
      </c>
      <c r="K657" t="inlineStr">
        <is>
          <t>Eventual</t>
        </is>
      </c>
      <c r="L657" t="inlineStr"/>
      <c r="M657" t="inlineStr">
        <is>
          <t>Mercado Pago account_statement-3b5a5492-8314-4c08-9511-4dbebbc07c06 - cópia.xlsx</t>
        </is>
      </c>
      <c r="N657" t="inlineStr">
        <is>
          <t>Sem comprovante</t>
        </is>
      </c>
      <c r="O657" t="inlineStr">
        <is>
          <t>Pix enviado Bruno Porto Seus</t>
        </is>
      </c>
    </row>
    <row r="658">
      <c r="A658" s="29" t="n">
        <v>46166</v>
      </c>
      <c r="B658" t="n">
        <v>5</v>
      </c>
      <c r="C658" t="n">
        <v>2026</v>
      </c>
      <c r="D658" t="inlineStr">
        <is>
          <t>Geral</t>
        </is>
      </c>
      <c r="E658" t="inlineStr">
        <is>
          <t>Outros</t>
        </is>
      </c>
      <c r="F658" t="inlineStr">
        <is>
          <t>Transferência Pix Enviada</t>
        </is>
      </c>
      <c r="G658" t="inlineStr">
        <is>
          <t>Despesa</t>
        </is>
      </c>
      <c r="H658" s="3" t="n">
        <v>-16.06</v>
      </c>
      <c r="I658" t="inlineStr">
        <is>
          <t>Pix</t>
        </is>
      </c>
      <c r="J658" t="inlineStr">
        <is>
          <t>Não</t>
        </is>
      </c>
      <c r="K658" t="inlineStr">
        <is>
          <t>Eventual</t>
        </is>
      </c>
      <c r="L658" t="inlineStr"/>
      <c r="M658" t="inlineStr">
        <is>
          <t>Nubank NU_370124875_01MAI2026_31MAI2026.csv</t>
        </is>
      </c>
      <c r="N658" t="inlineStr">
        <is>
          <t>Sem comprovante</t>
        </is>
      </c>
      <c r="O658" t="inlineStr">
        <is>
          <t>Transferência enviada pelo Pix - CAIXA INSTANTANEA S.A. - 24.038.490/0001-83 - CAIXA ECONOMICA FEDERAL (0104) Agência: 647 Conta: 9999000309224038490-1</t>
        </is>
      </c>
    </row>
    <row r="659">
      <c r="A659" s="29" t="n">
        <v>46166</v>
      </c>
      <c r="B659" t="n">
        <v>5</v>
      </c>
      <c r="C659" t="n">
        <v>2026</v>
      </c>
      <c r="D659" t="inlineStr">
        <is>
          <t>Geral</t>
        </is>
      </c>
      <c r="E659" t="inlineStr">
        <is>
          <t>Outros</t>
        </is>
      </c>
      <c r="F659" t="inlineStr">
        <is>
          <t>Transferência Pix Enviada</t>
        </is>
      </c>
      <c r="G659" t="inlineStr">
        <is>
          <t>Despesa</t>
        </is>
      </c>
      <c r="H659" s="3" t="n">
        <v>-40.35</v>
      </c>
      <c r="I659" t="inlineStr">
        <is>
          <t>Pix</t>
        </is>
      </c>
      <c r="J659" t="inlineStr">
        <is>
          <t>Não</t>
        </is>
      </c>
      <c r="K659" t="inlineStr">
        <is>
          <t>Eventual</t>
        </is>
      </c>
      <c r="L659" t="inlineStr"/>
      <c r="M659" t="inlineStr">
        <is>
          <t>Nubank NU_370124875_01MAI2026_31MAI2026.csv</t>
        </is>
      </c>
      <c r="N659" t="inlineStr">
        <is>
          <t>Sem comprovante</t>
        </is>
      </c>
      <c r="O659" t="inlineStr">
        <is>
          <t>Transferência enviada pelo Pix - JUNTA COMERCIAL DO PARANA - 77.968.170/0001-99 - BCO DO BRASIL S.A. (0001) Agência: 3793 Conta: 6654-0</t>
        </is>
      </c>
    </row>
    <row r="660">
      <c r="A660" s="29" t="n">
        <v>46166</v>
      </c>
      <c r="B660" t="n">
        <v>5</v>
      </c>
      <c r="C660" t="n">
        <v>2026</v>
      </c>
      <c r="D660" t="inlineStr">
        <is>
          <t>Studio</t>
        </is>
      </c>
      <c r="E660" t="inlineStr">
        <is>
          <t>Receita - Denise (Salão)</t>
        </is>
      </c>
      <c r="F660" t="inlineStr">
        <is>
          <t>Depósito recebido de Denise / Salão</t>
        </is>
      </c>
      <c r="G660" t="inlineStr">
        <is>
          <t>Receita</t>
        </is>
      </c>
      <c r="H660" s="3" t="n">
        <v>50</v>
      </c>
      <c r="I660" t="inlineStr">
        <is>
          <t>Pix</t>
        </is>
      </c>
      <c r="J660" t="inlineStr">
        <is>
          <t>Não</t>
        </is>
      </c>
      <c r="K660" t="inlineStr">
        <is>
          <t>Eventual</t>
        </is>
      </c>
      <c r="L660" t="inlineStr"/>
      <c r="M660" t="inlineStr">
        <is>
          <t>Nubank NU_370124875_01MAI2026_31MAI2026.csv</t>
        </is>
      </c>
      <c r="N660" t="inlineStr">
        <is>
          <t>Recebido</t>
        </is>
      </c>
      <c r="O660" t="inlineStr">
        <is>
          <t>Transferência recebida pelo Pix - DENISE DE PAULA CENTRO DE ESTETICA LTDA - 05.823.454/0001-86 - MERCADO PAGO IP LTDA. (0323) Agência: 1 Conta: 8804533771-0</t>
        </is>
      </c>
    </row>
    <row r="661">
      <c r="A661" s="29" t="n">
        <v>46166</v>
      </c>
      <c r="B661" t="n">
        <v>5</v>
      </c>
      <c r="C661" t="n">
        <v>2026</v>
      </c>
      <c r="D661" t="inlineStr">
        <is>
          <t>Studio</t>
        </is>
      </c>
      <c r="E661" t="inlineStr">
        <is>
          <t>Receita - Denise (Salão)</t>
        </is>
      </c>
      <c r="F661" t="inlineStr">
        <is>
          <t>Depósito recebido de Denise / Salão</t>
        </is>
      </c>
      <c r="G661" t="inlineStr">
        <is>
          <t>Receita</t>
        </is>
      </c>
      <c r="H661" s="3" t="n">
        <v>300</v>
      </c>
      <c r="I661" t="inlineStr">
        <is>
          <t>Pix</t>
        </is>
      </c>
      <c r="J661" t="inlineStr">
        <is>
          <t>Não</t>
        </is>
      </c>
      <c r="K661" t="inlineStr">
        <is>
          <t>Eventual</t>
        </is>
      </c>
      <c r="L661" t="inlineStr"/>
      <c r="M661" t="inlineStr">
        <is>
          <t>Nubank NU_370124875_01MAI2026_31MAI2026.csv</t>
        </is>
      </c>
      <c r="N661" t="inlineStr">
        <is>
          <t>Recebido</t>
        </is>
      </c>
      <c r="O661" t="inlineStr">
        <is>
          <t>Transferência recebida pelo Pix - DENISE DE PAULA CENTRO DE ESTETICA LTDA - 05.823.454/0001-86 - MERCADO PAGO IP LTDA. (0323) Agência: 1 Conta: 8804533771-0</t>
        </is>
      </c>
    </row>
    <row r="662">
      <c r="A662" s="29" t="n">
        <v>46168</v>
      </c>
      <c r="B662" t="n">
        <v>5</v>
      </c>
      <c r="C662" t="n">
        <v>2026</v>
      </c>
      <c r="D662" t="inlineStr">
        <is>
          <t>Pessoal</t>
        </is>
      </c>
      <c r="E662" t="inlineStr">
        <is>
          <t>Contas Variáveis</t>
        </is>
      </c>
      <c r="F662" t="inlineStr">
        <is>
          <t>Combustível</t>
        </is>
      </c>
      <c r="G662" t="inlineStr">
        <is>
          <t>Despesa</t>
        </is>
      </c>
      <c r="H662" s="3" t="n">
        <v>-107.99</v>
      </c>
      <c r="I662" t="inlineStr">
        <is>
          <t>Débito</t>
        </is>
      </c>
      <c r="J662" t="inlineStr">
        <is>
          <t>Não</t>
        </is>
      </c>
      <c r="K662" t="inlineStr">
        <is>
          <t>Eventual</t>
        </is>
      </c>
      <c r="L662" t="inlineStr"/>
      <c r="M662" t="inlineStr">
        <is>
          <t>Nubank NU_370124875_01MAI2026_31MAI2026.csv</t>
        </is>
      </c>
      <c r="N662" t="inlineStr">
        <is>
          <t>Sem comprovante</t>
        </is>
      </c>
      <c r="O662" t="inlineStr">
        <is>
          <t>Compra no débito - AMP* POSTO DE SERVICOS</t>
        </is>
      </c>
    </row>
    <row r="663">
      <c r="A663" s="29" t="n">
        <v>46168</v>
      </c>
      <c r="B663" t="n">
        <v>5</v>
      </c>
      <c r="C663" t="n">
        <v>2026</v>
      </c>
      <c r="D663" t="inlineStr">
        <is>
          <t>Studio</t>
        </is>
      </c>
      <c r="E663" t="inlineStr">
        <is>
          <t>Receita - Liberação de Crédito</t>
        </is>
      </c>
      <c r="F663" t="inlineStr">
        <is>
          <t>Liberação de Crédito (Studio)</t>
        </is>
      </c>
      <c r="G663" t="inlineStr">
        <is>
          <t>Receita</t>
        </is>
      </c>
      <c r="H663" s="3" t="n">
        <v>494.45</v>
      </c>
      <c r="I663" t="inlineStr">
        <is>
          <t>Outro</t>
        </is>
      </c>
      <c r="J663" t="inlineStr">
        <is>
          <t>Não</t>
        </is>
      </c>
      <c r="K663" t="inlineStr">
        <is>
          <t>Eventual</t>
        </is>
      </c>
      <c r="L663" t="inlineStr"/>
      <c r="M663" t="inlineStr">
        <is>
          <t>Mercado Pago account_statement-3b5a5492-8314-4c08-9511-4dbebbc07c06 - cópia.xlsx</t>
        </is>
      </c>
      <c r="N663" t="inlineStr">
        <is>
          <t>Recebido</t>
        </is>
      </c>
      <c r="O663" t="inlineStr">
        <is>
          <t>Liberação de dinheiro</t>
        </is>
      </c>
    </row>
    <row r="664">
      <c r="A664" s="29" t="n">
        <v>46168</v>
      </c>
      <c r="B664" t="n">
        <v>5</v>
      </c>
      <c r="C664" t="n">
        <v>2026</v>
      </c>
      <c r="D664" t="inlineStr">
        <is>
          <t>Geral</t>
        </is>
      </c>
      <c r="E664" t="inlineStr">
        <is>
          <t>Outros</t>
        </is>
      </c>
      <c r="F664" t="inlineStr">
        <is>
          <t>Maçonaria / Loja Simbólica</t>
        </is>
      </c>
      <c r="G664" t="inlineStr">
        <is>
          <t>Despesa</t>
        </is>
      </c>
      <c r="H664" s="3" t="n">
        <v>-10</v>
      </c>
      <c r="I664" t="inlineStr">
        <is>
          <t>Pix</t>
        </is>
      </c>
      <c r="J664" t="inlineStr">
        <is>
          <t>Não</t>
        </is>
      </c>
      <c r="K664" t="inlineStr">
        <is>
          <t>Eventual</t>
        </is>
      </c>
      <c r="L664" t="inlineStr"/>
      <c r="M664" t="inlineStr">
        <is>
          <t>Nubank NU_370124875_01MAI2026_31MAI2026.csv</t>
        </is>
      </c>
      <c r="N664" t="inlineStr">
        <is>
          <t>Sem comprovante</t>
        </is>
      </c>
      <c r="O664" t="inlineStr">
        <is>
          <t>Transferência enviada pelo Pix - Augusta e Respeitavel Loja Simbolica Obr - 01.361.920/0001-06 - BCO BRADESCO S.A. (0237) Agência: 929 Conta: 45825-2</t>
        </is>
      </c>
    </row>
    <row r="665">
      <c r="A665" s="29" t="n">
        <v>46168</v>
      </c>
      <c r="B665" t="n">
        <v>5</v>
      </c>
      <c r="C665" t="n">
        <v>2026</v>
      </c>
      <c r="D665" t="inlineStr">
        <is>
          <t>Studio</t>
        </is>
      </c>
      <c r="E665" t="inlineStr">
        <is>
          <t>Receita - Outros</t>
        </is>
      </c>
      <c r="F665" t="inlineStr">
        <is>
          <t>Receita não categorizada</t>
        </is>
      </c>
      <c r="G665" t="inlineStr">
        <is>
          <t>Receita</t>
        </is>
      </c>
      <c r="H665" s="3" t="n">
        <v>5000</v>
      </c>
      <c r="I665" t="inlineStr">
        <is>
          <t>Pix</t>
        </is>
      </c>
      <c r="J665" t="inlineStr">
        <is>
          <t>Não</t>
        </is>
      </c>
      <c r="K665" t="inlineStr">
        <is>
          <t>Eventual</t>
        </is>
      </c>
      <c r="L665" t="inlineStr"/>
      <c r="M665" t="inlineStr">
        <is>
          <t>Nubank NU_370124875_01MAI2026_31MAI2026.csv</t>
        </is>
      </c>
      <c r="N665" t="inlineStr">
        <is>
          <t>Recebido</t>
        </is>
      </c>
      <c r="O665" t="inlineStr">
        <is>
          <t>Transferência recebida pelo Pix - ALEXANDRE ANTONIU NETO - •••.084.859-•• - ITAÚ UNIBANCO S.A. (0341) Agência: 7013 Conta: 15226-4</t>
        </is>
      </c>
    </row>
    <row r="666">
      <c r="A666" s="29" t="n">
        <v>46168</v>
      </c>
      <c r="B666" t="n">
        <v>5</v>
      </c>
      <c r="C666" t="n">
        <v>2026</v>
      </c>
      <c r="D666" t="inlineStr">
        <is>
          <t>Studio</t>
        </is>
      </c>
      <c r="E666" t="inlineStr">
        <is>
          <t>Receita - Midialike</t>
        </is>
      </c>
      <c r="F666" t="inlineStr">
        <is>
          <t>Depósito Midialike</t>
        </is>
      </c>
      <c r="G666" t="inlineStr">
        <is>
          <t>Receita</t>
        </is>
      </c>
      <c r="H666" s="3" t="n">
        <v>389</v>
      </c>
      <c r="I666" t="inlineStr">
        <is>
          <t>Pix</t>
        </is>
      </c>
      <c r="J666" t="inlineStr">
        <is>
          <t>Sim</t>
        </is>
      </c>
      <c r="K666" t="inlineStr">
        <is>
          <t>Mensal</t>
        </is>
      </c>
      <c r="L666" t="inlineStr"/>
      <c r="M666" t="inlineStr">
        <is>
          <t>Nubank NU_370124875_01MAI2026_31MAI2026.csv</t>
        </is>
      </c>
      <c r="N666" t="inlineStr">
        <is>
          <t>Recebido</t>
        </is>
      </c>
      <c r="O666" t="inlineStr">
        <is>
          <t>Transferência recebida pelo Pix - MIDIA LIKE LTDA - 17.930.007/0001-05 - BCO C6 S.A. (0336) Agência: 1 Conta: 31709544-7</t>
        </is>
      </c>
    </row>
    <row r="667">
      <c r="A667" s="29" t="n">
        <v>46169</v>
      </c>
      <c r="B667" t="n">
        <v>5</v>
      </c>
      <c r="C667" t="n">
        <v>2026</v>
      </c>
      <c r="D667" t="inlineStr">
        <is>
          <t>Pessoal</t>
        </is>
      </c>
      <c r="E667" t="inlineStr">
        <is>
          <t>Contas Variáveis</t>
        </is>
      </c>
      <c r="F667" t="inlineStr">
        <is>
          <t>Compras Diversas</t>
        </is>
      </c>
      <c r="G667" t="inlineStr">
        <is>
          <t>Despesa</t>
        </is>
      </c>
      <c r="H667" s="3" t="n">
        <v>-50.98</v>
      </c>
      <c r="I667" t="inlineStr">
        <is>
          <t>Débito</t>
        </is>
      </c>
      <c r="J667" t="inlineStr">
        <is>
          <t>Não</t>
        </is>
      </c>
      <c r="K667" t="inlineStr">
        <is>
          <t>Eventual</t>
        </is>
      </c>
      <c r="L667" t="inlineStr"/>
      <c r="M667" t="inlineStr">
        <is>
          <t>Nubank NU_370124875_01MAI2026_31MAI2026.csv</t>
        </is>
      </c>
      <c r="N667" t="inlineStr">
        <is>
          <t>Sem comprovante</t>
        </is>
      </c>
      <c r="O667" t="inlineStr">
        <is>
          <t>Compra no débito - TOALDO TULIO 65</t>
        </is>
      </c>
    </row>
    <row r="668">
      <c r="A668" s="29" t="n">
        <v>46169</v>
      </c>
      <c r="B668" t="n">
        <v>5</v>
      </c>
      <c r="C668" t="n">
        <v>2026</v>
      </c>
      <c r="D668" t="inlineStr">
        <is>
          <t>Studio</t>
        </is>
      </c>
      <c r="E668" t="inlineStr">
        <is>
          <t>Receita - Liberação de Crédito</t>
        </is>
      </c>
      <c r="F668" t="inlineStr">
        <is>
          <t>Liberação de Crédito (Studio)</t>
        </is>
      </c>
      <c r="G668" t="inlineStr">
        <is>
          <t>Receita</t>
        </is>
      </c>
      <c r="H668" s="3" t="n">
        <v>652.38</v>
      </c>
      <c r="I668" t="inlineStr">
        <is>
          <t>Outro</t>
        </is>
      </c>
      <c r="J668" t="inlineStr">
        <is>
          <t>Não</t>
        </is>
      </c>
      <c r="K668" t="inlineStr">
        <is>
          <t>Eventual</t>
        </is>
      </c>
      <c r="L668" t="inlineStr"/>
      <c r="M668" t="inlineStr">
        <is>
          <t>Mercado Pago account_statement-3b5a5492-8314-4c08-9511-4dbebbc07c06 - cópia.xlsx</t>
        </is>
      </c>
      <c r="N668" t="inlineStr">
        <is>
          <t>Recebido</t>
        </is>
      </c>
      <c r="O668" t="inlineStr">
        <is>
          <t>Liberação de dinheiro</t>
        </is>
      </c>
    </row>
    <row r="669">
      <c r="A669" s="29" t="n">
        <v>46169</v>
      </c>
      <c r="B669" t="n">
        <v>5</v>
      </c>
      <c r="C669" t="n">
        <v>2026</v>
      </c>
      <c r="D669" t="inlineStr">
        <is>
          <t>Studio</t>
        </is>
      </c>
      <c r="E669" t="inlineStr">
        <is>
          <t>Receita - Liberação de Crédito</t>
        </is>
      </c>
      <c r="F669" t="inlineStr">
        <is>
          <t>Liberação de Crédito (Studio)</t>
        </is>
      </c>
      <c r="G669" t="inlineStr">
        <is>
          <t>Receita</t>
        </is>
      </c>
      <c r="H669" s="3" t="n">
        <v>646.99</v>
      </c>
      <c r="I669" t="inlineStr">
        <is>
          <t>Outro</t>
        </is>
      </c>
      <c r="J669" t="inlineStr">
        <is>
          <t>Não</t>
        </is>
      </c>
      <c r="K669" t="inlineStr">
        <is>
          <t>Eventual</t>
        </is>
      </c>
      <c r="L669" t="inlineStr"/>
      <c r="M669" t="inlineStr">
        <is>
          <t>Mercado Pago account_statement-3b5a5492-8314-4c08-9511-4dbebbc07c06 - cópia.xlsx</t>
        </is>
      </c>
      <c r="N669" t="inlineStr">
        <is>
          <t>Recebido</t>
        </is>
      </c>
      <c r="O669" t="inlineStr">
        <is>
          <t>Liberação de dinheiro</t>
        </is>
      </c>
    </row>
    <row r="670">
      <c r="A670" s="29" t="n">
        <v>46169</v>
      </c>
      <c r="B670" t="n">
        <v>5</v>
      </c>
      <c r="C670" t="n">
        <v>2026</v>
      </c>
      <c r="D670" t="inlineStr">
        <is>
          <t>Geral</t>
        </is>
      </c>
      <c r="E670" t="inlineStr">
        <is>
          <t>Outros</t>
        </is>
      </c>
      <c r="F670" t="inlineStr">
        <is>
          <t>Transferência Pix Enviada</t>
        </is>
      </c>
      <c r="G670" t="inlineStr">
        <is>
          <t>Despesa</t>
        </is>
      </c>
      <c r="H670" s="3" t="n">
        <v>-1000</v>
      </c>
      <c r="I670" t="inlineStr">
        <is>
          <t>Pix</t>
        </is>
      </c>
      <c r="J670" t="inlineStr">
        <is>
          <t>Não</t>
        </is>
      </c>
      <c r="K670" t="inlineStr">
        <is>
          <t>Eventual</t>
        </is>
      </c>
      <c r="L670" t="inlineStr"/>
      <c r="M670" t="inlineStr">
        <is>
          <t>Mercado Pago account_statement-3b5a5492-8314-4c08-9511-4dbebbc07c06 - cópia.xlsx</t>
        </is>
      </c>
      <c r="N670" t="inlineStr">
        <is>
          <t>Sem comprovante</t>
        </is>
      </c>
      <c r="O670" t="inlineStr">
        <is>
          <t>Pix enviado Andressa Dorothea Souza de Paula</t>
        </is>
      </c>
    </row>
    <row r="671">
      <c r="A671" s="29" t="n">
        <v>46169</v>
      </c>
      <c r="B671" t="n">
        <v>5</v>
      </c>
      <c r="C671" t="n">
        <v>2026</v>
      </c>
      <c r="D671" t="inlineStr">
        <is>
          <t>Studio</t>
        </is>
      </c>
      <c r="E671" t="inlineStr">
        <is>
          <t>Pessoal</t>
        </is>
      </c>
      <c r="F671" t="inlineStr">
        <is>
          <t>Neemias</t>
        </is>
      </c>
      <c r="G671" t="inlineStr">
        <is>
          <t>Despesa</t>
        </is>
      </c>
      <c r="H671" s="3" t="n">
        <v>-500</v>
      </c>
      <c r="I671" t="inlineStr">
        <is>
          <t>Pix</t>
        </is>
      </c>
      <c r="J671" t="inlineStr">
        <is>
          <t>Não</t>
        </is>
      </c>
      <c r="K671" t="inlineStr">
        <is>
          <t>Eventual</t>
        </is>
      </c>
      <c r="L671" t="inlineStr"/>
      <c r="M671" t="inlineStr">
        <is>
          <t>Mercado Pago account_statement-3b5a5492-8314-4c08-9511-4dbebbc07c06 - cópia.xlsx</t>
        </is>
      </c>
      <c r="N671" t="inlineStr">
        <is>
          <t>Sem comprovante</t>
        </is>
      </c>
      <c r="O671" t="inlineStr">
        <is>
          <t>Pix enviado Neemias Marques de Oliveira</t>
        </is>
      </c>
    </row>
    <row r="672">
      <c r="A672" s="29" t="n">
        <v>46170</v>
      </c>
      <c r="B672" t="n">
        <v>5</v>
      </c>
      <c r="C672" t="n">
        <v>2026</v>
      </c>
      <c r="D672" t="inlineStr">
        <is>
          <t>Pessoal</t>
        </is>
      </c>
      <c r="E672" t="inlineStr">
        <is>
          <t>Contas Variáveis</t>
        </is>
      </c>
      <c r="F672" t="inlineStr">
        <is>
          <t>Combustível</t>
        </is>
      </c>
      <c r="G672" t="inlineStr">
        <is>
          <t>Despesa</t>
        </is>
      </c>
      <c r="H672" s="3" t="n">
        <v>-150.08</v>
      </c>
      <c r="I672" t="inlineStr">
        <is>
          <t>Débito</t>
        </is>
      </c>
      <c r="J672" t="inlineStr">
        <is>
          <t>Não</t>
        </is>
      </c>
      <c r="K672" t="inlineStr">
        <is>
          <t>Eventual</t>
        </is>
      </c>
      <c r="L672" t="inlineStr"/>
      <c r="M672" t="inlineStr">
        <is>
          <t>Nubank NU_370124875_01MAI2026_31MAI2026.csv</t>
        </is>
      </c>
      <c r="N672" t="inlineStr">
        <is>
          <t>Sem comprovante</t>
        </is>
      </c>
      <c r="O672" t="inlineStr">
        <is>
          <t>Compra no débito - POSTO FAROL DO PARQUE</t>
        </is>
      </c>
    </row>
    <row r="673">
      <c r="A673" s="29" t="n">
        <v>46170</v>
      </c>
      <c r="B673" t="n">
        <v>5</v>
      </c>
      <c r="C673" t="n">
        <v>2026</v>
      </c>
      <c r="D673" t="inlineStr">
        <is>
          <t>Pessoal</t>
        </is>
      </c>
      <c r="E673" t="inlineStr">
        <is>
          <t>Contas Variáveis</t>
        </is>
      </c>
      <c r="F673" t="inlineStr">
        <is>
          <t>Combustível</t>
        </is>
      </c>
      <c r="G673" t="inlineStr">
        <is>
          <t>Despesa</t>
        </is>
      </c>
      <c r="H673" s="3" t="n">
        <v>-8.5</v>
      </c>
      <c r="I673" t="inlineStr">
        <is>
          <t>Débito</t>
        </is>
      </c>
      <c r="J673" t="inlineStr">
        <is>
          <t>Não</t>
        </is>
      </c>
      <c r="K673" t="inlineStr">
        <is>
          <t>Eventual</t>
        </is>
      </c>
      <c r="L673" t="inlineStr"/>
      <c r="M673" t="inlineStr">
        <is>
          <t>Nubank NU_370124875_01MAI2026_31MAI2026.csv</t>
        </is>
      </c>
      <c r="N673" t="inlineStr">
        <is>
          <t>Sem comprovante</t>
        </is>
      </c>
      <c r="O673" t="inlineStr">
        <is>
          <t>Compra no débito - POSTO PETROPARK</t>
        </is>
      </c>
    </row>
    <row r="674">
      <c r="A674" s="29" t="n">
        <v>46170</v>
      </c>
      <c r="B674" t="n">
        <v>5</v>
      </c>
      <c r="C674" t="n">
        <v>2026</v>
      </c>
      <c r="D674" t="inlineStr">
        <is>
          <t>Pessoal</t>
        </is>
      </c>
      <c r="E674" t="inlineStr">
        <is>
          <t>Contas Variáveis</t>
        </is>
      </c>
      <c r="F674" t="inlineStr">
        <is>
          <t>Combustível</t>
        </is>
      </c>
      <c r="G674" t="inlineStr">
        <is>
          <t>Despesa</t>
        </is>
      </c>
      <c r="H674" s="3" t="n">
        <v>-8</v>
      </c>
      <c r="I674" t="inlineStr">
        <is>
          <t>Débito</t>
        </is>
      </c>
      <c r="J674" t="inlineStr">
        <is>
          <t>Não</t>
        </is>
      </c>
      <c r="K674" t="inlineStr">
        <is>
          <t>Eventual</t>
        </is>
      </c>
      <c r="L674" t="inlineStr"/>
      <c r="M674" t="inlineStr">
        <is>
          <t>Nubank NU_370124875_01MAI2026_31MAI2026.csv</t>
        </is>
      </c>
      <c r="N674" t="inlineStr">
        <is>
          <t>Sem comprovante</t>
        </is>
      </c>
      <c r="O674" t="inlineStr">
        <is>
          <t>Compra no débito - POSTO PORTAL MARECHAL</t>
        </is>
      </c>
    </row>
    <row r="675">
      <c r="A675" s="29" t="n">
        <v>46170</v>
      </c>
      <c r="B675" t="n">
        <v>5</v>
      </c>
      <c r="C675" t="n">
        <v>2026</v>
      </c>
      <c r="D675" t="inlineStr">
        <is>
          <t>Pessoal</t>
        </is>
      </c>
      <c r="E675" t="inlineStr">
        <is>
          <t>Contas Variáveis</t>
        </is>
      </c>
      <c r="F675" t="inlineStr">
        <is>
          <t>Compra no débito</t>
        </is>
      </c>
      <c r="G675" t="inlineStr">
        <is>
          <t>Despesa</t>
        </is>
      </c>
      <c r="H675" s="3" t="n">
        <v>-50.67</v>
      </c>
      <c r="I675" t="inlineStr">
        <is>
          <t>Débito</t>
        </is>
      </c>
      <c r="J675" t="inlineStr">
        <is>
          <t>Não</t>
        </is>
      </c>
      <c r="K675" t="inlineStr">
        <is>
          <t>Eventual</t>
        </is>
      </c>
      <c r="L675" t="inlineStr"/>
      <c r="M675" t="inlineStr">
        <is>
          <t>Nubank NU_370124875_01MAI2026_31MAI2026.csv</t>
        </is>
      </c>
      <c r="N675" t="inlineStr">
        <is>
          <t>Sem comprovante</t>
        </is>
      </c>
      <c r="O675" t="inlineStr">
        <is>
          <t>Compra no débito - PadariaE</t>
        </is>
      </c>
    </row>
    <row r="676">
      <c r="A676" s="29" t="n">
        <v>46170</v>
      </c>
      <c r="B676" t="n">
        <v>5</v>
      </c>
      <c r="C676" t="n">
        <v>2026</v>
      </c>
      <c r="D676" t="inlineStr">
        <is>
          <t>Pessoal</t>
        </is>
      </c>
      <c r="E676" t="inlineStr">
        <is>
          <t>Contas Variáveis</t>
        </is>
      </c>
      <c r="F676" t="inlineStr">
        <is>
          <t>Compras Diversas</t>
        </is>
      </c>
      <c r="G676" t="inlineStr">
        <is>
          <t>Despesa</t>
        </is>
      </c>
      <c r="H676" s="3" t="n">
        <v>-33.97</v>
      </c>
      <c r="I676" t="inlineStr">
        <is>
          <t>Débito</t>
        </is>
      </c>
      <c r="J676" t="inlineStr">
        <is>
          <t>Não</t>
        </is>
      </c>
      <c r="K676" t="inlineStr">
        <is>
          <t>Eventual</t>
        </is>
      </c>
      <c r="L676" t="inlineStr"/>
      <c r="M676" t="inlineStr">
        <is>
          <t>Nubank NU_370124875_01MAI2026_31MAI2026.csv</t>
        </is>
      </c>
      <c r="N676" t="inlineStr">
        <is>
          <t>Sem comprovante</t>
        </is>
      </c>
      <c r="O676" t="inlineStr">
        <is>
          <t>Compra no débito - TOALDO TULIO 65</t>
        </is>
      </c>
    </row>
    <row r="677">
      <c r="A677" s="29" t="n">
        <v>46170</v>
      </c>
      <c r="B677" t="n">
        <v>5</v>
      </c>
      <c r="C677" t="n">
        <v>2026</v>
      </c>
      <c r="D677" t="inlineStr">
        <is>
          <t>Geral</t>
        </is>
      </c>
      <c r="E677" t="inlineStr">
        <is>
          <t>Contas Fixas</t>
        </is>
      </c>
      <c r="F677" t="inlineStr">
        <is>
          <t>Assinatura Canva</t>
        </is>
      </c>
      <c r="G677" t="inlineStr">
        <is>
          <t>Despesa</t>
        </is>
      </c>
      <c r="H677" s="3" t="n">
        <v>-35</v>
      </c>
      <c r="I677" t="inlineStr">
        <is>
          <t>Débito</t>
        </is>
      </c>
      <c r="J677" t="inlineStr">
        <is>
          <t>Sim</t>
        </is>
      </c>
      <c r="K677" t="inlineStr">
        <is>
          <t>Mensal</t>
        </is>
      </c>
      <c r="L677" t="inlineStr"/>
      <c r="M677" t="inlineStr">
        <is>
          <t>Nubank NU_370124875_01MAI2026_31MAI2026.csv</t>
        </is>
      </c>
      <c r="N677" t="inlineStr">
        <is>
          <t>Sem comprovante</t>
        </is>
      </c>
      <c r="O677" t="inlineStr">
        <is>
          <t>Compra no débito via NuPay - EBW*Canva</t>
        </is>
      </c>
    </row>
    <row r="678">
      <c r="A678" s="29" t="n">
        <v>46170</v>
      </c>
      <c r="B678" t="n">
        <v>5</v>
      </c>
      <c r="C678" t="n">
        <v>2026</v>
      </c>
      <c r="D678" t="inlineStr">
        <is>
          <t>Pessoal</t>
        </is>
      </c>
      <c r="E678" t="inlineStr">
        <is>
          <t>Contas Variáveis</t>
        </is>
      </c>
      <c r="F678" t="inlineStr">
        <is>
          <t>Compra no débito</t>
        </is>
      </c>
      <c r="G678" t="inlineStr">
        <is>
          <t>Despesa</t>
        </is>
      </c>
      <c r="H678" s="3" t="n">
        <v>-23.98</v>
      </c>
      <c r="I678" t="inlineStr">
        <is>
          <t>Débito</t>
        </is>
      </c>
      <c r="J678" t="inlineStr">
        <is>
          <t>Não</t>
        </is>
      </c>
      <c r="K678" t="inlineStr">
        <is>
          <t>Eventual</t>
        </is>
      </c>
      <c r="L678" t="inlineStr"/>
      <c r="M678" t="inlineStr">
        <is>
          <t>Nubank NU_370124875_01MAI2026_31MAI2026.csv</t>
        </is>
      </c>
      <c r="N678" t="inlineStr">
        <is>
          <t>Sem comprovante</t>
        </is>
      </c>
      <c r="O678" t="inlineStr">
        <is>
          <t>Compra no débito via NuPay - Uber</t>
        </is>
      </c>
    </row>
    <row r="679">
      <c r="A679" s="29" t="n">
        <v>46170</v>
      </c>
      <c r="B679" t="n">
        <v>5</v>
      </c>
      <c r="C679" t="n">
        <v>2026</v>
      </c>
      <c r="D679" t="inlineStr">
        <is>
          <t>Studio</t>
        </is>
      </c>
      <c r="E679" t="inlineStr">
        <is>
          <t>Receita - Liberação de Crédito</t>
        </is>
      </c>
      <c r="F679" t="inlineStr">
        <is>
          <t>Liberação de Crédito (Studio)</t>
        </is>
      </c>
      <c r="G679" t="inlineStr">
        <is>
          <t>Receita</t>
        </is>
      </c>
      <c r="H679" s="3" t="n">
        <v>484.8</v>
      </c>
      <c r="I679" t="inlineStr">
        <is>
          <t>Outro</t>
        </is>
      </c>
      <c r="J679" t="inlineStr">
        <is>
          <t>Não</t>
        </is>
      </c>
      <c r="K679" t="inlineStr">
        <is>
          <t>Eventual</t>
        </is>
      </c>
      <c r="L679" t="inlineStr"/>
      <c r="M679" t="inlineStr">
        <is>
          <t>Mercado Pago account_statement-3b5a5492-8314-4c08-9511-4dbebbc07c06 - cópia.xlsx</t>
        </is>
      </c>
      <c r="N679" t="inlineStr">
        <is>
          <t>Recebido</t>
        </is>
      </c>
      <c r="O679" t="inlineStr">
        <is>
          <t>Liberação de dinheiro</t>
        </is>
      </c>
    </row>
    <row r="680">
      <c r="A680" s="29" t="n">
        <v>46170</v>
      </c>
      <c r="B680" t="n">
        <v>5</v>
      </c>
      <c r="C680" t="n">
        <v>2026</v>
      </c>
      <c r="D680" t="inlineStr">
        <is>
          <t>Studio</t>
        </is>
      </c>
      <c r="E680" t="inlineStr">
        <is>
          <t>Receita - Liberação de Crédito</t>
        </is>
      </c>
      <c r="F680" t="inlineStr">
        <is>
          <t>Liberação de Crédito (Studio)</t>
        </is>
      </c>
      <c r="G680" t="inlineStr">
        <is>
          <t>Receita</t>
        </is>
      </c>
      <c r="H680" s="3" t="n">
        <v>494.45</v>
      </c>
      <c r="I680" t="inlineStr">
        <is>
          <t>Outro</t>
        </is>
      </c>
      <c r="J680" t="inlineStr">
        <is>
          <t>Não</t>
        </is>
      </c>
      <c r="K680" t="inlineStr">
        <is>
          <t>Eventual</t>
        </is>
      </c>
      <c r="L680" t="inlineStr"/>
      <c r="M680" t="inlineStr">
        <is>
          <t>Mercado Pago account_statement-3b5a5492-8314-4c08-9511-4dbebbc07c06 - cópia.xlsx</t>
        </is>
      </c>
      <c r="N680" t="inlineStr">
        <is>
          <t>Recebido</t>
        </is>
      </c>
      <c r="O680" t="inlineStr">
        <is>
          <t>Liberação de dinheiro</t>
        </is>
      </c>
    </row>
    <row r="681">
      <c r="A681" s="29" t="n">
        <v>46170</v>
      </c>
      <c r="B681" t="n">
        <v>5</v>
      </c>
      <c r="C681" t="n">
        <v>2026</v>
      </c>
      <c r="D681" t="inlineStr">
        <is>
          <t>Studio</t>
        </is>
      </c>
      <c r="E681" t="inlineStr">
        <is>
          <t>Receita - Liberação de Crédito</t>
        </is>
      </c>
      <c r="F681" t="inlineStr">
        <is>
          <t>Liberação de Crédito (Studio)</t>
        </is>
      </c>
      <c r="G681" t="inlineStr">
        <is>
          <t>Receita</t>
        </is>
      </c>
      <c r="H681" s="3" t="n">
        <v>677.75</v>
      </c>
      <c r="I681" t="inlineStr">
        <is>
          <t>Outro</t>
        </is>
      </c>
      <c r="J681" t="inlineStr">
        <is>
          <t>Não</t>
        </is>
      </c>
      <c r="K681" t="inlineStr">
        <is>
          <t>Eventual</t>
        </is>
      </c>
      <c r="L681" t="inlineStr"/>
      <c r="M681" t="inlineStr">
        <is>
          <t>Mercado Pago account_statement-3b5a5492-8314-4c08-9511-4dbebbc07c06 - cópia.xlsx</t>
        </is>
      </c>
      <c r="N681" t="inlineStr">
        <is>
          <t>Recebido</t>
        </is>
      </c>
      <c r="O681" t="inlineStr">
        <is>
          <t>Liberação de dinheiro</t>
        </is>
      </c>
    </row>
    <row r="682">
      <c r="A682" s="29" t="n">
        <v>46170</v>
      </c>
      <c r="B682" t="n">
        <v>5</v>
      </c>
      <c r="C682" t="n">
        <v>2026</v>
      </c>
      <c r="D682" t="inlineStr">
        <is>
          <t>Pessoal</t>
        </is>
      </c>
      <c r="E682" t="inlineStr">
        <is>
          <t>Contas Variáveis</t>
        </is>
      </c>
      <c r="F682" t="inlineStr">
        <is>
          <t>Mercado</t>
        </is>
      </c>
      <c r="G682" t="inlineStr">
        <is>
          <t>Despesa</t>
        </is>
      </c>
      <c r="H682" s="3" t="n">
        <v>-24.99</v>
      </c>
      <c r="I682" t="inlineStr">
        <is>
          <t>Outro</t>
        </is>
      </c>
      <c r="J682" t="inlineStr">
        <is>
          <t>Não</t>
        </is>
      </c>
      <c r="K682" t="inlineStr">
        <is>
          <t>Eventual</t>
        </is>
      </c>
      <c r="L682" t="inlineStr"/>
      <c r="M682" t="inlineStr">
        <is>
          <t>Mercado Pago account_statement-3b5a5492-8314-4c08-9511-4dbebbc07c06 - cópia.xlsx</t>
        </is>
      </c>
      <c r="N682" t="inlineStr">
        <is>
          <t>Sem comprovante</t>
        </is>
      </c>
      <c r="O682" t="inlineStr">
        <is>
          <t>Pagamento Mercado Livre</t>
        </is>
      </c>
    </row>
    <row r="683">
      <c r="A683" s="29" t="n">
        <v>46170</v>
      </c>
      <c r="B683" t="n">
        <v>5</v>
      </c>
      <c r="C683" t="n">
        <v>2026</v>
      </c>
      <c r="D683" t="inlineStr">
        <is>
          <t>Pessoal</t>
        </is>
      </c>
      <c r="E683" t="inlineStr">
        <is>
          <t>Contas Variáveis</t>
        </is>
      </c>
      <c r="F683" t="inlineStr">
        <is>
          <t>Mercado</t>
        </is>
      </c>
      <c r="G683" t="inlineStr">
        <is>
          <t>Despesa</t>
        </is>
      </c>
      <c r="H683" s="3" t="n">
        <v>-94.90000000000001</v>
      </c>
      <c r="I683" t="inlineStr">
        <is>
          <t>Outro</t>
        </is>
      </c>
      <c r="J683" t="inlineStr">
        <is>
          <t>Não</t>
        </is>
      </c>
      <c r="K683" t="inlineStr">
        <is>
          <t>Eventual</t>
        </is>
      </c>
      <c r="L683" t="inlineStr"/>
      <c r="M683" t="inlineStr">
        <is>
          <t>Mercado Pago account_statement-3b5a5492-8314-4c08-9511-4dbebbc07c06 - cópia.xlsx</t>
        </is>
      </c>
      <c r="N683" t="inlineStr">
        <is>
          <t>Sem comprovante</t>
        </is>
      </c>
      <c r="O683" t="inlineStr">
        <is>
          <t>Pagamento Mercado Livre</t>
        </is>
      </c>
    </row>
    <row r="684">
      <c r="A684" s="29" t="n">
        <v>46170</v>
      </c>
      <c r="B684" t="n">
        <v>5</v>
      </c>
      <c r="C684" t="n">
        <v>2026</v>
      </c>
      <c r="D684" t="inlineStr">
        <is>
          <t>Geral</t>
        </is>
      </c>
      <c r="E684" t="inlineStr">
        <is>
          <t>Outros</t>
        </is>
      </c>
      <c r="F684" t="inlineStr">
        <is>
          <t>Não identificado</t>
        </is>
      </c>
      <c r="G684" t="inlineStr">
        <is>
          <t>Despesa</t>
        </is>
      </c>
      <c r="H684" s="3" t="n">
        <v>-135</v>
      </c>
      <c r="I684" t="inlineStr">
        <is>
          <t>Pix</t>
        </is>
      </c>
      <c r="J684" t="inlineStr">
        <is>
          <t>Não</t>
        </is>
      </c>
      <c r="K684" t="inlineStr">
        <is>
          <t>Eventual</t>
        </is>
      </c>
      <c r="L684" t="inlineStr"/>
      <c r="M684" t="inlineStr">
        <is>
          <t>Mercado Pago account_statement-3b5a5492-8314-4c08-9511-4dbebbc07c06 - cópia.xlsx</t>
        </is>
      </c>
      <c r="N684" t="inlineStr">
        <is>
          <t>Sem comprovante</t>
        </is>
      </c>
      <c r="O684" t="inlineStr">
        <is>
          <t>Pagamento com QR Pix A. GENIOS GAS CONVERTEDORA AUTOMOTIVA GNV LTDA</t>
        </is>
      </c>
    </row>
    <row r="685">
      <c r="A685" s="29" t="n">
        <v>46171</v>
      </c>
      <c r="B685" t="n">
        <v>5</v>
      </c>
      <c r="C685" t="n">
        <v>2026</v>
      </c>
      <c r="D685" t="inlineStr">
        <is>
          <t>Pessoal</t>
        </is>
      </c>
      <c r="E685" t="inlineStr">
        <is>
          <t>Contas Variáveis</t>
        </is>
      </c>
      <c r="F685" t="inlineStr">
        <is>
          <t>Compra no débito</t>
        </is>
      </c>
      <c r="G685" t="inlineStr">
        <is>
          <t>Despesa</t>
        </is>
      </c>
      <c r="H685" s="3" t="n">
        <v>-49</v>
      </c>
      <c r="I685" t="inlineStr">
        <is>
          <t>Débito</t>
        </is>
      </c>
      <c r="J685" t="inlineStr">
        <is>
          <t>Não</t>
        </is>
      </c>
      <c r="K685" t="inlineStr">
        <is>
          <t>Eventual</t>
        </is>
      </c>
      <c r="L685" t="inlineStr"/>
      <c r="M685" t="inlineStr">
        <is>
          <t>Nubank NU_370124875_01MAI2026_31MAI2026.csv</t>
        </is>
      </c>
      <c r="N685" t="inlineStr">
        <is>
          <t>Sem comprovante</t>
        </is>
      </c>
      <c r="O685" t="inlineStr">
        <is>
          <t>Compra no débito - CASA COMPRAS SAO BRAZ</t>
        </is>
      </c>
    </row>
    <row r="686">
      <c r="A686" s="29" t="n">
        <v>46171</v>
      </c>
      <c r="B686" t="n">
        <v>5</v>
      </c>
      <c r="C686" t="n">
        <v>2026</v>
      </c>
      <c r="D686" t="inlineStr">
        <is>
          <t>Studio</t>
        </is>
      </c>
      <c r="E686" t="inlineStr">
        <is>
          <t>Receita - Liberação de Crédito</t>
        </is>
      </c>
      <c r="F686" t="inlineStr">
        <is>
          <t>Liberação de Crédito (Studio)</t>
        </is>
      </c>
      <c r="G686" t="inlineStr">
        <is>
          <t>Receita</t>
        </is>
      </c>
      <c r="H686" s="3" t="n">
        <v>561.11</v>
      </c>
      <c r="I686" t="inlineStr">
        <is>
          <t>Outro</t>
        </is>
      </c>
      <c r="J686" t="inlineStr">
        <is>
          <t>Não</t>
        </is>
      </c>
      <c r="K686" t="inlineStr">
        <is>
          <t>Eventual</t>
        </is>
      </c>
      <c r="L686" t="inlineStr"/>
      <c r="M686" t="inlineStr">
        <is>
          <t>Mercado Pago account_statement-3b5a5492-8314-4c08-9511-4dbebbc07c06 - cópia.xlsx</t>
        </is>
      </c>
      <c r="N686" t="inlineStr">
        <is>
          <t>Recebido</t>
        </is>
      </c>
      <c r="O686" t="inlineStr">
        <is>
          <t>Liberação de dinheiro</t>
        </is>
      </c>
    </row>
    <row r="687">
      <c r="A687" s="29" t="n">
        <v>46171</v>
      </c>
      <c r="B687" t="n">
        <v>5</v>
      </c>
      <c r="C687" t="n">
        <v>2026</v>
      </c>
      <c r="D687" t="inlineStr">
        <is>
          <t>Studio</t>
        </is>
      </c>
      <c r="E687" t="inlineStr">
        <is>
          <t>Receita - Liberação de Crédito</t>
        </is>
      </c>
      <c r="F687" t="inlineStr">
        <is>
          <t>Liberação de Crédito (Studio)</t>
        </is>
      </c>
      <c r="G687" t="inlineStr">
        <is>
          <t>Receita</t>
        </is>
      </c>
      <c r="H687" s="3" t="n">
        <v>473.89</v>
      </c>
      <c r="I687" t="inlineStr">
        <is>
          <t>Outro</t>
        </is>
      </c>
      <c r="J687" t="inlineStr">
        <is>
          <t>Não</t>
        </is>
      </c>
      <c r="K687" t="inlineStr">
        <is>
          <t>Eventual</t>
        </is>
      </c>
      <c r="L687" t="inlineStr"/>
      <c r="M687" t="inlineStr">
        <is>
          <t>Mercado Pago account_statement-3b5a5492-8314-4c08-9511-4dbebbc07c06 - cópia.xlsx</t>
        </is>
      </c>
      <c r="N687" t="inlineStr">
        <is>
          <t>Recebido</t>
        </is>
      </c>
      <c r="O687" t="inlineStr">
        <is>
          <t>Liberação de dinheiro</t>
        </is>
      </c>
    </row>
    <row r="688">
      <c r="A688" s="29" t="n">
        <v>46171</v>
      </c>
      <c r="B688" t="n">
        <v>5</v>
      </c>
      <c r="C688" t="n">
        <v>2026</v>
      </c>
      <c r="D688" t="inlineStr">
        <is>
          <t>Studio</t>
        </is>
      </c>
      <c r="E688" t="inlineStr">
        <is>
          <t>Receita - Liberação de Crédito</t>
        </is>
      </c>
      <c r="F688" t="inlineStr">
        <is>
          <t>Liberação de Crédito (Studio)</t>
        </is>
      </c>
      <c r="G688" t="inlineStr">
        <is>
          <t>Receita</t>
        </is>
      </c>
      <c r="H688" s="3" t="n">
        <v>472.42</v>
      </c>
      <c r="I688" t="inlineStr">
        <is>
          <t>Outro</t>
        </is>
      </c>
      <c r="J688" t="inlineStr">
        <is>
          <t>Não</t>
        </is>
      </c>
      <c r="K688" t="inlineStr">
        <is>
          <t>Eventual</t>
        </is>
      </c>
      <c r="L688" t="inlineStr"/>
      <c r="M688" t="inlineStr">
        <is>
          <t>Mercado Pago account_statement-3b5a5492-8314-4c08-9511-4dbebbc07c06 - cópia.xlsx</t>
        </is>
      </c>
      <c r="N688" t="inlineStr">
        <is>
          <t>Recebido</t>
        </is>
      </c>
      <c r="O688" t="inlineStr">
        <is>
          <t>Liberação de dinheiro</t>
        </is>
      </c>
    </row>
    <row r="689">
      <c r="A689" s="29" t="n">
        <v>46171</v>
      </c>
      <c r="B689" t="n">
        <v>5</v>
      </c>
      <c r="C689" t="n">
        <v>2026</v>
      </c>
      <c r="D689" t="inlineStr">
        <is>
          <t>Studio</t>
        </is>
      </c>
      <c r="E689" t="inlineStr">
        <is>
          <t>Receita - Liberação de Crédito</t>
        </is>
      </c>
      <c r="F689" t="inlineStr">
        <is>
          <t>Liberação de Crédito (Studio)</t>
        </is>
      </c>
      <c r="G689" t="inlineStr">
        <is>
          <t>Receita</t>
        </is>
      </c>
      <c r="H689" s="3" t="n">
        <v>415.74</v>
      </c>
      <c r="I689" t="inlineStr">
        <is>
          <t>Outro</t>
        </is>
      </c>
      <c r="J689" t="inlineStr">
        <is>
          <t>Não</t>
        </is>
      </c>
      <c r="K689" t="inlineStr">
        <is>
          <t>Eventual</t>
        </is>
      </c>
      <c r="L689" t="inlineStr"/>
      <c r="M689" t="inlineStr">
        <is>
          <t>Mercado Pago account_statement-3b5a5492-8314-4c08-9511-4dbebbc07c06 - cópia.xlsx</t>
        </is>
      </c>
      <c r="N689" t="inlineStr">
        <is>
          <t>Recebido</t>
        </is>
      </c>
      <c r="O689" t="inlineStr">
        <is>
          <t>Liberação de dinheiro</t>
        </is>
      </c>
    </row>
    <row r="690">
      <c r="A690" s="29" t="n">
        <v>46171</v>
      </c>
      <c r="B690" t="n">
        <v>5</v>
      </c>
      <c r="C690" t="n">
        <v>2026</v>
      </c>
      <c r="D690" t="inlineStr">
        <is>
          <t>Studio</t>
        </is>
      </c>
      <c r="E690" t="inlineStr">
        <is>
          <t>Receita - Liberação de Crédito</t>
        </is>
      </c>
      <c r="F690" t="inlineStr">
        <is>
          <t>Liberação de Crédito (Studio)</t>
        </is>
      </c>
      <c r="G690" t="inlineStr">
        <is>
          <t>Receita</t>
        </is>
      </c>
      <c r="H690" s="3" t="n">
        <v>1573.78</v>
      </c>
      <c r="I690" t="inlineStr">
        <is>
          <t>Outro</t>
        </is>
      </c>
      <c r="J690" t="inlineStr">
        <is>
          <t>Não</t>
        </is>
      </c>
      <c r="K690" t="inlineStr">
        <is>
          <t>Eventual</t>
        </is>
      </c>
      <c r="L690" t="inlineStr"/>
      <c r="M690" t="inlineStr">
        <is>
          <t>Mercado Pago account_statement-3b5a5492-8314-4c08-9511-4dbebbc07c06 - cópia.xlsx</t>
        </is>
      </c>
      <c r="N690" t="inlineStr">
        <is>
          <t>Recebido</t>
        </is>
      </c>
      <c r="O690" t="inlineStr">
        <is>
          <t>Liberação de dinheiro</t>
        </is>
      </c>
    </row>
    <row r="691">
      <c r="A691" s="29" t="n">
        <v>46171</v>
      </c>
      <c r="B691" t="n">
        <v>5</v>
      </c>
      <c r="C691" t="n">
        <v>2026</v>
      </c>
      <c r="D691" t="inlineStr">
        <is>
          <t>Studio</t>
        </is>
      </c>
      <c r="E691" t="inlineStr">
        <is>
          <t>Receita - Liberação de Crédito</t>
        </is>
      </c>
      <c r="F691" t="inlineStr">
        <is>
          <t>Liberação de Crédito (Studio)</t>
        </is>
      </c>
      <c r="G691" t="inlineStr">
        <is>
          <t>Receita</t>
        </is>
      </c>
      <c r="H691" s="3" t="n">
        <v>414.2</v>
      </c>
      <c r="I691" t="inlineStr">
        <is>
          <t>Outro</t>
        </is>
      </c>
      <c r="J691" t="inlineStr">
        <is>
          <t>Não</t>
        </is>
      </c>
      <c r="K691" t="inlineStr">
        <is>
          <t>Eventual</t>
        </is>
      </c>
      <c r="L691" t="inlineStr"/>
      <c r="M691" t="inlineStr">
        <is>
          <t>Mercado Pago account_statement-3b5a5492-8314-4c08-9511-4dbebbc07c06 - cópia.xlsx</t>
        </is>
      </c>
      <c r="N691" t="inlineStr">
        <is>
          <t>Recebido</t>
        </is>
      </c>
      <c r="O691" t="inlineStr">
        <is>
          <t>Liberação de dinheiro</t>
        </is>
      </c>
    </row>
    <row r="692">
      <c r="A692" s="29" t="n">
        <v>46171</v>
      </c>
      <c r="B692" t="n">
        <v>5</v>
      </c>
      <c r="C692" t="n">
        <v>2026</v>
      </c>
      <c r="D692" t="inlineStr">
        <is>
          <t>Studio</t>
        </is>
      </c>
      <c r="E692" t="inlineStr">
        <is>
          <t>Receita - Liberação de Crédito</t>
        </is>
      </c>
      <c r="F692" t="inlineStr">
        <is>
          <t>Liberação de Crédito (Studio)</t>
        </is>
      </c>
      <c r="G692" t="inlineStr">
        <is>
          <t>Receita</t>
        </is>
      </c>
      <c r="H692" s="3" t="n">
        <v>414.46</v>
      </c>
      <c r="I692" t="inlineStr">
        <is>
          <t>Outro</t>
        </is>
      </c>
      <c r="J692" t="inlineStr">
        <is>
          <t>Não</t>
        </is>
      </c>
      <c r="K692" t="inlineStr">
        <is>
          <t>Eventual</t>
        </is>
      </c>
      <c r="L692" t="inlineStr"/>
      <c r="M692" t="inlineStr">
        <is>
          <t>Mercado Pago account_statement-3b5a5492-8314-4c08-9511-4dbebbc07c06 - cópia.xlsx</t>
        </is>
      </c>
      <c r="N692" t="inlineStr">
        <is>
          <t>Recebido</t>
        </is>
      </c>
      <c r="O692" t="inlineStr">
        <is>
          <t>Liberação de dinheiro</t>
        </is>
      </c>
    </row>
    <row r="693">
      <c r="A693" s="29" t="n">
        <v>46171</v>
      </c>
      <c r="B693" t="n">
        <v>5</v>
      </c>
      <c r="C693" t="n">
        <v>2026</v>
      </c>
      <c r="D693" t="inlineStr">
        <is>
          <t>Studio</t>
        </is>
      </c>
      <c r="E693" t="inlineStr">
        <is>
          <t>Receita - Outros</t>
        </is>
      </c>
      <c r="F693" t="inlineStr">
        <is>
          <t>Receita não categorizada</t>
        </is>
      </c>
      <c r="G693" t="inlineStr">
        <is>
          <t>Receita</t>
        </is>
      </c>
      <c r="H693" s="3" t="n">
        <v>486.6</v>
      </c>
      <c r="I693" t="inlineStr">
        <is>
          <t>Pix</t>
        </is>
      </c>
      <c r="J693" t="inlineStr">
        <is>
          <t>Não</t>
        </is>
      </c>
      <c r="K693" t="inlineStr">
        <is>
          <t>Eventual</t>
        </is>
      </c>
      <c r="L693" t="inlineStr"/>
      <c r="M693" t="inlineStr">
        <is>
          <t>Mercado Pago account_statement-3b5a5492-8314-4c08-9511-4dbebbc07c06 - cópia.xlsx</t>
        </is>
      </c>
      <c r="N693" t="inlineStr">
        <is>
          <t>Recebido</t>
        </is>
      </c>
      <c r="O693" t="inlineStr">
        <is>
          <t>Pagamento com Código QR Pix SOLANGE DOS SANTOS LIMA</t>
        </is>
      </c>
    </row>
    <row r="694">
      <c r="A694" s="29" t="n">
        <v>46171</v>
      </c>
      <c r="B694" t="n">
        <v>5</v>
      </c>
      <c r="C694" t="n">
        <v>2026</v>
      </c>
      <c r="D694" t="inlineStr">
        <is>
          <t>Studio</t>
        </is>
      </c>
      <c r="E694" t="inlineStr">
        <is>
          <t>Receita - Outros</t>
        </is>
      </c>
      <c r="F694" t="inlineStr">
        <is>
          <t>Receita não categorizada</t>
        </is>
      </c>
      <c r="G694" t="inlineStr">
        <is>
          <t>Receita</t>
        </is>
      </c>
      <c r="H694" s="3" t="n">
        <v>486.6</v>
      </c>
      <c r="I694" t="inlineStr">
        <is>
          <t>Pix</t>
        </is>
      </c>
      <c r="J694" t="inlineStr">
        <is>
          <t>Não</t>
        </is>
      </c>
      <c r="K694" t="inlineStr">
        <is>
          <t>Eventual</t>
        </is>
      </c>
      <c r="L694" t="inlineStr"/>
      <c r="M694" t="inlineStr">
        <is>
          <t>Mercado Pago account_statement-3b5a5492-8314-4c08-9511-4dbebbc07c06 - cópia.xlsx</t>
        </is>
      </c>
      <c r="N694" t="inlineStr">
        <is>
          <t>Recebido</t>
        </is>
      </c>
      <c r="O694" t="inlineStr">
        <is>
          <t>Pagamento com Código QR Pix SOLANGE DOS SANTOS LIMA</t>
        </is>
      </c>
    </row>
    <row r="695">
      <c r="A695" s="29" t="n">
        <v>46171</v>
      </c>
      <c r="B695" t="n">
        <v>5</v>
      </c>
      <c r="C695" t="n">
        <v>2026</v>
      </c>
      <c r="D695" t="inlineStr">
        <is>
          <t>Pessoal</t>
        </is>
      </c>
      <c r="E695" t="inlineStr">
        <is>
          <t>Contas Variáveis</t>
        </is>
      </c>
      <c r="F695" t="inlineStr">
        <is>
          <t>iFood</t>
        </is>
      </c>
      <c r="G695" t="inlineStr">
        <is>
          <t>Despesa</t>
        </is>
      </c>
      <c r="H695" s="3" t="n">
        <v>-34.97</v>
      </c>
      <c r="I695" t="inlineStr">
        <is>
          <t>Pix</t>
        </is>
      </c>
      <c r="J695" t="inlineStr">
        <is>
          <t>Não</t>
        </is>
      </c>
      <c r="K695" t="inlineStr">
        <is>
          <t>Eventual</t>
        </is>
      </c>
      <c r="L695" t="inlineStr"/>
      <c r="M695" t="inlineStr">
        <is>
          <t>Mercado Pago account_statement-3b5a5492-8314-4c08-9511-4dbebbc07c06 - cópia.xlsx</t>
        </is>
      </c>
      <c r="N695" t="inlineStr">
        <is>
          <t>Sem comprovante</t>
        </is>
      </c>
      <c r="O695" t="inlineStr">
        <is>
          <t>Pagamento com QR Pix IFOOD.COM AGENCIA DE RESTAURANTES ONLINE S.A.</t>
        </is>
      </c>
    </row>
    <row r="696">
      <c r="A696" s="29" t="n">
        <v>46171</v>
      </c>
      <c r="B696" t="n">
        <v>5</v>
      </c>
      <c r="C696" t="n">
        <v>2026</v>
      </c>
      <c r="D696" t="inlineStr">
        <is>
          <t>Studio</t>
        </is>
      </c>
      <c r="E696" t="inlineStr">
        <is>
          <t>Outros</t>
        </is>
      </c>
      <c r="F696" t="inlineStr">
        <is>
          <t>Pagamento Cartão Nubank</t>
        </is>
      </c>
      <c r="G696" t="inlineStr">
        <is>
          <t>Despesa</t>
        </is>
      </c>
      <c r="H696" s="3" t="n">
        <v>-3637.73</v>
      </c>
      <c r="I696" t="inlineStr">
        <is>
          <t>Pix</t>
        </is>
      </c>
      <c r="J696" t="inlineStr">
        <is>
          <t>Não</t>
        </is>
      </c>
      <c r="K696" t="inlineStr">
        <is>
          <t>Eventual</t>
        </is>
      </c>
      <c r="L696" t="inlineStr"/>
      <c r="M696" t="inlineStr">
        <is>
          <t>Mercado Pago account_statement-3b5a5492-8314-4c08-9511-4dbebbc07c06 - cópia.xlsx</t>
        </is>
      </c>
      <c r="N696" t="inlineStr">
        <is>
          <t>Sem comprovante</t>
        </is>
      </c>
      <c r="O696" t="inlineStr">
        <is>
          <t>Pagamento com QR Pix NU PAGAMENTOS SA</t>
        </is>
      </c>
    </row>
    <row r="697">
      <c r="A697" s="29" t="n">
        <v>46171</v>
      </c>
      <c r="B697" t="n">
        <v>5</v>
      </c>
      <c r="C697" t="n">
        <v>2026</v>
      </c>
      <c r="D697" t="inlineStr">
        <is>
          <t>Studio</t>
        </is>
      </c>
      <c r="E697" t="inlineStr">
        <is>
          <t>Outros</t>
        </is>
      </c>
      <c r="F697" t="inlineStr">
        <is>
          <t>Serviços Online / Domínio</t>
        </is>
      </c>
      <c r="G697" t="inlineStr">
        <is>
          <t>Despesa</t>
        </is>
      </c>
      <c r="H697" s="3" t="n">
        <v>-76</v>
      </c>
      <c r="I697" t="inlineStr">
        <is>
          <t>Pix</t>
        </is>
      </c>
      <c r="J697" t="inlineStr">
        <is>
          <t>Não</t>
        </is>
      </c>
      <c r="K697" t="inlineStr">
        <is>
          <t>Eventual</t>
        </is>
      </c>
      <c r="L697" t="inlineStr"/>
      <c r="M697" t="inlineStr">
        <is>
          <t>Mercado Pago account_statement-3b5a5492-8314-4c08-9511-4dbebbc07c06 - cópia.xlsx</t>
        </is>
      </c>
      <c r="N697" t="inlineStr">
        <is>
          <t>Sem comprovante</t>
        </is>
      </c>
      <c r="O697" t="inlineStr">
        <is>
          <t>Pagamento com QR Pix NUCLEO DE INFORMACAO E COORDENACAO DO PONTO BR - NIC .BR</t>
        </is>
      </c>
    </row>
    <row r="698">
      <c r="A698" s="29" t="n">
        <v>46171</v>
      </c>
      <c r="B698" t="n">
        <v>5</v>
      </c>
      <c r="C698" t="n">
        <v>2026</v>
      </c>
      <c r="D698" t="inlineStr">
        <is>
          <t>Studio</t>
        </is>
      </c>
      <c r="E698" t="inlineStr">
        <is>
          <t>Outros</t>
        </is>
      </c>
      <c r="F698" t="inlineStr">
        <is>
          <t>Pagamento Cartão Nubank</t>
        </is>
      </c>
      <c r="G698" t="inlineStr">
        <is>
          <t>Receita</t>
        </is>
      </c>
      <c r="H698" s="3" t="n">
        <v>3637.73</v>
      </c>
      <c r="I698" t="inlineStr">
        <is>
          <t>Pix</t>
        </is>
      </c>
      <c r="J698" t="inlineStr">
        <is>
          <t>Não</t>
        </is>
      </c>
      <c r="K698" t="inlineStr">
        <is>
          <t>Eventual</t>
        </is>
      </c>
      <c r="L698" t="inlineStr"/>
      <c r="M698" t="inlineStr">
        <is>
          <t>Mercado Pago account_statement-3b5a5492-8314-4c08-9511-4dbebbc07c06 - cópia.xlsx</t>
        </is>
      </c>
      <c r="N698" t="inlineStr">
        <is>
          <t>Recebido</t>
        </is>
      </c>
      <c r="O698" t="inlineStr">
        <is>
          <t>Pagamento com código QR Pix - Cancelado NU PAGAMENTOS SA</t>
        </is>
      </c>
    </row>
    <row r="699">
      <c r="A699" s="29" t="n">
        <v>46171</v>
      </c>
      <c r="B699" t="n">
        <v>5</v>
      </c>
      <c r="C699" t="n">
        <v>2026</v>
      </c>
      <c r="D699" t="inlineStr">
        <is>
          <t>Studio</t>
        </is>
      </c>
      <c r="E699" t="inlineStr">
        <is>
          <t>Outros</t>
        </is>
      </c>
      <c r="F699" t="inlineStr">
        <is>
          <t>Pagamento Cartão Bradesco</t>
        </is>
      </c>
      <c r="G699" t="inlineStr">
        <is>
          <t>Despesa</t>
        </is>
      </c>
      <c r="H699" s="3" t="n">
        <v>-1077.27</v>
      </c>
      <c r="I699" t="inlineStr">
        <is>
          <t>Boleto</t>
        </is>
      </c>
      <c r="J699" t="inlineStr">
        <is>
          <t>Não</t>
        </is>
      </c>
      <c r="K699" t="inlineStr">
        <is>
          <t>Eventual</t>
        </is>
      </c>
      <c r="L699" t="inlineStr"/>
      <c r="M699" t="inlineStr">
        <is>
          <t>Mercado Pago account_statement-3b5a5492-8314-4c08-9511-4dbebbc07c06 - cópia.xlsx</t>
        </is>
      </c>
      <c r="N699" t="inlineStr">
        <is>
          <t>Sem comprovante</t>
        </is>
      </c>
      <c r="O699" t="inlineStr">
        <is>
          <t>Pagamento de conta Banco Bradesco S.A.</t>
        </is>
      </c>
    </row>
    <row r="700">
      <c r="A700" s="29" t="n">
        <v>46171</v>
      </c>
      <c r="B700" t="n">
        <v>5</v>
      </c>
      <c r="C700" t="n">
        <v>2026</v>
      </c>
      <c r="D700" t="inlineStr">
        <is>
          <t>Geral</t>
        </is>
      </c>
      <c r="E700" t="inlineStr">
        <is>
          <t>Outros</t>
        </is>
      </c>
      <c r="F700" t="inlineStr">
        <is>
          <t>Pagamento de fatura cartão</t>
        </is>
      </c>
      <c r="G700" t="inlineStr">
        <is>
          <t>Despesa</t>
        </is>
      </c>
      <c r="H700" s="3" t="n">
        <v>-2647.32</v>
      </c>
      <c r="I700" t="inlineStr">
        <is>
          <t>Outro</t>
        </is>
      </c>
      <c r="J700" t="inlineStr">
        <is>
          <t>Não</t>
        </is>
      </c>
      <c r="K700" t="inlineStr">
        <is>
          <t>Eventual</t>
        </is>
      </c>
      <c r="L700" t="inlineStr"/>
      <c r="M700" t="inlineStr">
        <is>
          <t>Nubank NU_370124875_01MAI2026_31MAI2026.csv</t>
        </is>
      </c>
      <c r="N700" t="inlineStr">
        <is>
          <t>Sem comprovante</t>
        </is>
      </c>
      <c r="O700" t="inlineStr">
        <is>
          <t>Pagamento de fatura</t>
        </is>
      </c>
    </row>
    <row r="701">
      <c r="A701" s="29" t="n">
        <v>46171</v>
      </c>
      <c r="B701" t="n">
        <v>5</v>
      </c>
      <c r="C701" t="n">
        <v>2026</v>
      </c>
      <c r="D701" t="inlineStr">
        <is>
          <t>Geral</t>
        </is>
      </c>
      <c r="E701" t="inlineStr">
        <is>
          <t>Transferência - Denise</t>
        </is>
      </c>
      <c r="F701" t="inlineStr">
        <is>
          <t>Pix Bruno→Denise</t>
        </is>
      </c>
      <c r="G701" t="inlineStr">
        <is>
          <t>Despesa</t>
        </is>
      </c>
      <c r="H701" s="3" t="n">
        <v>-3640</v>
      </c>
      <c r="I701" t="inlineStr">
        <is>
          <t>Pix</t>
        </is>
      </c>
      <c r="J701" t="inlineStr">
        <is>
          <t>Não</t>
        </is>
      </c>
      <c r="K701" t="inlineStr">
        <is>
          <t>Eventual</t>
        </is>
      </c>
      <c r="L701" t="inlineStr"/>
      <c r="M701" t="inlineStr">
        <is>
          <t>Mercado Pago account_statement-3b5a5492-8314-4c08-9511-4dbebbc07c06 - cópia.xlsx</t>
        </is>
      </c>
      <c r="N701" t="inlineStr">
        <is>
          <t>Sem comprovante</t>
        </is>
      </c>
      <c r="O701" t="inlineStr">
        <is>
          <t>Pix enviado Denise de Paula</t>
        </is>
      </c>
    </row>
    <row r="702">
      <c r="A702" s="29" t="n">
        <v>46171</v>
      </c>
      <c r="B702" t="n">
        <v>5</v>
      </c>
      <c r="C702" t="n">
        <v>2026</v>
      </c>
      <c r="D702" t="inlineStr">
        <is>
          <t>Studio</t>
        </is>
      </c>
      <c r="E702" t="inlineStr">
        <is>
          <t>Pessoal</t>
        </is>
      </c>
      <c r="F702" t="inlineStr">
        <is>
          <t>Marco</t>
        </is>
      </c>
      <c r="G702" t="inlineStr">
        <is>
          <t>Despesa</t>
        </is>
      </c>
      <c r="H702" s="3" t="n">
        <v>-823.05</v>
      </c>
      <c r="I702" t="inlineStr">
        <is>
          <t>Pix</t>
        </is>
      </c>
      <c r="J702" t="inlineStr">
        <is>
          <t>Não</t>
        </is>
      </c>
      <c r="K702" t="inlineStr">
        <is>
          <t>Eventual</t>
        </is>
      </c>
      <c r="L702" t="inlineStr"/>
      <c r="M702" t="inlineStr">
        <is>
          <t>Mercado Pago account_statement-3b5a5492-8314-4c08-9511-4dbebbc07c06 - cópia.xlsx</t>
        </is>
      </c>
      <c r="N702" t="inlineStr">
        <is>
          <t>Sem comprovante</t>
        </is>
      </c>
      <c r="O702" t="inlineStr">
        <is>
          <t>Pix enviado Marco Aurelio de Moura Leite</t>
        </is>
      </c>
    </row>
    <row r="703">
      <c r="A703" s="29" t="n">
        <v>46171</v>
      </c>
      <c r="B703" t="n">
        <v>5</v>
      </c>
      <c r="C703" t="n">
        <v>2026</v>
      </c>
      <c r="D703" t="inlineStr">
        <is>
          <t>Studio</t>
        </is>
      </c>
      <c r="E703" t="inlineStr">
        <is>
          <t>Receita - Outros</t>
        </is>
      </c>
      <c r="F703" t="inlineStr">
        <is>
          <t>Receita não categorizada</t>
        </is>
      </c>
      <c r="G703" t="inlineStr">
        <is>
          <t>Receita</t>
        </is>
      </c>
      <c r="H703" s="3" t="n">
        <v>429</v>
      </c>
      <c r="I703" t="inlineStr">
        <is>
          <t>Pix</t>
        </is>
      </c>
      <c r="J703" t="inlineStr">
        <is>
          <t>Não</t>
        </is>
      </c>
      <c r="K703" t="inlineStr">
        <is>
          <t>Eventual</t>
        </is>
      </c>
      <c r="L703" t="inlineStr"/>
      <c r="M703" t="inlineStr">
        <is>
          <t>Mercado Pago account_statement-3b5a5492-8314-4c08-9511-4dbebbc07c06 - cópia.xlsx</t>
        </is>
      </c>
      <c r="N703" t="inlineStr">
        <is>
          <t>Recebido</t>
        </is>
      </c>
      <c r="O703" t="inlineStr">
        <is>
          <t>Pix recebido 34.776.184 SILVANETE OLIVEIRA DE LIMA</t>
        </is>
      </c>
    </row>
    <row r="704">
      <c r="A704" s="29" t="n">
        <v>46171</v>
      </c>
      <c r="B704" t="n">
        <v>5</v>
      </c>
      <c r="C704" t="n">
        <v>2026</v>
      </c>
      <c r="D704" t="inlineStr">
        <is>
          <t>Studio</t>
        </is>
      </c>
      <c r="E704" t="inlineStr">
        <is>
          <t>Receita - Outros</t>
        </is>
      </c>
      <c r="F704" t="inlineStr">
        <is>
          <t>Receita não categorizada</t>
        </is>
      </c>
      <c r="G704" t="inlineStr">
        <is>
          <t>Receita</t>
        </is>
      </c>
      <c r="H704" s="3" t="n">
        <v>60</v>
      </c>
      <c r="I704" t="inlineStr">
        <is>
          <t>Pix</t>
        </is>
      </c>
      <c r="J704" t="inlineStr">
        <is>
          <t>Não</t>
        </is>
      </c>
      <c r="K704" t="inlineStr">
        <is>
          <t>Eventual</t>
        </is>
      </c>
      <c r="L704" t="inlineStr"/>
      <c r="M704" t="inlineStr">
        <is>
          <t>Mercado Pago account_statement-3b5a5492-8314-4c08-9511-4dbebbc07c06 - cópia.xlsx</t>
        </is>
      </c>
      <c r="N704" t="inlineStr">
        <is>
          <t>Recebido</t>
        </is>
      </c>
      <c r="O704" t="inlineStr">
        <is>
          <t>Pix recebido 34.776.184 SILVANETE OLIVEIRA DE LIMA</t>
        </is>
      </c>
    </row>
    <row r="705">
      <c r="A705" s="29" t="n">
        <v>46171</v>
      </c>
      <c r="B705" t="n">
        <v>5</v>
      </c>
      <c r="C705" t="n">
        <v>2026</v>
      </c>
      <c r="D705" t="inlineStr">
        <is>
          <t>Studio</t>
        </is>
      </c>
      <c r="E705" t="inlineStr">
        <is>
          <t>Receita - Denise (Salão)</t>
        </is>
      </c>
      <c r="F705" t="inlineStr">
        <is>
          <t>Depósito recebido de Denise / Salão</t>
        </is>
      </c>
      <c r="G705" t="inlineStr">
        <is>
          <t>Receita</t>
        </is>
      </c>
      <c r="H705" s="3" t="n">
        <v>3100</v>
      </c>
      <c r="I705" t="inlineStr">
        <is>
          <t>Pix</t>
        </is>
      </c>
      <c r="J705" t="inlineStr">
        <is>
          <t>Não</t>
        </is>
      </c>
      <c r="K705" t="inlineStr">
        <is>
          <t>Eventual</t>
        </is>
      </c>
      <c r="L705" t="inlineStr"/>
      <c r="M705" t="inlineStr">
        <is>
          <t>Mercado Pago account_statement-3b5a5492-8314-4c08-9511-4dbebbc07c06 - cópia.xlsx</t>
        </is>
      </c>
      <c r="N705" t="inlineStr">
        <is>
          <t>Recebido</t>
        </is>
      </c>
      <c r="O705" t="inlineStr">
        <is>
          <t>Pix recebido DENISE DE PAULA CENTRO DE ESTETICA LTDA</t>
        </is>
      </c>
    </row>
    <row r="706">
      <c r="A706" s="29" t="n">
        <v>46171</v>
      </c>
      <c r="B706" t="n">
        <v>5</v>
      </c>
      <c r="C706" t="n">
        <v>2026</v>
      </c>
      <c r="D706" t="inlineStr">
        <is>
          <t>Geral</t>
        </is>
      </c>
      <c r="E706" t="inlineStr">
        <is>
          <t>Pessoal</t>
        </is>
      </c>
      <c r="F706" t="inlineStr">
        <is>
          <t>Bruno Luiz (familiar)</t>
        </is>
      </c>
      <c r="G706" t="inlineStr">
        <is>
          <t>Despesa</t>
        </is>
      </c>
      <c r="H706" s="3" t="n">
        <v>-130</v>
      </c>
      <c r="I706" t="inlineStr">
        <is>
          <t>Pix</t>
        </is>
      </c>
      <c r="J706" t="inlineStr">
        <is>
          <t>Não</t>
        </is>
      </c>
      <c r="K706" t="inlineStr">
        <is>
          <t>Eventual</t>
        </is>
      </c>
      <c r="L706" t="inlineStr"/>
      <c r="M706" t="inlineStr">
        <is>
          <t>Nubank NU_370124875_01MAI2026_31MAI2026.csv</t>
        </is>
      </c>
      <c r="N706" t="inlineStr">
        <is>
          <t>Sem comprovante</t>
        </is>
      </c>
      <c r="O706" t="inlineStr">
        <is>
          <t>Transferência enviada pelo Pix - Bruno Luiz Sastre Seus Junior - •••.516.739-•• - BCO BRADESCO S.A. (0237) Agência: 3925 Conta: 165900-6</t>
        </is>
      </c>
    </row>
    <row r="707">
      <c r="A707" s="29" t="n">
        <v>46171</v>
      </c>
      <c r="B707" t="n">
        <v>5</v>
      </c>
      <c r="C707" t="n">
        <v>2026</v>
      </c>
      <c r="D707" t="inlineStr">
        <is>
          <t>Geral</t>
        </is>
      </c>
      <c r="E707" t="inlineStr">
        <is>
          <t>Outros</t>
        </is>
      </c>
      <c r="F707" t="inlineStr">
        <is>
          <t>Transferência Pix Enviada</t>
        </is>
      </c>
      <c r="G707" t="inlineStr">
        <is>
          <t>Despesa</t>
        </is>
      </c>
      <c r="H707" s="3" t="n">
        <v>-50</v>
      </c>
      <c r="I707" t="inlineStr">
        <is>
          <t>Pix</t>
        </is>
      </c>
      <c r="J707" t="inlineStr">
        <is>
          <t>Não</t>
        </is>
      </c>
      <c r="K707" t="inlineStr">
        <is>
          <t>Eventual</t>
        </is>
      </c>
      <c r="L707" t="inlineStr"/>
      <c r="M707" t="inlineStr">
        <is>
          <t>Nubank NU_370124875_01MAI2026_31MAI2026.csv</t>
        </is>
      </c>
      <c r="N707" t="inlineStr">
        <is>
          <t>Sem comprovante</t>
        </is>
      </c>
      <c r="O707" t="inlineStr">
        <is>
          <t>Transferência enviada pelo Pix - Isabella Souza Lucas - •••.149.805-•• - NEON PAGAMENTOS S.A. IP (0536) Agência: 655 Conta: 15467692-6</t>
        </is>
      </c>
    </row>
    <row r="708">
      <c r="A708" s="29" t="n">
        <v>46171</v>
      </c>
      <c r="B708" t="n">
        <v>5</v>
      </c>
      <c r="C708" t="n">
        <v>2026</v>
      </c>
      <c r="D708" t="inlineStr">
        <is>
          <t>Geral</t>
        </is>
      </c>
      <c r="E708" t="inlineStr">
        <is>
          <t>Outros</t>
        </is>
      </c>
      <c r="F708" t="inlineStr">
        <is>
          <t>Transferência Pix Enviada</t>
        </is>
      </c>
      <c r="G708" t="inlineStr">
        <is>
          <t>Despesa</t>
        </is>
      </c>
      <c r="H708" s="3" t="n">
        <v>-2.17</v>
      </c>
      <c r="I708" t="inlineStr">
        <is>
          <t>Pix</t>
        </is>
      </c>
      <c r="J708" t="inlineStr">
        <is>
          <t>Não</t>
        </is>
      </c>
      <c r="K708" t="inlineStr">
        <is>
          <t>Eventual</t>
        </is>
      </c>
      <c r="L708" t="inlineStr"/>
      <c r="M708" t="inlineStr">
        <is>
          <t>Nubank NU_370124875_01MAI2026_31MAI2026.csv</t>
        </is>
      </c>
      <c r="N708" t="inlineStr">
        <is>
          <t>Sem comprovante</t>
        </is>
      </c>
      <c r="O708" t="inlineStr">
        <is>
          <t>Transferência enviada pelo Pix - LUCINEIA DA COSTA LOPES - •••.609.039-•• - BCO SANTANDER (BRASIL) S.A. (0033) Agência: 1220 Conta: 1011649-1</t>
        </is>
      </c>
    </row>
    <row r="709">
      <c r="A709" s="29" t="n">
        <v>46171</v>
      </c>
      <c r="B709" t="n">
        <v>5</v>
      </c>
      <c r="C709" t="n">
        <v>2026</v>
      </c>
      <c r="D709" t="inlineStr">
        <is>
          <t>Geral</t>
        </is>
      </c>
      <c r="E709" t="inlineStr">
        <is>
          <t>Outros</t>
        </is>
      </c>
      <c r="F709" t="inlineStr">
        <is>
          <t>Transferência Pix Enviada</t>
        </is>
      </c>
      <c r="G709" t="inlineStr">
        <is>
          <t>Despesa</t>
        </is>
      </c>
      <c r="H709" s="3" t="n">
        <v>-125</v>
      </c>
      <c r="I709" t="inlineStr">
        <is>
          <t>Pix</t>
        </is>
      </c>
      <c r="J709" t="inlineStr">
        <is>
          <t>Não</t>
        </is>
      </c>
      <c r="K709" t="inlineStr">
        <is>
          <t>Eventual</t>
        </is>
      </c>
      <c r="L709" t="inlineStr"/>
      <c r="M709" t="inlineStr">
        <is>
          <t>Nubank NU_370124875_01MAI2026_31MAI2026.csv</t>
        </is>
      </c>
      <c r="N709" t="inlineStr">
        <is>
          <t>Sem comprovante</t>
        </is>
      </c>
      <c r="O709" t="inlineStr">
        <is>
          <t>Transferência enviada pelo Pix - LUCINEIA DA COSTA LOPES - •••.609.039-•• - BCO SANTANDER (BRASIL) S.A. (0033) Agência: 1220 Conta: 1011649-1</t>
        </is>
      </c>
    </row>
    <row r="710">
      <c r="A710" s="29" t="n">
        <v>46172</v>
      </c>
      <c r="B710" t="n">
        <v>5</v>
      </c>
      <c r="C710" t="n">
        <v>2026</v>
      </c>
      <c r="D710" t="inlineStr">
        <is>
          <t>Pessoal</t>
        </is>
      </c>
      <c r="E710" t="inlineStr">
        <is>
          <t>Contas Variáveis</t>
        </is>
      </c>
      <c r="F710" t="inlineStr">
        <is>
          <t>Compra no débito</t>
        </is>
      </c>
      <c r="G710" t="inlineStr">
        <is>
          <t>Despesa</t>
        </is>
      </c>
      <c r="H710" s="3" t="n">
        <v>-39</v>
      </c>
      <c r="I710" t="inlineStr">
        <is>
          <t>Débito</t>
        </is>
      </c>
      <c r="J710" t="inlineStr">
        <is>
          <t>Não</t>
        </is>
      </c>
      <c r="K710" t="inlineStr">
        <is>
          <t>Eventual</t>
        </is>
      </c>
      <c r="L710" t="inlineStr"/>
      <c r="M710" t="inlineStr">
        <is>
          <t>Nubank NU_370124875_01MAI2026_31MAI2026.csv</t>
        </is>
      </c>
      <c r="N710" t="inlineStr">
        <is>
          <t>Sem comprovante</t>
        </is>
      </c>
      <c r="O710" t="inlineStr">
        <is>
          <t>Compra no débito - CASA DE PAO BETHELEM L</t>
        </is>
      </c>
    </row>
    <row r="711">
      <c r="A711" s="29" t="n">
        <v>46172</v>
      </c>
      <c r="B711" t="n">
        <v>5</v>
      </c>
      <c r="C711" t="n">
        <v>2026</v>
      </c>
      <c r="D711" t="inlineStr">
        <is>
          <t>Pessoal</t>
        </is>
      </c>
      <c r="E711" t="inlineStr">
        <is>
          <t>Contas Variáveis</t>
        </is>
      </c>
      <c r="F711" t="inlineStr">
        <is>
          <t>Compra no débito</t>
        </is>
      </c>
      <c r="G711" t="inlineStr">
        <is>
          <t>Despesa</t>
        </is>
      </c>
      <c r="H711" s="3" t="n">
        <v>-20</v>
      </c>
      <c r="I711" t="inlineStr">
        <is>
          <t>Débito</t>
        </is>
      </c>
      <c r="J711" t="inlineStr">
        <is>
          <t>Não</t>
        </is>
      </c>
      <c r="K711" t="inlineStr">
        <is>
          <t>Eventual</t>
        </is>
      </c>
      <c r="L711" t="inlineStr"/>
      <c r="M711" t="inlineStr">
        <is>
          <t>Nubank NU_370124875_01MAI2026_31MAI2026.csv</t>
        </is>
      </c>
      <c r="N711" t="inlineStr">
        <is>
          <t>Sem comprovante</t>
        </is>
      </c>
      <c r="O711" t="inlineStr">
        <is>
          <t>Compra no débito - CASA DE PAO BETHELEM L</t>
        </is>
      </c>
    </row>
    <row r="712">
      <c r="A712" s="29" t="n">
        <v>46172</v>
      </c>
      <c r="B712" t="n">
        <v>5</v>
      </c>
      <c r="C712" t="n">
        <v>2026</v>
      </c>
      <c r="D712" t="inlineStr">
        <is>
          <t>Pessoal</t>
        </is>
      </c>
      <c r="E712" t="inlineStr">
        <is>
          <t>Contas Variáveis</t>
        </is>
      </c>
      <c r="F712" t="inlineStr">
        <is>
          <t>Compra no débito</t>
        </is>
      </c>
      <c r="G712" t="inlineStr">
        <is>
          <t>Despesa</t>
        </is>
      </c>
      <c r="H712" s="3" t="n">
        <v>-50</v>
      </c>
      <c r="I712" t="inlineStr">
        <is>
          <t>Débito</t>
        </is>
      </c>
      <c r="J712" t="inlineStr">
        <is>
          <t>Não</t>
        </is>
      </c>
      <c r="K712" t="inlineStr">
        <is>
          <t>Eventual</t>
        </is>
      </c>
      <c r="L712" t="inlineStr"/>
      <c r="M712" t="inlineStr">
        <is>
          <t>Nubank NU_370124875_01MAI2026_31MAI2026.csv</t>
        </is>
      </c>
      <c r="N712" t="inlineStr">
        <is>
          <t>Sem comprovante</t>
        </is>
      </c>
      <c r="O712" t="inlineStr">
        <is>
          <t>Compra no débito - MP *INGRESSO</t>
        </is>
      </c>
    </row>
    <row r="713">
      <c r="A713" s="29" t="n">
        <v>46172</v>
      </c>
      <c r="B713" t="n">
        <v>5</v>
      </c>
      <c r="C713" t="n">
        <v>2026</v>
      </c>
      <c r="D713" t="inlineStr">
        <is>
          <t>Pessoal</t>
        </is>
      </c>
      <c r="E713" t="inlineStr">
        <is>
          <t>Contas Variáveis</t>
        </is>
      </c>
      <c r="F713" t="inlineStr">
        <is>
          <t>Compra no débito</t>
        </is>
      </c>
      <c r="G713" t="inlineStr">
        <is>
          <t>Despesa</t>
        </is>
      </c>
      <c r="H713" s="3" t="n">
        <v>-5.7</v>
      </c>
      <c r="I713" t="inlineStr">
        <is>
          <t>Débito</t>
        </is>
      </c>
      <c r="J713" t="inlineStr">
        <is>
          <t>Não</t>
        </is>
      </c>
      <c r="K713" t="inlineStr">
        <is>
          <t>Eventual</t>
        </is>
      </c>
      <c r="L713" t="inlineStr"/>
      <c r="M713" t="inlineStr">
        <is>
          <t>Nubank NU_370124875_01MAI2026_31MAI2026.csv</t>
        </is>
      </c>
      <c r="N713" t="inlineStr">
        <is>
          <t>Sem comprovante</t>
        </is>
      </c>
      <c r="O713" t="inlineStr">
        <is>
          <t>Compra no débito - PISTA 1</t>
        </is>
      </c>
    </row>
    <row r="714">
      <c r="A714" s="29" t="n">
        <v>46172</v>
      </c>
      <c r="B714" t="n">
        <v>5</v>
      </c>
      <c r="C714" t="n">
        <v>2026</v>
      </c>
      <c r="D714" t="inlineStr">
        <is>
          <t>Pessoal</t>
        </is>
      </c>
      <c r="E714" t="inlineStr">
        <is>
          <t>Contas Variáveis</t>
        </is>
      </c>
      <c r="F714" t="inlineStr">
        <is>
          <t>Compra no débito</t>
        </is>
      </c>
      <c r="G714" t="inlineStr">
        <is>
          <t>Despesa</t>
        </is>
      </c>
      <c r="H714" s="3" t="n">
        <v>-2.85</v>
      </c>
      <c r="I714" t="inlineStr">
        <is>
          <t>Débito</t>
        </is>
      </c>
      <c r="J714" t="inlineStr">
        <is>
          <t>Não</t>
        </is>
      </c>
      <c r="K714" t="inlineStr">
        <is>
          <t>Eventual</t>
        </is>
      </c>
      <c r="L714" t="inlineStr"/>
      <c r="M714" t="inlineStr">
        <is>
          <t>Nubank NU_370124875_01MAI2026_31MAI2026.csv</t>
        </is>
      </c>
      <c r="N714" t="inlineStr">
        <is>
          <t>Sem comprovante</t>
        </is>
      </c>
      <c r="O714" t="inlineStr">
        <is>
          <t>Compra no débito - PISTA 2</t>
        </is>
      </c>
    </row>
    <row r="715">
      <c r="A715" s="29" t="n">
        <v>46172</v>
      </c>
      <c r="B715" t="n">
        <v>5</v>
      </c>
      <c r="C715" t="n">
        <v>2026</v>
      </c>
      <c r="D715" t="inlineStr">
        <is>
          <t>Pessoal</t>
        </is>
      </c>
      <c r="E715" t="inlineStr">
        <is>
          <t>Contas Variáveis</t>
        </is>
      </c>
      <c r="F715" t="inlineStr">
        <is>
          <t>Compra no débito</t>
        </is>
      </c>
      <c r="G715" t="inlineStr">
        <is>
          <t>Despesa</t>
        </is>
      </c>
      <c r="H715" s="3" t="n">
        <v>-2.85</v>
      </c>
      <c r="I715" t="inlineStr">
        <is>
          <t>Débito</t>
        </is>
      </c>
      <c r="J715" t="inlineStr">
        <is>
          <t>Não</t>
        </is>
      </c>
      <c r="K715" t="inlineStr">
        <is>
          <t>Eventual</t>
        </is>
      </c>
      <c r="L715" t="inlineStr"/>
      <c r="M715" t="inlineStr">
        <is>
          <t>Nubank NU_370124875_01MAI2026_31MAI2026.csv</t>
        </is>
      </c>
      <c r="N715" t="inlineStr">
        <is>
          <t>Sem comprovante</t>
        </is>
      </c>
      <c r="O715" t="inlineStr">
        <is>
          <t>Compra no débito - PISTA 3</t>
        </is>
      </c>
    </row>
    <row r="716">
      <c r="A716" s="29" t="n">
        <v>46172</v>
      </c>
      <c r="B716" t="n">
        <v>5</v>
      </c>
      <c r="C716" t="n">
        <v>2026</v>
      </c>
      <c r="D716" t="inlineStr">
        <is>
          <t>Pessoal</t>
        </is>
      </c>
      <c r="E716" t="inlineStr">
        <is>
          <t>Contas Variáveis</t>
        </is>
      </c>
      <c r="F716" t="inlineStr">
        <is>
          <t>Farmácia</t>
        </is>
      </c>
      <c r="G716" t="inlineStr">
        <is>
          <t>Despesa</t>
        </is>
      </c>
      <c r="H716" s="3" t="n">
        <v>-50.47</v>
      </c>
      <c r="I716" t="inlineStr">
        <is>
          <t>Débito</t>
        </is>
      </c>
      <c r="J716" t="inlineStr">
        <is>
          <t>Não</t>
        </is>
      </c>
      <c r="K716" t="inlineStr">
        <is>
          <t>Eventual</t>
        </is>
      </c>
      <c r="L716" t="inlineStr"/>
      <c r="M716" t="inlineStr">
        <is>
          <t>Nubank NU_370124875_01MAI2026_31MAI2026.csv</t>
        </is>
      </c>
      <c r="N716" t="inlineStr">
        <is>
          <t>Sem comprovante</t>
        </is>
      </c>
      <c r="O716" t="inlineStr">
        <is>
          <t>Compra no débito - RAIA373</t>
        </is>
      </c>
    </row>
    <row r="717">
      <c r="A717" s="29" t="n">
        <v>46172</v>
      </c>
      <c r="B717" t="n">
        <v>5</v>
      </c>
      <c r="C717" t="n">
        <v>2026</v>
      </c>
      <c r="D717" t="inlineStr">
        <is>
          <t>Pessoal</t>
        </is>
      </c>
      <c r="E717" t="inlineStr">
        <is>
          <t>Contas Variáveis</t>
        </is>
      </c>
      <c r="F717" t="inlineStr">
        <is>
          <t>Compra no débito</t>
        </is>
      </c>
      <c r="G717" t="inlineStr">
        <is>
          <t>Despesa</t>
        </is>
      </c>
      <c r="H717" s="3" t="n">
        <v>-32</v>
      </c>
      <c r="I717" t="inlineStr">
        <is>
          <t>Débito</t>
        </is>
      </c>
      <c r="J717" t="inlineStr">
        <is>
          <t>Não</t>
        </is>
      </c>
      <c r="K717" t="inlineStr">
        <is>
          <t>Eventual</t>
        </is>
      </c>
      <c r="L717" t="inlineStr"/>
      <c r="M717" t="inlineStr">
        <is>
          <t>Nubank NU_370124875_01MAI2026_31MAI2026.csv</t>
        </is>
      </c>
      <c r="N717" t="inlineStr">
        <is>
          <t>Sem comprovante</t>
        </is>
      </c>
      <c r="O717" t="inlineStr">
        <is>
          <t>Compra no débito - Ticketmais</t>
        </is>
      </c>
    </row>
    <row r="718">
      <c r="A718" s="29" t="n">
        <v>46172</v>
      </c>
      <c r="B718" t="n">
        <v>5</v>
      </c>
      <c r="C718" t="n">
        <v>2026</v>
      </c>
      <c r="D718" t="inlineStr">
        <is>
          <t>Pessoal</t>
        </is>
      </c>
      <c r="E718" t="inlineStr">
        <is>
          <t>Contas Variáveis</t>
        </is>
      </c>
      <c r="F718" t="inlineStr">
        <is>
          <t>Compra no débito</t>
        </is>
      </c>
      <c r="G718" t="inlineStr">
        <is>
          <t>Despesa</t>
        </is>
      </c>
      <c r="H718" s="3" t="n">
        <v>-6</v>
      </c>
      <c r="I718" t="inlineStr">
        <is>
          <t>Débito</t>
        </is>
      </c>
      <c r="J718" t="inlineStr">
        <is>
          <t>Não</t>
        </is>
      </c>
      <c r="K718" t="inlineStr">
        <is>
          <t>Eventual</t>
        </is>
      </c>
      <c r="L718" t="inlineStr"/>
      <c r="M718" t="inlineStr">
        <is>
          <t>Nubank NU_370124875_01MAI2026_31MAI2026.csv</t>
        </is>
      </c>
      <c r="N718" t="inlineStr">
        <is>
          <t>Sem comprovante</t>
        </is>
      </c>
      <c r="O718" t="inlineStr">
        <is>
          <t>Compra no débito - Ticketmais</t>
        </is>
      </c>
    </row>
    <row r="719">
      <c r="A719" s="29" t="n">
        <v>46172</v>
      </c>
      <c r="B719" t="n">
        <v>5</v>
      </c>
      <c r="C719" t="n">
        <v>2026</v>
      </c>
      <c r="D719" t="inlineStr">
        <is>
          <t>Pessoal</t>
        </is>
      </c>
      <c r="E719" t="inlineStr">
        <is>
          <t>Contas Variáveis</t>
        </is>
      </c>
      <c r="F719" t="inlineStr">
        <is>
          <t>Compra no débito</t>
        </is>
      </c>
      <c r="G719" t="inlineStr">
        <is>
          <t>Despesa</t>
        </is>
      </c>
      <c r="H719" s="3" t="n">
        <v>-10</v>
      </c>
      <c r="I719" t="inlineStr">
        <is>
          <t>Débito</t>
        </is>
      </c>
      <c r="J719" t="inlineStr">
        <is>
          <t>Não</t>
        </is>
      </c>
      <c r="K719" t="inlineStr">
        <is>
          <t>Eventual</t>
        </is>
      </c>
      <c r="L719" t="inlineStr"/>
      <c r="M719" t="inlineStr">
        <is>
          <t>Nubank NU_370124875_01MAI2026_31MAI2026.csv</t>
        </is>
      </c>
      <c r="N719" t="inlineStr">
        <is>
          <t>Sem comprovante</t>
        </is>
      </c>
      <c r="O719" t="inlineStr">
        <is>
          <t>Compra no débito - Ticketmais</t>
        </is>
      </c>
    </row>
    <row r="720">
      <c r="A720" s="29" t="n">
        <v>46172</v>
      </c>
      <c r="B720" t="n">
        <v>5</v>
      </c>
      <c r="C720" t="n">
        <v>2026</v>
      </c>
      <c r="D720" t="inlineStr">
        <is>
          <t>Pessoal</t>
        </is>
      </c>
      <c r="E720" t="inlineStr">
        <is>
          <t>Contas Variáveis</t>
        </is>
      </c>
      <c r="F720" t="inlineStr">
        <is>
          <t>Compra no débito</t>
        </is>
      </c>
      <c r="G720" t="inlineStr">
        <is>
          <t>Despesa</t>
        </is>
      </c>
      <c r="H720" s="3" t="n">
        <v>-16</v>
      </c>
      <c r="I720" t="inlineStr">
        <is>
          <t>Débito</t>
        </is>
      </c>
      <c r="J720" t="inlineStr">
        <is>
          <t>Não</t>
        </is>
      </c>
      <c r="K720" t="inlineStr">
        <is>
          <t>Eventual</t>
        </is>
      </c>
      <c r="L720" t="inlineStr"/>
      <c r="M720" t="inlineStr">
        <is>
          <t>Nubank NU_370124875_01MAI2026_31MAI2026.csv</t>
        </is>
      </c>
      <c r="N720" t="inlineStr">
        <is>
          <t>Sem comprovante</t>
        </is>
      </c>
      <c r="O720" t="inlineStr">
        <is>
          <t>Compra no débito - Ticketmais</t>
        </is>
      </c>
    </row>
    <row r="721">
      <c r="A721" s="29" t="n">
        <v>46172</v>
      </c>
      <c r="B721" t="n">
        <v>5</v>
      </c>
      <c r="C721" t="n">
        <v>2026</v>
      </c>
      <c r="D721" t="inlineStr">
        <is>
          <t>Pessoal</t>
        </is>
      </c>
      <c r="E721" t="inlineStr">
        <is>
          <t>Contas Variáveis</t>
        </is>
      </c>
      <c r="F721" t="inlineStr">
        <is>
          <t>Mercado</t>
        </is>
      </c>
      <c r="G721" t="inlineStr">
        <is>
          <t>Despesa</t>
        </is>
      </c>
      <c r="H721" s="3" t="n">
        <v>-79.97</v>
      </c>
      <c r="I721" t="inlineStr">
        <is>
          <t>Outro</t>
        </is>
      </c>
      <c r="J721" t="inlineStr">
        <is>
          <t>Não</t>
        </is>
      </c>
      <c r="K721" t="inlineStr">
        <is>
          <t>Eventual</t>
        </is>
      </c>
      <c r="L721" t="inlineStr"/>
      <c r="M721" t="inlineStr">
        <is>
          <t>Mercado Pago account_statement-3b5a5492-8314-4c08-9511-4dbebbc07c06 - cópia.xlsx</t>
        </is>
      </c>
      <c r="N721" t="inlineStr">
        <is>
          <t>Sem comprovante</t>
        </is>
      </c>
      <c r="O721" t="inlineStr">
        <is>
          <t>Pagamento Mercado Livre</t>
        </is>
      </c>
    </row>
    <row r="722">
      <c r="A722" s="29" t="n">
        <v>46172</v>
      </c>
      <c r="B722" t="n">
        <v>5</v>
      </c>
      <c r="C722" t="n">
        <v>2026</v>
      </c>
      <c r="D722" t="inlineStr">
        <is>
          <t>Geral</t>
        </is>
      </c>
      <c r="E722" t="inlineStr">
        <is>
          <t>Outros</t>
        </is>
      </c>
      <c r="F722" t="inlineStr">
        <is>
          <t>Transferência Pix Enviada</t>
        </is>
      </c>
      <c r="G722" t="inlineStr">
        <is>
          <t>Despesa</t>
        </is>
      </c>
      <c r="H722" s="3" t="n">
        <v>-92.48999999999999</v>
      </c>
      <c r="I722" t="inlineStr">
        <is>
          <t>Pix</t>
        </is>
      </c>
      <c r="J722" t="inlineStr">
        <is>
          <t>Não</t>
        </is>
      </c>
      <c r="K722" t="inlineStr">
        <is>
          <t>Eventual</t>
        </is>
      </c>
      <c r="L722" t="inlineStr"/>
      <c r="M722" t="inlineStr">
        <is>
          <t>Nubank NU_370124875_01MAI2026_31MAI2026.csv</t>
        </is>
      </c>
      <c r="N722" t="inlineStr">
        <is>
          <t>Sem comprovante</t>
        </is>
      </c>
      <c r="O722" t="inlineStr">
        <is>
          <t>Transferência enviada pelo Pix - CAIXA INSTANTANEA S.A. - 24.038.490/0001-83 - CAIXA ECONOMICA FEDERAL (0104) Agência: 647 Conta: 9999000309224038490-1</t>
        </is>
      </c>
    </row>
    <row r="723">
      <c r="A723" s="29" t="n">
        <v>46172</v>
      </c>
      <c r="B723" t="n">
        <v>5</v>
      </c>
      <c r="C723" t="n">
        <v>2026</v>
      </c>
      <c r="D723" t="inlineStr">
        <is>
          <t>Geral</t>
        </is>
      </c>
      <c r="E723" t="inlineStr">
        <is>
          <t>Outros</t>
        </is>
      </c>
      <c r="F723" t="inlineStr">
        <is>
          <t>Transferência Pix Enviada</t>
        </is>
      </c>
      <c r="G723" t="inlineStr">
        <is>
          <t>Despesa</t>
        </is>
      </c>
      <c r="H723" s="3" t="n">
        <v>-20</v>
      </c>
      <c r="I723" t="inlineStr">
        <is>
          <t>Pix</t>
        </is>
      </c>
      <c r="J723" t="inlineStr">
        <is>
          <t>Não</t>
        </is>
      </c>
      <c r="K723" t="inlineStr">
        <is>
          <t>Eventual</t>
        </is>
      </c>
      <c r="L723" t="inlineStr"/>
      <c r="M723" t="inlineStr">
        <is>
          <t>Nubank NU_370124875_01MAI2026_31MAI2026.csv</t>
        </is>
      </c>
      <c r="N723" t="inlineStr">
        <is>
          <t>Sem comprovante</t>
        </is>
      </c>
      <c r="O723" t="inlineStr">
        <is>
          <t>Transferência enviada pelo Pix - Heitor Camilo Guimarães - •••.945.006-•• - NU PAGAMENTOS - IP (0260) Agência: 1 Conta: 88491967-5</t>
        </is>
      </c>
    </row>
    <row r="724">
      <c r="A724" s="29" t="n">
        <v>46173</v>
      </c>
      <c r="B724" t="n">
        <v>5</v>
      </c>
      <c r="C724" t="n">
        <v>2026</v>
      </c>
      <c r="D724" t="inlineStr">
        <is>
          <t>Pessoal</t>
        </is>
      </c>
      <c r="E724" t="inlineStr">
        <is>
          <t>Contas Variáveis</t>
        </is>
      </c>
      <c r="F724" t="inlineStr">
        <is>
          <t>Compras Diversas</t>
        </is>
      </c>
      <c r="G724" t="inlineStr">
        <is>
          <t>Despesa</t>
        </is>
      </c>
      <c r="H724" s="3" t="n">
        <v>-9.5</v>
      </c>
      <c r="I724" t="inlineStr">
        <is>
          <t>Débito</t>
        </is>
      </c>
      <c r="J724" t="inlineStr">
        <is>
          <t>Não</t>
        </is>
      </c>
      <c r="K724" t="inlineStr">
        <is>
          <t>Eventual</t>
        </is>
      </c>
      <c r="L724" t="inlineStr"/>
      <c r="M724" t="inlineStr">
        <is>
          <t>Nubank NU_370124875_01MAI2026_31MAI2026.csv</t>
        </is>
      </c>
      <c r="N724" t="inlineStr">
        <is>
          <t>Sem comprovante</t>
        </is>
      </c>
      <c r="O724" t="inlineStr">
        <is>
          <t>Compra no débito - CANAL TERRA</t>
        </is>
      </c>
    </row>
    <row r="725">
      <c r="A725" s="29" t="n">
        <v>46173</v>
      </c>
      <c r="B725" t="n">
        <v>5</v>
      </c>
      <c r="C725" t="n">
        <v>2026</v>
      </c>
      <c r="D725" t="inlineStr">
        <is>
          <t>Pessoal</t>
        </is>
      </c>
      <c r="E725" t="inlineStr">
        <is>
          <t>Contas Variáveis</t>
        </is>
      </c>
      <c r="F725" t="inlineStr">
        <is>
          <t>Compra no débito</t>
        </is>
      </c>
      <c r="G725" t="inlineStr">
        <is>
          <t>Despesa</t>
        </is>
      </c>
      <c r="H725" s="3" t="n">
        <v>-2.85</v>
      </c>
      <c r="I725" t="inlineStr">
        <is>
          <t>Débito</t>
        </is>
      </c>
      <c r="J725" t="inlineStr">
        <is>
          <t>Não</t>
        </is>
      </c>
      <c r="K725" t="inlineStr">
        <is>
          <t>Eventual</t>
        </is>
      </c>
      <c r="L725" t="inlineStr"/>
      <c r="M725" t="inlineStr">
        <is>
          <t>Nubank NU_370124875_01MAI2026_31MAI2026.csv</t>
        </is>
      </c>
      <c r="N725" t="inlineStr">
        <is>
          <t>Sem comprovante</t>
        </is>
      </c>
      <c r="O725" t="inlineStr">
        <is>
          <t>Compra no débito - PISTA 1</t>
        </is>
      </c>
    </row>
    <row r="726">
      <c r="A726" s="29" t="n">
        <v>46173</v>
      </c>
      <c r="B726" t="n">
        <v>5</v>
      </c>
      <c r="C726" t="n">
        <v>2026</v>
      </c>
      <c r="D726" t="inlineStr">
        <is>
          <t>Pessoal</t>
        </is>
      </c>
      <c r="E726" t="inlineStr">
        <is>
          <t>Contas Variáveis</t>
        </is>
      </c>
      <c r="F726" t="inlineStr">
        <is>
          <t>Compra no débito</t>
        </is>
      </c>
      <c r="G726" t="inlineStr">
        <is>
          <t>Despesa</t>
        </is>
      </c>
      <c r="H726" s="3" t="n">
        <v>-2.85</v>
      </c>
      <c r="I726" t="inlineStr">
        <is>
          <t>Débito</t>
        </is>
      </c>
      <c r="J726" t="inlineStr">
        <is>
          <t>Não</t>
        </is>
      </c>
      <c r="K726" t="inlineStr">
        <is>
          <t>Eventual</t>
        </is>
      </c>
      <c r="L726" t="inlineStr"/>
      <c r="M726" t="inlineStr">
        <is>
          <t>Nubank NU_370124875_01MAI2026_31MAI2026.csv</t>
        </is>
      </c>
      <c r="N726" t="inlineStr">
        <is>
          <t>Sem comprovante</t>
        </is>
      </c>
      <c r="O726" t="inlineStr">
        <is>
          <t>Compra no débito - PISTA 2</t>
        </is>
      </c>
    </row>
    <row r="727">
      <c r="A727" s="29" t="n">
        <v>46173</v>
      </c>
      <c r="B727" t="n">
        <v>5</v>
      </c>
      <c r="C727" t="n">
        <v>2026</v>
      </c>
      <c r="D727" t="inlineStr">
        <is>
          <t>Pessoal</t>
        </is>
      </c>
      <c r="E727" t="inlineStr">
        <is>
          <t>Contas Variáveis</t>
        </is>
      </c>
      <c r="F727" t="inlineStr">
        <is>
          <t>Compras Diversas</t>
        </is>
      </c>
      <c r="G727" t="inlineStr">
        <is>
          <t>Despesa</t>
        </is>
      </c>
      <c r="H727" s="3" t="n">
        <v>-30.97</v>
      </c>
      <c r="I727" t="inlineStr">
        <is>
          <t>Débito</t>
        </is>
      </c>
      <c r="J727" t="inlineStr">
        <is>
          <t>Não</t>
        </is>
      </c>
      <c r="K727" t="inlineStr">
        <is>
          <t>Eventual</t>
        </is>
      </c>
      <c r="L727" t="inlineStr"/>
      <c r="M727" t="inlineStr">
        <is>
          <t>Nubank NU_370124875_01MAI2026_31MAI2026.csv</t>
        </is>
      </c>
      <c r="N727" t="inlineStr">
        <is>
          <t>Sem comprovante</t>
        </is>
      </c>
      <c r="O727" t="inlineStr">
        <is>
          <t>Compra no débito - TOALDO TULIO 65</t>
        </is>
      </c>
    </row>
    <row r="728">
      <c r="A728" s="29" t="n">
        <v>46173</v>
      </c>
      <c r="B728" t="n">
        <v>5</v>
      </c>
      <c r="C728" t="n">
        <v>2026</v>
      </c>
      <c r="D728" t="inlineStr">
        <is>
          <t>Pessoal</t>
        </is>
      </c>
      <c r="E728" t="inlineStr">
        <is>
          <t>Contas Variáveis</t>
        </is>
      </c>
      <c r="F728" t="inlineStr">
        <is>
          <t>iFood</t>
        </is>
      </c>
      <c r="G728" t="inlineStr">
        <is>
          <t>Despesa</t>
        </is>
      </c>
      <c r="H728" s="3" t="n">
        <v>-58.34</v>
      </c>
      <c r="I728" t="inlineStr">
        <is>
          <t>Pix</t>
        </is>
      </c>
      <c r="J728" t="inlineStr">
        <is>
          <t>Não</t>
        </is>
      </c>
      <c r="K728" t="inlineStr">
        <is>
          <t>Eventual</t>
        </is>
      </c>
      <c r="L728" t="inlineStr"/>
      <c r="M728" t="inlineStr">
        <is>
          <t>Mercado Pago account_statement-3b5a5492-8314-4c08-9511-4dbebbc07c06 - cópia.xlsx</t>
        </is>
      </c>
      <c r="N728" t="inlineStr">
        <is>
          <t>Sem comprovante</t>
        </is>
      </c>
      <c r="O728" t="inlineStr">
        <is>
          <t>Pagamento com QR Pix IFOOD.COM AGENCIA DE RESTAURANTES ONLINE S.A.</t>
        </is>
      </c>
    </row>
    <row r="729">
      <c r="A729" s="29" t="n">
        <v>46173</v>
      </c>
      <c r="B729" t="n">
        <v>5</v>
      </c>
      <c r="C729" t="n">
        <v>2026</v>
      </c>
      <c r="D729" t="inlineStr">
        <is>
          <t>Geral</t>
        </is>
      </c>
      <c r="E729" t="inlineStr">
        <is>
          <t>Contas Fixas</t>
        </is>
      </c>
      <c r="F729" t="inlineStr">
        <is>
          <t>Assinatura Meli+</t>
        </is>
      </c>
      <c r="G729" t="inlineStr">
        <is>
          <t>Despesa</t>
        </is>
      </c>
      <c r="H729" s="3" t="n">
        <v>-9.9</v>
      </c>
      <c r="I729" t="inlineStr">
        <is>
          <t>Outro</t>
        </is>
      </c>
      <c r="J729" t="inlineStr">
        <is>
          <t>Sim</t>
        </is>
      </c>
      <c r="K729" t="inlineStr">
        <is>
          <t>Mensal</t>
        </is>
      </c>
      <c r="L729" t="inlineStr"/>
      <c r="M729" t="inlineStr">
        <is>
          <t>Mercado Pago account_statement-3b5a5492-8314-4c08-9511-4dbebbc07c06 - cópia.xlsx</t>
        </is>
      </c>
      <c r="N729" t="inlineStr">
        <is>
          <t>Sem comprovante</t>
        </is>
      </c>
      <c r="O729" t="inlineStr">
        <is>
          <t>Pagamento de assinatura Meli+</t>
        </is>
      </c>
    </row>
    <row r="730">
      <c r="A730" s="29" t="n">
        <v>46173</v>
      </c>
      <c r="B730" t="n">
        <v>5</v>
      </c>
      <c r="C730" t="n">
        <v>2026</v>
      </c>
      <c r="D730" t="inlineStr">
        <is>
          <t>Pessoal</t>
        </is>
      </c>
      <c r="E730" t="inlineStr">
        <is>
          <t>Pessoal</t>
        </is>
      </c>
      <c r="F730" t="inlineStr">
        <is>
          <t>Simone (Casa)</t>
        </is>
      </c>
      <c r="G730" t="inlineStr">
        <is>
          <t>Despesa</t>
        </is>
      </c>
      <c r="H730" s="3" t="n">
        <v>-250</v>
      </c>
      <c r="I730" t="inlineStr">
        <is>
          <t>Pix</t>
        </is>
      </c>
      <c r="J730" t="inlineStr">
        <is>
          <t>Não</t>
        </is>
      </c>
      <c r="K730" t="inlineStr">
        <is>
          <t>Eventual</t>
        </is>
      </c>
      <c r="L730" t="inlineStr"/>
      <c r="M730" t="inlineStr">
        <is>
          <t>Mercado Pago account_statement-3b5a5492-8314-4c08-9511-4dbebbc07c06 - cópia.xlsx</t>
        </is>
      </c>
      <c r="N730" t="inlineStr">
        <is>
          <t>Sem comprovante</t>
        </is>
      </c>
      <c r="O730" t="inlineStr">
        <is>
          <t>Pix enviado Simone Muniz Martins de Moura</t>
        </is>
      </c>
    </row>
    <row r="731">
      <c r="A731" s="29" t="n">
        <v>46174</v>
      </c>
      <c r="B731" t="n">
        <v>6</v>
      </c>
      <c r="C731" t="n">
        <v>2026</v>
      </c>
      <c r="D731" t="inlineStr">
        <is>
          <t>Studio</t>
        </is>
      </c>
      <c r="E731" t="inlineStr">
        <is>
          <t>Contas Fixas</t>
        </is>
      </c>
      <c r="F731" t="inlineStr">
        <is>
          <t>Estacionamento Studio</t>
        </is>
      </c>
      <c r="G731" t="inlineStr">
        <is>
          <t>Despesa</t>
        </is>
      </c>
      <c r="H731" s="3" t="n">
        <v>-12.5</v>
      </c>
      <c r="I731" t="inlineStr">
        <is>
          <t>Débito</t>
        </is>
      </c>
      <c r="J731" t="inlineStr">
        <is>
          <t>Sim</t>
        </is>
      </c>
      <c r="K731" t="inlineStr">
        <is>
          <t>Mensal</t>
        </is>
      </c>
      <c r="L731" t="inlineStr"/>
      <c r="M731" t="inlineStr">
        <is>
          <t>Nubank NU_370124875_01JUN2026_04JUN2026(1).csv</t>
        </is>
      </c>
      <c r="N731" t="inlineStr">
        <is>
          <t>Sem comprovante</t>
        </is>
      </c>
      <c r="O731" t="inlineStr">
        <is>
          <t>Compra no débito - ESTACIONAMENTO NICCO</t>
        </is>
      </c>
    </row>
    <row r="732">
      <c r="A732" s="29" t="n">
        <v>46174</v>
      </c>
      <c r="B732" t="n">
        <v>6</v>
      </c>
      <c r="C732" t="n">
        <v>2026</v>
      </c>
      <c r="D732" t="inlineStr">
        <is>
          <t>Pessoal</t>
        </is>
      </c>
      <c r="E732" t="inlineStr">
        <is>
          <t>Contas Variáveis</t>
        </is>
      </c>
      <c r="F732" t="inlineStr">
        <is>
          <t>Compra no débito</t>
        </is>
      </c>
      <c r="G732" t="inlineStr">
        <is>
          <t>Despesa</t>
        </is>
      </c>
      <c r="H732" s="3" t="n">
        <v>-9</v>
      </c>
      <c r="I732" t="inlineStr">
        <is>
          <t>Débito</t>
        </is>
      </c>
      <c r="J732" t="inlineStr">
        <is>
          <t>Não</t>
        </is>
      </c>
      <c r="K732" t="inlineStr">
        <is>
          <t>Eventual</t>
        </is>
      </c>
      <c r="L732" t="inlineStr"/>
      <c r="M732" t="inlineStr">
        <is>
          <t>Nubank NU_370124875_01JUN2026_04JUN2026(1).csv</t>
        </is>
      </c>
      <c r="N732" t="inlineStr">
        <is>
          <t>Sem comprovante</t>
        </is>
      </c>
      <c r="O732" t="inlineStr">
        <is>
          <t>Compra no débito - pgz*JACANA</t>
        </is>
      </c>
    </row>
    <row r="733">
      <c r="A733" s="29" t="n">
        <v>46175</v>
      </c>
      <c r="B733" t="n">
        <v>6</v>
      </c>
      <c r="C733" t="n">
        <v>2026</v>
      </c>
      <c r="D733" t="inlineStr">
        <is>
          <t>Pessoal</t>
        </is>
      </c>
      <c r="E733" t="inlineStr">
        <is>
          <t>Contas Variáveis</t>
        </is>
      </c>
      <c r="F733" t="inlineStr">
        <is>
          <t>Compra no débito</t>
        </is>
      </c>
      <c r="G733" t="inlineStr">
        <is>
          <t>Despesa</t>
        </is>
      </c>
      <c r="H733" s="3" t="n">
        <v>-31.9</v>
      </c>
      <c r="I733" t="inlineStr">
        <is>
          <t>Débito</t>
        </is>
      </c>
      <c r="J733" t="inlineStr">
        <is>
          <t>Não</t>
        </is>
      </c>
      <c r="K733" t="inlineStr">
        <is>
          <t>Eventual</t>
        </is>
      </c>
      <c r="L733" t="inlineStr"/>
      <c r="M733" t="inlineStr">
        <is>
          <t>Nubank NU_370124875_01JUN2026_04JUN2026(1).csv</t>
        </is>
      </c>
      <c r="N733" t="inlineStr">
        <is>
          <t>Sem comprovante</t>
        </is>
      </c>
      <c r="O733" t="inlineStr">
        <is>
          <t>Compra no débito - MP *DAYCLEAN</t>
        </is>
      </c>
    </row>
    <row r="734">
      <c r="A734" s="29" t="n">
        <v>46175</v>
      </c>
      <c r="B734" t="n">
        <v>6</v>
      </c>
      <c r="C734" t="n">
        <v>2026</v>
      </c>
      <c r="D734" t="inlineStr">
        <is>
          <t>Geral</t>
        </is>
      </c>
      <c r="E734" t="inlineStr">
        <is>
          <t>Outros</t>
        </is>
      </c>
      <c r="F734" t="inlineStr">
        <is>
          <t>Pagamento de boleto</t>
        </is>
      </c>
      <c r="G734" t="inlineStr">
        <is>
          <t>Despesa</t>
        </is>
      </c>
      <c r="H734" s="3" t="n">
        <v>-137.32</v>
      </c>
      <c r="I734" t="inlineStr">
        <is>
          <t>Outro</t>
        </is>
      </c>
      <c r="J734" t="inlineStr">
        <is>
          <t>Não</t>
        </is>
      </c>
      <c r="K734" t="inlineStr">
        <is>
          <t>Eventual</t>
        </is>
      </c>
      <c r="L734" t="inlineStr"/>
      <c r="M734" t="inlineStr">
        <is>
          <t>Nubank NU_370124875_01JUN2026_04JUN2026(1).csv</t>
        </is>
      </c>
      <c r="N734" t="inlineStr">
        <is>
          <t>Sem comprovante</t>
        </is>
      </c>
      <c r="O734" t="inlineStr">
        <is>
          <t>Pagamento de boleto efetuado - ITAU UNIBANCO HOLDING S/A</t>
        </is>
      </c>
    </row>
    <row r="735">
      <c r="A735" s="29" t="n">
        <v>46175</v>
      </c>
      <c r="B735" t="n">
        <v>6</v>
      </c>
      <c r="C735" t="n">
        <v>2026</v>
      </c>
      <c r="D735" t="inlineStr">
        <is>
          <t>Studio</t>
        </is>
      </c>
      <c r="E735" t="inlineStr">
        <is>
          <t>Contas Fixas</t>
        </is>
      </c>
      <c r="F735" t="inlineStr">
        <is>
          <t>Internet / Telecom</t>
        </is>
      </c>
      <c r="G735" t="inlineStr">
        <is>
          <t>Despesa</t>
        </is>
      </c>
      <c r="H735" s="3" t="n">
        <v>-269.94</v>
      </c>
      <c r="I735" t="inlineStr">
        <is>
          <t>Outro</t>
        </is>
      </c>
      <c r="J735" t="inlineStr">
        <is>
          <t>Sim</t>
        </is>
      </c>
      <c r="K735" t="inlineStr">
        <is>
          <t>Mensal</t>
        </is>
      </c>
      <c r="L735" t="inlineStr"/>
      <c r="M735" t="inlineStr">
        <is>
          <t>Nubank NU_370124875_01JUN2026_04JUN2026(1).csv</t>
        </is>
      </c>
      <c r="N735" t="inlineStr">
        <is>
          <t>Sem comprovante</t>
        </is>
      </c>
      <c r="O735" t="inlineStr">
        <is>
          <t>Resgate de empréstimo</t>
        </is>
      </c>
    </row>
    <row r="736">
      <c r="A736" s="29" t="n">
        <v>46175</v>
      </c>
      <c r="B736" t="n">
        <v>6</v>
      </c>
      <c r="C736" t="n">
        <v>2026</v>
      </c>
      <c r="D736" t="inlineStr">
        <is>
          <t>Geral</t>
        </is>
      </c>
      <c r="E736" t="inlineStr">
        <is>
          <t>Outros</t>
        </is>
      </c>
      <c r="F736" t="inlineStr">
        <is>
          <t>Consórcio</t>
        </is>
      </c>
      <c r="G736" t="inlineStr">
        <is>
          <t>Despesa</t>
        </is>
      </c>
      <c r="H736" s="3" t="n">
        <v>-348.05</v>
      </c>
      <c r="I736" t="inlineStr">
        <is>
          <t>Pix</t>
        </is>
      </c>
      <c r="J736" t="inlineStr">
        <is>
          <t>Não</t>
        </is>
      </c>
      <c r="K736" t="inlineStr">
        <is>
          <t>Eventual</t>
        </is>
      </c>
      <c r="L736" t="inlineStr"/>
      <c r="M736" t="inlineStr">
        <is>
          <t>Nubank NU_370124875_01JUN2026_04JUN2026(1).csv</t>
        </is>
      </c>
      <c r="N736" t="inlineStr">
        <is>
          <t>Sem comprovante</t>
        </is>
      </c>
      <c r="O736" t="inlineStr">
        <is>
          <t>Transferência enviada pelo Pix - CONSORCIO AXS ENERGIA UNIDADE - 51.533.837/0001-37 - BCO SANTANDER (BRASIL) S.A. (0033) Agência: 2271 Conta: 13013858-9</t>
        </is>
      </c>
    </row>
    <row r="737">
      <c r="A737" s="29" t="n">
        <v>46175</v>
      </c>
      <c r="B737" t="n">
        <v>6</v>
      </c>
      <c r="C737" t="n">
        <v>2026</v>
      </c>
      <c r="D737" t="inlineStr">
        <is>
          <t>Pessoal</t>
        </is>
      </c>
      <c r="E737" t="inlineStr">
        <is>
          <t>Contas Fixas</t>
        </is>
      </c>
      <c r="F737" t="inlineStr">
        <is>
          <t>Luz (Copel)</t>
        </is>
      </c>
      <c r="G737" t="inlineStr">
        <is>
          <t>Despesa</t>
        </is>
      </c>
      <c r="H737" s="3" t="n">
        <v>-149.61</v>
      </c>
      <c r="I737" t="inlineStr">
        <is>
          <t>Pix</t>
        </is>
      </c>
      <c r="J737" t="inlineStr">
        <is>
          <t>Sim</t>
        </is>
      </c>
      <c r="K737" t="inlineStr">
        <is>
          <t>Mensal</t>
        </is>
      </c>
      <c r="L737" t="inlineStr">
        <is>
          <t>Copel Casa/00000037-PHOTO-2026-06-02-12-10-55.jpg</t>
        </is>
      </c>
      <c r="M737" t="inlineStr">
        <is>
          <t>Nubank NU_370124875_01JUN2026_04JUN2026(1).csv</t>
        </is>
      </c>
      <c r="N737" t="inlineStr">
        <is>
          <t>Pago</t>
        </is>
      </c>
      <c r="O737" t="inlineStr">
        <is>
          <t>Transferência enviada pelo Pix - COPEL-DIS - 04.368.898/0001-06 - BCO BRADESCO S.A. (0237) Agência: 3099 Conta: 2361-2</t>
        </is>
      </c>
    </row>
    <row r="738">
      <c r="A738" s="29" t="n">
        <v>46175</v>
      </c>
      <c r="B738" t="n">
        <v>6</v>
      </c>
      <c r="C738" t="n">
        <v>2026</v>
      </c>
      <c r="D738" t="inlineStr">
        <is>
          <t>Geral</t>
        </is>
      </c>
      <c r="E738" t="inlineStr">
        <is>
          <t>Outros</t>
        </is>
      </c>
      <c r="F738" t="inlineStr">
        <is>
          <t>Transferência Pix Enviada</t>
        </is>
      </c>
      <c r="G738" t="inlineStr">
        <is>
          <t>Despesa</t>
        </is>
      </c>
      <c r="H738" s="3" t="n">
        <v>-157.53</v>
      </c>
      <c r="I738" t="inlineStr">
        <is>
          <t>Pix</t>
        </is>
      </c>
      <c r="J738" t="inlineStr">
        <is>
          <t>Não</t>
        </is>
      </c>
      <c r="K738" t="inlineStr">
        <is>
          <t>Eventual</t>
        </is>
      </c>
      <c r="L738" t="inlineStr"/>
      <c r="M738" t="inlineStr">
        <is>
          <t>Nubank NU_370124875_01JUN2026_04JUN2026(1).csv</t>
        </is>
      </c>
      <c r="N738" t="inlineStr">
        <is>
          <t>Sem comprovante</t>
        </is>
      </c>
      <c r="O738" t="inlineStr">
        <is>
          <t>Transferência enviada pelo Pix - LEONARDO MUNHOZ LUCIO - •••.391.699-•• - ITAÚ UNIBANCO S.A. (0341) Agência: 7826 Conta: 6114-0</t>
        </is>
      </c>
    </row>
    <row r="739">
      <c r="A739" s="29" t="n">
        <v>46175</v>
      </c>
      <c r="B739" t="n">
        <v>6</v>
      </c>
      <c r="C739" t="n">
        <v>2026</v>
      </c>
      <c r="D739" t="inlineStr">
        <is>
          <t>Studio</t>
        </is>
      </c>
      <c r="E739" t="inlineStr">
        <is>
          <t>Outros</t>
        </is>
      </c>
      <c r="F739" t="inlineStr">
        <is>
          <t>Pagar.me (boleto)</t>
        </is>
      </c>
      <c r="G739" t="inlineStr">
        <is>
          <t>Despesa</t>
        </is>
      </c>
      <c r="H739" s="3" t="n">
        <v>-25.44</v>
      </c>
      <c r="I739" t="inlineStr">
        <is>
          <t>Pix</t>
        </is>
      </c>
      <c r="J739" t="inlineStr">
        <is>
          <t>Não</t>
        </is>
      </c>
      <c r="K739" t="inlineStr">
        <is>
          <t>Eventual</t>
        </is>
      </c>
      <c r="L739" t="inlineStr"/>
      <c r="M739" t="inlineStr">
        <is>
          <t>Nubank NU_370124875_01JUN2026_04JUN2026(1).csv</t>
        </is>
      </c>
      <c r="N739" t="inlineStr">
        <is>
          <t>Sem comprovante</t>
        </is>
      </c>
      <c r="O739" t="inlineStr">
        <is>
          <t>Transferência enviada pelo Pix - Pagar Me Pagamentos - 18.727.053/0001-74 - STONE IP S.A. (0197) Agência: 1 Conta: 16714636-4</t>
        </is>
      </c>
    </row>
    <row r="740">
      <c r="A740" s="29" t="n">
        <v>46176</v>
      </c>
      <c r="B740" t="n">
        <v>6</v>
      </c>
      <c r="C740" t="n">
        <v>2026</v>
      </c>
      <c r="D740" t="inlineStr">
        <is>
          <t>Pessoal</t>
        </is>
      </c>
      <c r="E740" t="inlineStr">
        <is>
          <t>Contas Variáveis</t>
        </is>
      </c>
      <c r="F740" t="inlineStr">
        <is>
          <t>Combustível</t>
        </is>
      </c>
      <c r="G740" t="inlineStr">
        <is>
          <t>Despesa</t>
        </is>
      </c>
      <c r="H740" s="3" t="n">
        <v>-166</v>
      </c>
      <c r="I740" t="inlineStr">
        <is>
          <t>Débito</t>
        </is>
      </c>
      <c r="J740" t="inlineStr">
        <is>
          <t>Não</t>
        </is>
      </c>
      <c r="K740" t="inlineStr">
        <is>
          <t>Eventual</t>
        </is>
      </c>
      <c r="L740" t="inlineStr"/>
      <c r="M740" t="inlineStr">
        <is>
          <t>Nubank NU_370124875_01JUN2026_04JUN2026(1).csv</t>
        </is>
      </c>
      <c r="N740" t="inlineStr">
        <is>
          <t>Sem comprovante</t>
        </is>
      </c>
      <c r="O740" t="inlineStr">
        <is>
          <t>Compra no débito - AUTO POSTO CAMPINA</t>
        </is>
      </c>
    </row>
    <row r="741">
      <c r="A741" s="29" t="n">
        <v>46176</v>
      </c>
      <c r="B741" t="n">
        <v>6</v>
      </c>
      <c r="C741" t="n">
        <v>2026</v>
      </c>
      <c r="D741" t="inlineStr">
        <is>
          <t>Pessoal</t>
        </is>
      </c>
      <c r="E741" t="inlineStr">
        <is>
          <t>Contas Variáveis</t>
        </is>
      </c>
      <c r="F741" t="inlineStr">
        <is>
          <t>Combustível</t>
        </is>
      </c>
      <c r="G741" t="inlineStr">
        <is>
          <t>Despesa</t>
        </is>
      </c>
      <c r="H741" s="3" t="n">
        <v>-12</v>
      </c>
      <c r="I741" t="inlineStr">
        <is>
          <t>Débito</t>
        </is>
      </c>
      <c r="J741" t="inlineStr">
        <is>
          <t>Não</t>
        </is>
      </c>
      <c r="K741" t="inlineStr">
        <is>
          <t>Eventual</t>
        </is>
      </c>
      <c r="L741" t="inlineStr"/>
      <c r="M741" t="inlineStr">
        <is>
          <t>Nubank NU_370124875_01JUN2026_04JUN2026(1).csv</t>
        </is>
      </c>
      <c r="N741" t="inlineStr">
        <is>
          <t>Sem comprovante</t>
        </is>
      </c>
      <c r="O741" t="inlineStr">
        <is>
          <t>Compra no débito - AUTO POSTO CAMPINA</t>
        </is>
      </c>
    </row>
    <row r="742">
      <c r="A742" s="29" t="n">
        <v>46176</v>
      </c>
      <c r="B742" t="n">
        <v>6</v>
      </c>
      <c r="C742" t="n">
        <v>2026</v>
      </c>
      <c r="D742" t="inlineStr">
        <is>
          <t>Studio</t>
        </is>
      </c>
      <c r="E742" t="inlineStr">
        <is>
          <t>Contas Fixas</t>
        </is>
      </c>
      <c r="F742" t="inlineStr">
        <is>
          <t>Estacionamento Studio</t>
        </is>
      </c>
      <c r="G742" t="inlineStr">
        <is>
          <t>Despesa</t>
        </is>
      </c>
      <c r="H742" s="3" t="n">
        <v>-12.5</v>
      </c>
      <c r="I742" t="inlineStr">
        <is>
          <t>Débito</t>
        </is>
      </c>
      <c r="J742" t="inlineStr">
        <is>
          <t>Sim</t>
        </is>
      </c>
      <c r="K742" t="inlineStr">
        <is>
          <t>Mensal</t>
        </is>
      </c>
      <c r="L742" t="inlineStr"/>
      <c r="M742" t="inlineStr">
        <is>
          <t>Nubank NU_370124875_01JUN2026_04JUN2026(1).csv</t>
        </is>
      </c>
      <c r="N742" t="inlineStr">
        <is>
          <t>Sem comprovante</t>
        </is>
      </c>
      <c r="O742" t="inlineStr">
        <is>
          <t>Compra no débito - EstacionamentoNic</t>
        </is>
      </c>
    </row>
    <row r="743">
      <c r="A743" s="29" t="n">
        <v>46176</v>
      </c>
      <c r="B743" t="n">
        <v>6</v>
      </c>
      <c r="C743" t="n">
        <v>2026</v>
      </c>
      <c r="D743" t="inlineStr">
        <is>
          <t>Pessoal</t>
        </is>
      </c>
      <c r="E743" t="inlineStr">
        <is>
          <t>Contas Variáveis</t>
        </is>
      </c>
      <c r="F743" t="inlineStr">
        <is>
          <t>Compra no débito</t>
        </is>
      </c>
      <c r="G743" t="inlineStr">
        <is>
          <t>Despesa</t>
        </is>
      </c>
      <c r="H743" s="3" t="n">
        <v>-16.23</v>
      </c>
      <c r="I743" t="inlineStr">
        <is>
          <t>Débito</t>
        </is>
      </c>
      <c r="J743" t="inlineStr">
        <is>
          <t>Não</t>
        </is>
      </c>
      <c r="K743" t="inlineStr">
        <is>
          <t>Eventual</t>
        </is>
      </c>
      <c r="L743" t="inlineStr"/>
      <c r="M743" t="inlineStr">
        <is>
          <t>Nubank NU_370124875_01JUN2026_04JUN2026(1).csv</t>
        </is>
      </c>
      <c r="N743" t="inlineStr">
        <is>
          <t>Sem comprovante</t>
        </is>
      </c>
      <c r="O743" t="inlineStr">
        <is>
          <t>Compra no débito - PadariaE</t>
        </is>
      </c>
    </row>
    <row r="744">
      <c r="A744" s="29" t="n">
        <v>46176</v>
      </c>
      <c r="B744" t="n">
        <v>6</v>
      </c>
      <c r="C744" t="n">
        <v>2026</v>
      </c>
      <c r="D744" t="inlineStr">
        <is>
          <t>Studio</t>
        </is>
      </c>
      <c r="E744" t="inlineStr">
        <is>
          <t>Contas Fixas</t>
        </is>
      </c>
      <c r="F744" t="inlineStr">
        <is>
          <t>Internet / Telecom</t>
        </is>
      </c>
      <c r="G744" t="inlineStr">
        <is>
          <t>Despesa</t>
        </is>
      </c>
      <c r="H744" s="3" t="n">
        <v>-54.8</v>
      </c>
      <c r="I744" t="inlineStr">
        <is>
          <t>Pix</t>
        </is>
      </c>
      <c r="J744" t="inlineStr">
        <is>
          <t>Sim</t>
        </is>
      </c>
      <c r="K744" t="inlineStr">
        <is>
          <t>Mensal</t>
        </is>
      </c>
      <c r="L744" t="inlineStr"/>
      <c r="M744" t="inlineStr">
        <is>
          <t>Nubank NU_370124875_01JUN2026_04JUN2026(1).csv</t>
        </is>
      </c>
      <c r="N744" t="inlineStr">
        <is>
          <t>Sem comprovante</t>
        </is>
      </c>
      <c r="O744" t="inlineStr">
        <is>
          <t>Transferência enviada pelo Pix - CLARO - 40.432.544/0001-47 - ITAÚ UNIBANCO S.A. (0341) Agência: 911 Conta: 6206-5</t>
        </is>
      </c>
    </row>
    <row r="745">
      <c r="A745" s="29" t="n">
        <v>46176</v>
      </c>
      <c r="B745" t="n">
        <v>6</v>
      </c>
      <c r="C745" t="n">
        <v>2026</v>
      </c>
      <c r="D745" t="inlineStr">
        <is>
          <t>Pessoal</t>
        </is>
      </c>
      <c r="E745" t="inlineStr">
        <is>
          <t>Contas Variáveis</t>
        </is>
      </c>
      <c r="F745" t="inlineStr">
        <is>
          <t>Mercado</t>
        </is>
      </c>
      <c r="G745" t="inlineStr">
        <is>
          <t>Despesa</t>
        </is>
      </c>
      <c r="H745" s="3" t="n">
        <v>-130</v>
      </c>
      <c r="I745" t="inlineStr">
        <is>
          <t>Pix</t>
        </is>
      </c>
      <c r="J745" t="inlineStr">
        <is>
          <t>Não</t>
        </is>
      </c>
      <c r="K745" t="inlineStr">
        <is>
          <t>Eventual</t>
        </is>
      </c>
      <c r="L745" t="inlineStr"/>
      <c r="M745" t="inlineStr">
        <is>
          <t>Nubank NU_370124875_01JUN2026_04JUN2026(1).csv</t>
        </is>
      </c>
      <c r="N745" t="inlineStr">
        <is>
          <t>Sem comprovante</t>
        </is>
      </c>
      <c r="O745" t="inlineStr">
        <is>
          <t>Transferência enviada pelo Pix - KARINE MARCELINO POSSATO 08899580928 - 28.610.515/0001-22 - MERCADO PAGO IP LTDA. (0323) Agência: 1 Conta: 7811891935-0</t>
        </is>
      </c>
    </row>
    <row r="746">
      <c r="A746" s="29" t="n">
        <v>46176</v>
      </c>
      <c r="B746" t="n">
        <v>6</v>
      </c>
      <c r="C746" t="n">
        <v>2026</v>
      </c>
      <c r="D746" t="inlineStr">
        <is>
          <t>Geral</t>
        </is>
      </c>
      <c r="E746" t="inlineStr">
        <is>
          <t>Outros</t>
        </is>
      </c>
      <c r="F746" t="inlineStr">
        <is>
          <t>Transferência Pix Enviada</t>
        </is>
      </c>
      <c r="G746" t="inlineStr">
        <is>
          <t>Despesa</t>
        </is>
      </c>
      <c r="H746" s="3" t="n">
        <v>-76</v>
      </c>
      <c r="I746" t="inlineStr">
        <is>
          <t>Pix</t>
        </is>
      </c>
      <c r="J746" t="inlineStr">
        <is>
          <t>Não</t>
        </is>
      </c>
      <c r="K746" t="inlineStr">
        <is>
          <t>Eventual</t>
        </is>
      </c>
      <c r="L746" t="inlineStr"/>
      <c r="M746" t="inlineStr">
        <is>
          <t>Nubank NU_370124875_01JUN2026_04JUN2026(1).csv</t>
        </is>
      </c>
      <c r="N746" t="inlineStr">
        <is>
          <t>Sem comprovante</t>
        </is>
      </c>
      <c r="O746" t="inlineStr">
        <is>
          <t>Transferência enviada pelo Pix - NIC. BR - 05.506.560/0001-36 - EFÍ S.A. - IP (0364) Agência: 1 Conta: 276784-8</t>
        </is>
      </c>
    </row>
    <row r="747">
      <c r="A747" s="29" t="n">
        <v>46177</v>
      </c>
      <c r="B747" t="n">
        <v>6</v>
      </c>
      <c r="C747" t="n">
        <v>2026</v>
      </c>
      <c r="D747" t="inlineStr">
        <is>
          <t>Pessoal</t>
        </is>
      </c>
      <c r="E747" t="inlineStr">
        <is>
          <t>Contas Variáveis</t>
        </is>
      </c>
      <c r="F747" t="inlineStr">
        <is>
          <t>Compra no débito</t>
        </is>
      </c>
      <c r="G747" t="inlineStr">
        <is>
          <t>Despesa</t>
        </is>
      </c>
      <c r="H747" s="3" t="n">
        <v>-85</v>
      </c>
      <c r="I747" t="inlineStr">
        <is>
          <t>Débito</t>
        </is>
      </c>
      <c r="J747" t="inlineStr">
        <is>
          <t>Não</t>
        </is>
      </c>
      <c r="K747" t="inlineStr">
        <is>
          <t>Eventual</t>
        </is>
      </c>
      <c r="L747" t="inlineStr"/>
      <c r="M747" t="inlineStr">
        <is>
          <t>Nubank NU_370124875_01JUN2026_04JUN2026(1).csv</t>
        </is>
      </c>
      <c r="N747" t="inlineStr">
        <is>
          <t>Sem comprovante</t>
        </is>
      </c>
      <c r="O747" t="inlineStr">
        <is>
          <t>Compra no débito - CASA COMPRAS SAO BRAZ</t>
        </is>
      </c>
    </row>
    <row r="748">
      <c r="A748" s="29" t="n">
        <v>46177</v>
      </c>
      <c r="B748" t="n">
        <v>6</v>
      </c>
      <c r="C748" t="n">
        <v>2026</v>
      </c>
      <c r="D748" t="inlineStr">
        <is>
          <t>Pessoal</t>
        </is>
      </c>
      <c r="E748" t="inlineStr">
        <is>
          <t>Contas Variáveis</t>
        </is>
      </c>
      <c r="F748" t="inlineStr">
        <is>
          <t>Compras Diversas</t>
        </is>
      </c>
      <c r="G748" t="inlineStr">
        <is>
          <t>Despesa</t>
        </is>
      </c>
      <c r="H748" s="3" t="n">
        <v>-40.97</v>
      </c>
      <c r="I748" t="inlineStr">
        <is>
          <t>Débito</t>
        </is>
      </c>
      <c r="J748" t="inlineStr">
        <is>
          <t>Não</t>
        </is>
      </c>
      <c r="K748" t="inlineStr">
        <is>
          <t>Eventual</t>
        </is>
      </c>
      <c r="L748" t="inlineStr"/>
      <c r="M748" t="inlineStr">
        <is>
          <t>Nubank NU_370124875_01JUN2026_04JUN2026(1).csv</t>
        </is>
      </c>
      <c r="N748" t="inlineStr">
        <is>
          <t>Sem comprovante</t>
        </is>
      </c>
      <c r="O748" t="inlineStr">
        <is>
          <t>Compra no débito - TOALDO TULIO 65</t>
        </is>
      </c>
    </row>
    <row r="749">
      <c r="A749" s="29" t="n">
        <v>46177</v>
      </c>
      <c r="B749" t="n">
        <v>6</v>
      </c>
      <c r="C749" t="n">
        <v>2026</v>
      </c>
      <c r="D749" t="inlineStr">
        <is>
          <t>Geral</t>
        </is>
      </c>
      <c r="E749" t="inlineStr">
        <is>
          <t>Contas Fixas</t>
        </is>
      </c>
      <c r="F749" t="inlineStr">
        <is>
          <t>Assinatura Spotify</t>
        </is>
      </c>
      <c r="G749" t="inlineStr">
        <is>
          <t>Despesa</t>
        </is>
      </c>
      <c r="H749" s="3" t="n">
        <v>-40.9</v>
      </c>
      <c r="I749" t="inlineStr">
        <is>
          <t>Débito</t>
        </is>
      </c>
      <c r="J749" t="inlineStr">
        <is>
          <t>Sim</t>
        </is>
      </c>
      <c r="K749" t="inlineStr">
        <is>
          <t>Mensal</t>
        </is>
      </c>
      <c r="L749" t="inlineStr"/>
      <c r="M749" t="inlineStr">
        <is>
          <t>Nubank NU_370124875_01JUN2026_04JUN2026(1).csv</t>
        </is>
      </c>
      <c r="N749" t="inlineStr">
        <is>
          <t>Sem comprovante</t>
        </is>
      </c>
      <c r="O749" t="inlineStr">
        <is>
          <t>Compra no débito via NuPay - EBW*Spotify</t>
        </is>
      </c>
    </row>
    <row r="750">
      <c r="A750" s="29" t="n">
        <v>46177</v>
      </c>
      <c r="B750" t="n">
        <v>6</v>
      </c>
      <c r="C750" t="n">
        <v>2026</v>
      </c>
      <c r="D750" t="inlineStr">
        <is>
          <t>Geral</t>
        </is>
      </c>
      <c r="E750" t="inlineStr">
        <is>
          <t>Outros</t>
        </is>
      </c>
      <c r="F750" t="inlineStr">
        <is>
          <t>Transferência Pix Enviada</t>
        </is>
      </c>
      <c r="G750" t="inlineStr">
        <is>
          <t>Despesa</t>
        </is>
      </c>
      <c r="H750" s="3" t="n">
        <v>-69.98</v>
      </c>
      <c r="I750" t="inlineStr">
        <is>
          <t>Pix</t>
        </is>
      </c>
      <c r="J750" t="inlineStr">
        <is>
          <t>Não</t>
        </is>
      </c>
      <c r="K750" t="inlineStr">
        <is>
          <t>Eventual</t>
        </is>
      </c>
      <c r="L750" t="inlineStr"/>
      <c r="M750" t="inlineStr">
        <is>
          <t>Nubank NU_370124875_01JUN2026_04JUN2026(1).csv</t>
        </is>
      </c>
      <c r="N750" t="inlineStr">
        <is>
          <t>Sem comprovante</t>
        </is>
      </c>
      <c r="O750" t="inlineStr">
        <is>
          <t>Transferência enviada pelo Pix - IGUASPORT LTDA - 02.314.041/0001-88 - BCO BRADESCO S.A. (0237) Agência: 3380 Conta: 84964-2</t>
        </is>
      </c>
    </row>
    <row r="751">
      <c r="A751" s="29" t="n">
        <v>46177</v>
      </c>
      <c r="B751" t="n">
        <v>6</v>
      </c>
      <c r="C751" t="n">
        <v>2026</v>
      </c>
      <c r="D751" t="inlineStr">
        <is>
          <t>Geral</t>
        </is>
      </c>
      <c r="E751" t="inlineStr">
        <is>
          <t>Outros</t>
        </is>
      </c>
      <c r="F751" t="inlineStr">
        <is>
          <t>Transferência Pix Enviada</t>
        </is>
      </c>
      <c r="G751" t="inlineStr">
        <is>
          <t>Despesa</t>
        </is>
      </c>
      <c r="H751" s="3" t="n">
        <v>-111.14</v>
      </c>
      <c r="I751" t="inlineStr">
        <is>
          <t>Pix</t>
        </is>
      </c>
      <c r="J751" t="inlineStr">
        <is>
          <t>Não</t>
        </is>
      </c>
      <c r="K751" t="inlineStr">
        <is>
          <t>Eventual</t>
        </is>
      </c>
      <c r="L751" t="inlineStr"/>
      <c r="M751" t="inlineStr">
        <is>
          <t>Nubank NU_370124875_01JUN2026_04JUN2026(1).csv</t>
        </is>
      </c>
      <c r="N751" t="inlineStr">
        <is>
          <t>Sem comprovante</t>
        </is>
      </c>
      <c r="O751" t="inlineStr">
        <is>
          <t>Transferência enviada pelo Pix - M &amp; S MIARA CAFE E LANCHES LTDA - 21.415.334/0001-04 - FLAGSHIP IP LTDA (0566) Agência: 179 Conta: 56690-0</t>
        </is>
      </c>
    </row>
    <row r="752">
      <c r="A752" s="29" t="n">
        <v>46177</v>
      </c>
      <c r="B752" t="n">
        <v>6</v>
      </c>
      <c r="C752" t="n">
        <v>2026</v>
      </c>
      <c r="D752" t="inlineStr">
        <is>
          <t>Studio</t>
        </is>
      </c>
      <c r="E752" t="inlineStr">
        <is>
          <t>Receita - Denise (Salão)</t>
        </is>
      </c>
      <c r="F752" t="inlineStr">
        <is>
          <t>Depósito recebido de Denise / Salão</t>
        </is>
      </c>
      <c r="G752" t="inlineStr">
        <is>
          <t>Receita</t>
        </is>
      </c>
      <c r="H752" s="3" t="n">
        <v>300</v>
      </c>
      <c r="I752" t="inlineStr">
        <is>
          <t>Pix</t>
        </is>
      </c>
      <c r="J752" t="inlineStr">
        <is>
          <t>Não</t>
        </is>
      </c>
      <c r="K752" t="inlineStr">
        <is>
          <t>Eventual</t>
        </is>
      </c>
      <c r="L752" t="inlineStr"/>
      <c r="M752" t="inlineStr">
        <is>
          <t>Nubank NU_370124875_01JUN2026_04JUN2026(1).csv</t>
        </is>
      </c>
      <c r="N752" t="inlineStr">
        <is>
          <t>Recebido</t>
        </is>
      </c>
      <c r="O752" t="inlineStr">
        <is>
          <t>Transferência recebida pelo Pix - DENISE DE PAULA CENTRO DE ESTETICA LTDA - 05.823.454/0001-86 - MERCADO PAGO IP LTDA. (0323) Agência: 1 Conta: 8804533771-0</t>
        </is>
      </c>
    </row>
    <row r="753">
      <c r="A753" s="29" t="n"/>
      <c r="H753" s="3" t="n"/>
    </row>
    <row r="754">
      <c r="A754" s="29" t="n"/>
      <c r="H754" s="3" t="n"/>
    </row>
    <row r="755">
      <c r="A755" s="29" t="n"/>
      <c r="H755" s="3" t="n"/>
    </row>
    <row r="756">
      <c r="A756" s="29" t="n"/>
      <c r="H756" s="3" t="n"/>
    </row>
    <row r="757">
      <c r="A757" s="29" t="n"/>
      <c r="H757" s="3" t="n"/>
    </row>
    <row r="758">
      <c r="A758" s="29" t="n"/>
      <c r="H758" s="3" t="n"/>
    </row>
    <row r="759">
      <c r="A759" s="29" t="n"/>
      <c r="H759" s="3" t="n"/>
    </row>
    <row r="760">
      <c r="A760" s="29" t="n"/>
      <c r="H760" s="3" t="n"/>
    </row>
    <row r="761">
      <c r="A761" s="29" t="n"/>
      <c r="H761" s="3" t="n"/>
    </row>
    <row r="762">
      <c r="A762" s="29" t="n"/>
      <c r="H762" s="3" t="n"/>
    </row>
    <row r="763">
      <c r="A763" s="29" t="n"/>
      <c r="H763" s="3" t="n"/>
    </row>
    <row r="764">
      <c r="A764" s="29" t="n"/>
      <c r="H764" s="3" t="n"/>
    </row>
    <row r="765">
      <c r="A765" s="29" t="n"/>
      <c r="H765" s="3" t="n"/>
    </row>
    <row r="766">
      <c r="A766" s="29" t="n"/>
      <c r="H766" s="3" t="n"/>
    </row>
    <row r="767">
      <c r="A767" s="29" t="n"/>
      <c r="H767" s="3" t="n"/>
    </row>
    <row r="768">
      <c r="A768" s="29" t="n"/>
      <c r="H768" s="3" t="n"/>
    </row>
    <row r="769">
      <c r="A769" s="29" t="n"/>
      <c r="H769" s="3" t="n"/>
    </row>
    <row r="770">
      <c r="A770" s="29" t="n"/>
      <c r="H770" s="3" t="n"/>
    </row>
    <row r="771">
      <c r="A771" s="29" t="n"/>
      <c r="H771" s="3" t="n"/>
    </row>
    <row r="772">
      <c r="A772" s="29" t="n"/>
      <c r="H772" s="3" t="n"/>
    </row>
    <row r="773">
      <c r="A773" s="29" t="n"/>
      <c r="H773" s="3" t="n"/>
    </row>
    <row r="774">
      <c r="A774" s="29" t="n"/>
      <c r="H774" s="3" t="n"/>
    </row>
    <row r="775">
      <c r="A775" s="29" t="n"/>
      <c r="H775" s="3" t="n"/>
    </row>
    <row r="776">
      <c r="A776" s="29" t="n"/>
      <c r="H776" s="3" t="n"/>
    </row>
    <row r="777">
      <c r="A777" s="29" t="n"/>
      <c r="H777" s="3" t="n"/>
    </row>
    <row r="778">
      <c r="A778" s="29" t="n"/>
      <c r="H778" s="3" t="n"/>
    </row>
    <row r="779">
      <c r="A779" s="29" t="n"/>
      <c r="H779" s="3" t="n"/>
    </row>
    <row r="780">
      <c r="A780" s="29" t="n"/>
      <c r="H780" s="3" t="n"/>
    </row>
    <row r="781">
      <c r="A781" s="29" t="n"/>
      <c r="H781" s="3" t="n"/>
    </row>
    <row r="782">
      <c r="A782" s="29" t="n"/>
      <c r="H782" s="3" t="n"/>
    </row>
    <row r="783">
      <c r="A783" s="29" t="n"/>
      <c r="H783" s="3" t="n"/>
    </row>
    <row r="784">
      <c r="A784" s="29" t="n"/>
      <c r="H784" s="3" t="n"/>
    </row>
    <row r="785">
      <c r="A785" s="29" t="n"/>
      <c r="H785" s="3" t="n"/>
    </row>
    <row r="786">
      <c r="A786" s="29" t="n"/>
      <c r="H786" s="3" t="n"/>
    </row>
    <row r="787">
      <c r="A787" s="29" t="n"/>
      <c r="H787" s="3" t="n"/>
    </row>
    <row r="788">
      <c r="A788" s="29" t="n"/>
      <c r="H788" s="3" t="n"/>
    </row>
    <row r="789">
      <c r="A789" s="29" t="n"/>
      <c r="H789" s="3" t="n"/>
    </row>
    <row r="790">
      <c r="A790" s="29" t="n"/>
      <c r="H790" s="3" t="n"/>
    </row>
    <row r="791">
      <c r="A791" s="29" t="n"/>
      <c r="H791" s="3" t="n"/>
    </row>
    <row r="792">
      <c r="A792" s="29" t="n"/>
      <c r="H792" s="3" t="n"/>
    </row>
    <row r="793">
      <c r="A793" s="29" t="n"/>
      <c r="H793" s="3" t="n"/>
    </row>
    <row r="794">
      <c r="A794" s="29" t="n"/>
      <c r="H794" s="3" t="n"/>
    </row>
    <row r="795">
      <c r="A795" s="29" t="n"/>
      <c r="H795" s="3" t="n"/>
    </row>
    <row r="796">
      <c r="A796" s="29" t="n"/>
      <c r="H796" s="3" t="n"/>
    </row>
    <row r="797">
      <c r="A797" s="29" t="n"/>
      <c r="H797" s="3" t="n"/>
    </row>
    <row r="798">
      <c r="A798" s="29" t="n"/>
      <c r="H798" s="3" t="n"/>
    </row>
    <row r="799">
      <c r="A799" s="29" t="n"/>
      <c r="H799" s="3" t="n"/>
    </row>
    <row r="800">
      <c r="A800" s="29" t="n"/>
      <c r="H800" s="3" t="n"/>
    </row>
    <row r="801">
      <c r="A801" s="29" t="n"/>
      <c r="H801" s="3" t="n"/>
    </row>
    <row r="802">
      <c r="A802" s="29" t="n"/>
      <c r="H802" s="3" t="n"/>
    </row>
    <row r="803">
      <c r="A803" s="29" t="n"/>
      <c r="H803" s="3" t="n"/>
    </row>
    <row r="804">
      <c r="A804" s="29" t="n"/>
      <c r="H804" s="3" t="n"/>
    </row>
    <row r="805">
      <c r="A805" s="29" t="n"/>
      <c r="H805" s="3" t="n"/>
    </row>
    <row r="806">
      <c r="A806" s="29" t="n"/>
      <c r="H806" s="3" t="n"/>
    </row>
    <row r="807">
      <c r="A807" s="29" t="n"/>
      <c r="H807" s="3" t="n"/>
    </row>
    <row r="808">
      <c r="A808" s="29" t="n"/>
      <c r="H808" s="3" t="n"/>
    </row>
    <row r="809">
      <c r="A809" s="29" t="n"/>
      <c r="H809" s="3" t="n"/>
    </row>
    <row r="810">
      <c r="A810" s="29" t="n"/>
      <c r="H810" s="3" t="n"/>
    </row>
    <row r="811">
      <c r="A811" s="29" t="n"/>
      <c r="H811" s="3" t="n"/>
    </row>
    <row r="812">
      <c r="A812" s="29" t="n"/>
      <c r="H812" s="3" t="n"/>
    </row>
    <row r="813">
      <c r="A813" s="29" t="n"/>
      <c r="H813" s="3" t="n"/>
    </row>
    <row r="814">
      <c r="A814" s="29" t="n"/>
      <c r="H814" s="3" t="n"/>
    </row>
    <row r="815">
      <c r="A815" s="29" t="n"/>
      <c r="H815" s="3" t="n"/>
    </row>
    <row r="816">
      <c r="A816" s="29" t="n"/>
      <c r="H816" s="3" t="n"/>
    </row>
    <row r="817">
      <c r="A817" s="29" t="n"/>
      <c r="H817" s="3" t="n"/>
    </row>
    <row r="818">
      <c r="A818" s="29" t="n"/>
      <c r="H818" s="3" t="n"/>
    </row>
    <row r="819">
      <c r="A819" s="29" t="n"/>
      <c r="H819" s="3" t="n"/>
    </row>
    <row r="820">
      <c r="A820" s="29" t="n"/>
      <c r="H820" s="3" t="n"/>
    </row>
    <row r="821">
      <c r="A821" s="29" t="n"/>
      <c r="H821" s="3" t="n"/>
    </row>
    <row r="822">
      <c r="A822" s="29" t="n"/>
      <c r="H822" s="3" t="n"/>
    </row>
    <row r="823">
      <c r="A823" s="29" t="n"/>
      <c r="H823" s="3" t="n"/>
    </row>
    <row r="824">
      <c r="A824" s="29" t="n"/>
      <c r="H824" s="3" t="n"/>
    </row>
    <row r="825">
      <c r="A825" s="29" t="n"/>
      <c r="H825" s="3" t="n"/>
    </row>
    <row r="826">
      <c r="A826" s="29" t="n"/>
      <c r="H826" s="3" t="n"/>
    </row>
    <row r="827">
      <c r="A827" s="29" t="n"/>
      <c r="H827" s="3" t="n"/>
    </row>
    <row r="828">
      <c r="A828" s="29" t="n"/>
      <c r="H828" s="3" t="n"/>
    </row>
    <row r="829">
      <c r="A829" s="29" t="n"/>
      <c r="H829" s="3" t="n"/>
    </row>
    <row r="830">
      <c r="A830" s="29" t="n"/>
      <c r="H830" s="3" t="n"/>
    </row>
    <row r="831">
      <c r="A831" s="29" t="n"/>
      <c r="H831" s="3" t="n"/>
    </row>
    <row r="832">
      <c r="A832" s="29" t="n"/>
      <c r="H832" s="3" t="n"/>
    </row>
    <row r="833">
      <c r="A833" s="29" t="n"/>
      <c r="H833" s="3" t="n"/>
    </row>
    <row r="834">
      <c r="A834" s="29" t="n"/>
      <c r="H834" s="3" t="n"/>
    </row>
    <row r="835">
      <c r="A835" s="29" t="n"/>
      <c r="H835" s="3" t="n"/>
    </row>
    <row r="836">
      <c r="A836" s="29" t="n"/>
      <c r="H836" s="3" t="n"/>
    </row>
    <row r="837">
      <c r="A837" s="29" t="n"/>
      <c r="H837" s="3" t="n"/>
    </row>
    <row r="838">
      <c r="A838" s="29" t="n"/>
      <c r="H838" s="3" t="n"/>
    </row>
    <row r="839">
      <c r="A839" s="29" t="n"/>
      <c r="H839" s="3" t="n"/>
    </row>
    <row r="840">
      <c r="A840" s="29" t="n"/>
      <c r="H840" s="3" t="n"/>
    </row>
    <row r="841">
      <c r="A841" s="29" t="n"/>
      <c r="H841" s="3" t="n"/>
    </row>
    <row r="842">
      <c r="A842" s="29" t="n"/>
      <c r="H842" s="3" t="n"/>
    </row>
    <row r="843">
      <c r="A843" s="29" t="n"/>
      <c r="H843" s="3" t="n"/>
    </row>
    <row r="844">
      <c r="A844" s="29" t="n"/>
      <c r="H844" s="3" t="n"/>
    </row>
    <row r="845">
      <c r="A845" s="29" t="n"/>
      <c r="H845" s="3" t="n"/>
    </row>
    <row r="846">
      <c r="A846" s="29" t="n"/>
      <c r="H846" s="3" t="n"/>
    </row>
    <row r="847">
      <c r="A847" s="29" t="n"/>
      <c r="H847" s="3" t="n"/>
    </row>
    <row r="848">
      <c r="A848" s="29" t="n"/>
      <c r="H848" s="3" t="n"/>
    </row>
    <row r="849">
      <c r="A849" s="29" t="n"/>
      <c r="H849" s="3" t="n"/>
    </row>
    <row r="850">
      <c r="A850" s="29" t="n"/>
      <c r="H850" s="3" t="n"/>
    </row>
    <row r="851">
      <c r="A851" s="29" t="n"/>
      <c r="H851" s="3" t="n"/>
    </row>
    <row r="852">
      <c r="A852" s="29" t="n"/>
      <c r="H852" s="3" t="n"/>
    </row>
    <row r="853">
      <c r="A853" s="29" t="n"/>
      <c r="H853" s="3" t="n"/>
    </row>
    <row r="854">
      <c r="A854" s="29" t="n"/>
      <c r="H854" s="3" t="n"/>
    </row>
    <row r="855">
      <c r="A855" s="29" t="n"/>
      <c r="H855" s="3" t="n"/>
    </row>
    <row r="856">
      <c r="A856" s="29" t="n"/>
      <c r="H856" s="3" t="n"/>
    </row>
    <row r="857">
      <c r="A857" s="29" t="n"/>
      <c r="H857" s="3" t="n"/>
    </row>
    <row r="858">
      <c r="A858" s="29" t="n"/>
      <c r="H858" s="3" t="n"/>
    </row>
    <row r="859">
      <c r="A859" s="29" t="n"/>
      <c r="H859" s="3" t="n"/>
    </row>
    <row r="860">
      <c r="A860" s="29" t="n"/>
      <c r="H860" s="3" t="n"/>
    </row>
    <row r="861">
      <c r="A861" s="29" t="n"/>
      <c r="H861" s="3" t="n"/>
    </row>
    <row r="862">
      <c r="A862" s="29" t="n"/>
      <c r="H862" s="3" t="n"/>
    </row>
    <row r="863">
      <c r="A863" s="29" t="n"/>
      <c r="H863" s="3" t="n"/>
    </row>
    <row r="864">
      <c r="A864" s="29" t="n"/>
      <c r="H864" s="3" t="n"/>
    </row>
    <row r="865">
      <c r="A865" s="29" t="n"/>
      <c r="H865" s="3" t="n"/>
    </row>
    <row r="866">
      <c r="A866" s="29" t="n"/>
      <c r="H866" s="3" t="n"/>
    </row>
    <row r="867">
      <c r="A867" s="29" t="n"/>
      <c r="H867" s="3" t="n"/>
    </row>
    <row r="868">
      <c r="A868" s="29" t="n"/>
      <c r="H868" s="3" t="n"/>
    </row>
    <row r="869">
      <c r="A869" s="29" t="n"/>
      <c r="H869" s="3" t="n"/>
    </row>
    <row r="870">
      <c r="A870" s="29" t="n"/>
      <c r="H870" s="3" t="n"/>
    </row>
    <row r="871">
      <c r="A871" s="29" t="n"/>
      <c r="H871" s="3" t="n"/>
    </row>
    <row r="872">
      <c r="A872" s="29" t="n"/>
      <c r="H872" s="3" t="n"/>
    </row>
    <row r="873">
      <c r="A873" s="29" t="n"/>
      <c r="H873" s="3" t="n"/>
    </row>
    <row r="874">
      <c r="A874" s="29" t="n"/>
      <c r="H874" s="3" t="n"/>
    </row>
    <row r="875">
      <c r="A875" s="29" t="n"/>
      <c r="H875" s="3" t="n"/>
    </row>
    <row r="876">
      <c r="A876" s="29" t="n"/>
      <c r="H876" s="3" t="n"/>
    </row>
    <row r="877">
      <c r="A877" s="29" t="n"/>
      <c r="H877" s="3" t="n"/>
    </row>
    <row r="878">
      <c r="A878" s="29" t="n"/>
      <c r="H878" s="3" t="n"/>
    </row>
    <row r="879">
      <c r="A879" s="29" t="n"/>
      <c r="H879" s="3" t="n"/>
    </row>
    <row r="880">
      <c r="A880" s="29" t="n"/>
      <c r="H880" s="3" t="n"/>
    </row>
    <row r="881">
      <c r="A881" s="29" t="n"/>
      <c r="H881" s="3" t="n"/>
    </row>
    <row r="882">
      <c r="A882" s="29" t="n"/>
      <c r="H882" s="3" t="n"/>
    </row>
    <row r="883">
      <c r="A883" s="29" t="n"/>
      <c r="H883" s="3" t="n"/>
    </row>
    <row r="884">
      <c r="A884" s="29" t="n"/>
      <c r="H884" s="3" t="n"/>
    </row>
    <row r="885">
      <c r="A885" s="29" t="n"/>
      <c r="H885" s="3" t="n"/>
    </row>
    <row r="886">
      <c r="A886" s="29" t="n"/>
      <c r="H886" s="3" t="n"/>
    </row>
    <row r="887">
      <c r="A887" s="29" t="n"/>
      <c r="H887" s="3" t="n"/>
    </row>
    <row r="888">
      <c r="A888" s="29" t="n"/>
      <c r="H888" s="3" t="n"/>
    </row>
    <row r="889">
      <c r="A889" s="29" t="n"/>
      <c r="H889" s="3" t="n"/>
    </row>
    <row r="890">
      <c r="A890" s="29" t="n"/>
      <c r="H890" s="3" t="n"/>
    </row>
    <row r="891">
      <c r="A891" s="29" t="n"/>
      <c r="H891" s="3" t="n"/>
    </row>
    <row r="892">
      <c r="A892" s="29" t="n"/>
      <c r="H892" s="3" t="n"/>
    </row>
    <row r="893">
      <c r="A893" s="29" t="n"/>
      <c r="H893" s="3" t="n"/>
    </row>
    <row r="894">
      <c r="A894" s="29" t="n"/>
      <c r="H894" s="3" t="n"/>
    </row>
    <row r="895">
      <c r="A895" s="29" t="n"/>
      <c r="H895" s="3" t="n"/>
    </row>
    <row r="896">
      <c r="A896" s="29" t="n"/>
      <c r="H896" s="3" t="n"/>
    </row>
    <row r="897">
      <c r="A897" s="29" t="n"/>
      <c r="H897" s="3" t="n"/>
    </row>
    <row r="898">
      <c r="A898" s="29" t="n"/>
      <c r="H898" s="3" t="n"/>
    </row>
    <row r="899">
      <c r="A899" s="29" t="n"/>
      <c r="H899" s="3" t="n"/>
    </row>
    <row r="900">
      <c r="A900" s="29" t="n"/>
      <c r="H900" s="3" t="n"/>
    </row>
    <row r="901">
      <c r="A901" s="29" t="n"/>
      <c r="H901" s="3" t="n"/>
    </row>
    <row r="902">
      <c r="A902" s="29" t="n"/>
      <c r="H902" s="3" t="n"/>
    </row>
    <row r="903">
      <c r="A903" s="29" t="n"/>
      <c r="H903" s="3" t="n"/>
    </row>
    <row r="904">
      <c r="A904" s="29" t="n"/>
      <c r="H904" s="3" t="n"/>
    </row>
    <row r="905">
      <c r="A905" s="29" t="n"/>
      <c r="H905" s="3" t="n"/>
    </row>
    <row r="906">
      <c r="A906" s="29" t="n"/>
      <c r="H906" s="3" t="n"/>
    </row>
    <row r="907">
      <c r="A907" s="29" t="n"/>
      <c r="H907" s="3" t="n"/>
    </row>
    <row r="908">
      <c r="A908" s="29" t="n"/>
      <c r="H908" s="3" t="n"/>
    </row>
    <row r="909">
      <c r="A909" s="29" t="n"/>
      <c r="H909" s="3" t="n"/>
    </row>
    <row r="910">
      <c r="A910" s="29" t="n"/>
      <c r="H910" s="3" t="n"/>
    </row>
    <row r="911">
      <c r="A911" s="29" t="n"/>
      <c r="H911" s="3" t="n"/>
    </row>
    <row r="912">
      <c r="A912" s="29" t="n"/>
      <c r="H912" s="3" t="n"/>
    </row>
    <row r="913">
      <c r="A913" s="29" t="n"/>
      <c r="H913" s="3" t="n"/>
    </row>
    <row r="914">
      <c r="A914" s="29" t="n"/>
      <c r="H914" s="3" t="n"/>
    </row>
    <row r="915">
      <c r="A915" s="29" t="n"/>
      <c r="H915" s="3" t="n"/>
    </row>
    <row r="916">
      <c r="A916" s="29" t="n"/>
      <c r="H916" s="3" t="n"/>
    </row>
    <row r="917">
      <c r="A917" s="29" t="n"/>
      <c r="H917" s="3" t="n"/>
    </row>
    <row r="918">
      <c r="A918" s="29" t="n"/>
      <c r="H918" s="3" t="n"/>
    </row>
    <row r="919">
      <c r="A919" s="29" t="n"/>
      <c r="H919" s="3" t="n"/>
    </row>
    <row r="920">
      <c r="A920" s="29" t="n"/>
      <c r="H920" s="3" t="n"/>
    </row>
    <row r="921">
      <c r="A921" s="29" t="n"/>
      <c r="H921" s="3" t="n"/>
    </row>
    <row r="922">
      <c r="A922" s="29" t="n"/>
      <c r="H922" s="3" t="n"/>
    </row>
    <row r="923">
      <c r="A923" s="29" t="n"/>
      <c r="H923" s="3" t="n"/>
    </row>
    <row r="924">
      <c r="A924" s="29" t="n"/>
      <c r="H924" s="3" t="n"/>
    </row>
    <row r="925">
      <c r="A925" s="29" t="n"/>
      <c r="H925" s="3" t="n"/>
    </row>
    <row r="926">
      <c r="A926" s="29" t="n"/>
      <c r="H926" s="3" t="n"/>
    </row>
    <row r="927">
      <c r="A927" s="29" t="n"/>
      <c r="H927" s="3" t="n"/>
    </row>
    <row r="928">
      <c r="A928" s="29" t="n"/>
      <c r="H928" s="3" t="n"/>
    </row>
    <row r="929">
      <c r="A929" s="29" t="n"/>
      <c r="H929" s="3" t="n"/>
    </row>
    <row r="930">
      <c r="A930" s="29" t="n"/>
      <c r="H930" s="3" t="n"/>
    </row>
    <row r="931">
      <c r="A931" s="29" t="n"/>
      <c r="H931" s="3" t="n"/>
    </row>
    <row r="932">
      <c r="A932" s="29" t="n"/>
      <c r="H932" s="3" t="n"/>
    </row>
    <row r="933">
      <c r="A933" s="29" t="n"/>
      <c r="H933" s="3" t="n"/>
    </row>
    <row r="934">
      <c r="A934" s="29" t="n"/>
      <c r="H934" s="3" t="n"/>
    </row>
    <row r="935">
      <c r="A935" s="29" t="n"/>
      <c r="H935" s="3" t="n"/>
    </row>
    <row r="936">
      <c r="A936" s="29" t="n"/>
      <c r="H936" s="3" t="n"/>
    </row>
    <row r="937">
      <c r="A937" s="29" t="n"/>
      <c r="H937" s="3" t="n"/>
    </row>
    <row r="938">
      <c r="A938" s="29" t="n"/>
      <c r="H938" s="3" t="n"/>
    </row>
    <row r="939">
      <c r="A939" s="29" t="n"/>
      <c r="H939" s="3" t="n"/>
    </row>
    <row r="940">
      <c r="A940" s="29" t="n"/>
      <c r="H940" s="3" t="n"/>
    </row>
    <row r="941">
      <c r="A941" s="29" t="n"/>
      <c r="H941" s="3" t="n"/>
    </row>
    <row r="942">
      <c r="A942" s="29" t="n"/>
      <c r="H942" s="3" t="n"/>
    </row>
    <row r="943">
      <c r="A943" s="29" t="n"/>
      <c r="H943" s="3" t="n"/>
    </row>
    <row r="944">
      <c r="A944" s="29" t="n"/>
      <c r="H944" s="3" t="n"/>
    </row>
    <row r="945">
      <c r="A945" s="29" t="n"/>
      <c r="H945" s="3" t="n"/>
    </row>
    <row r="946">
      <c r="A946" s="29" t="n"/>
      <c r="H946" s="3" t="n"/>
    </row>
    <row r="947">
      <c r="A947" s="29" t="n"/>
      <c r="H947" s="3" t="n"/>
    </row>
    <row r="948">
      <c r="A948" s="29" t="n"/>
      <c r="H948" s="3" t="n"/>
    </row>
    <row r="949">
      <c r="A949" s="29" t="n"/>
      <c r="H949" s="3" t="n"/>
    </row>
    <row r="950">
      <c r="A950" s="29" t="n"/>
      <c r="H950" s="3" t="n"/>
    </row>
    <row r="951">
      <c r="A951" s="29" t="n"/>
      <c r="H951" s="3" t="n"/>
    </row>
    <row r="952">
      <c r="A952" s="29" t="n"/>
      <c r="H952" s="3" t="n"/>
    </row>
    <row r="953">
      <c r="A953" s="29" t="n"/>
      <c r="H953" s="3" t="n"/>
    </row>
    <row r="954">
      <c r="A954" s="29" t="n"/>
      <c r="H954" s="3" t="n"/>
    </row>
    <row r="955">
      <c r="A955" s="29" t="n"/>
      <c r="H955" s="3" t="n"/>
    </row>
    <row r="956">
      <c r="A956" s="29" t="n"/>
      <c r="H956" s="3" t="n"/>
    </row>
    <row r="957">
      <c r="A957" s="29" t="n"/>
      <c r="H957" s="3" t="n"/>
    </row>
    <row r="958">
      <c r="A958" s="29" t="n"/>
      <c r="H958" s="3" t="n"/>
    </row>
    <row r="959">
      <c r="A959" s="29" t="n"/>
      <c r="H959" s="3" t="n"/>
    </row>
    <row r="960">
      <c r="A960" s="29" t="n"/>
      <c r="H960" s="3" t="n"/>
    </row>
    <row r="961">
      <c r="A961" s="29" t="n"/>
      <c r="H961" s="3" t="n"/>
    </row>
    <row r="962">
      <c r="A962" s="29" t="n"/>
      <c r="H962" s="3" t="n"/>
    </row>
    <row r="963">
      <c r="A963" s="29" t="n"/>
      <c r="H963" s="3" t="n"/>
    </row>
    <row r="964">
      <c r="A964" s="29" t="n"/>
      <c r="H964" s="3" t="n"/>
    </row>
    <row r="965">
      <c r="A965" s="29" t="n"/>
      <c r="H965" s="3" t="n"/>
    </row>
    <row r="966">
      <c r="A966" s="29" t="n"/>
      <c r="H966" s="3" t="n"/>
    </row>
    <row r="967">
      <c r="A967" s="29" t="n"/>
      <c r="H967" s="3" t="n"/>
    </row>
    <row r="968">
      <c r="A968" s="29" t="n"/>
      <c r="H968" s="3" t="n"/>
    </row>
    <row r="969">
      <c r="A969" s="29" t="n"/>
      <c r="H969" s="3" t="n"/>
    </row>
    <row r="970">
      <c r="A970" s="29" t="n"/>
      <c r="H970" s="3" t="n"/>
    </row>
    <row r="971">
      <c r="A971" s="29" t="n"/>
      <c r="H971" s="3" t="n"/>
    </row>
    <row r="972">
      <c r="A972" s="29" t="n"/>
      <c r="H972" s="3" t="n"/>
    </row>
    <row r="973">
      <c r="A973" s="29" t="n"/>
      <c r="H973" s="3" t="n"/>
    </row>
    <row r="974">
      <c r="A974" s="29" t="n"/>
      <c r="H974" s="3" t="n"/>
    </row>
    <row r="975">
      <c r="A975" s="29" t="n"/>
      <c r="H975" s="3" t="n"/>
    </row>
    <row r="976">
      <c r="A976" s="29" t="n"/>
      <c r="H976" s="3" t="n"/>
    </row>
    <row r="977">
      <c r="A977" s="29" t="n"/>
      <c r="H977" s="3" t="n"/>
    </row>
    <row r="978">
      <c r="A978" s="29" t="n"/>
      <c r="H978" s="3" t="n"/>
    </row>
    <row r="979">
      <c r="A979" s="29" t="n"/>
      <c r="H979" s="3" t="n"/>
    </row>
    <row r="980">
      <c r="A980" s="29" t="n"/>
      <c r="H980" s="3" t="n"/>
    </row>
    <row r="981">
      <c r="A981" s="29" t="n"/>
      <c r="H981" s="3" t="n"/>
    </row>
    <row r="982">
      <c r="A982" s="29" t="n"/>
      <c r="H982" s="3" t="n"/>
    </row>
    <row r="983">
      <c r="A983" s="29" t="n"/>
      <c r="H983" s="3" t="n"/>
    </row>
    <row r="984">
      <c r="A984" s="29" t="n"/>
      <c r="H984" s="3" t="n"/>
    </row>
    <row r="985">
      <c r="A985" s="29" t="n"/>
      <c r="H985" s="3" t="n"/>
    </row>
    <row r="986">
      <c r="A986" s="29" t="n"/>
      <c r="H986" s="3" t="n"/>
    </row>
    <row r="987">
      <c r="A987" s="29" t="n"/>
      <c r="H987" s="3" t="n"/>
    </row>
    <row r="988">
      <c r="A988" s="29" t="n"/>
      <c r="H988" s="3" t="n"/>
    </row>
    <row r="989">
      <c r="A989" s="29" t="n"/>
      <c r="H989" s="3" t="n"/>
    </row>
    <row r="990">
      <c r="A990" s="29" t="n"/>
      <c r="H990" s="3" t="n"/>
    </row>
    <row r="991">
      <c r="A991" s="29" t="n"/>
      <c r="H991" s="3" t="n"/>
    </row>
    <row r="992">
      <c r="A992" s="29" t="n"/>
      <c r="H992" s="3" t="n"/>
    </row>
    <row r="993">
      <c r="A993" s="29" t="n"/>
      <c r="H993" s="3" t="n"/>
    </row>
    <row r="994">
      <c r="A994" s="29" t="n"/>
      <c r="H994" s="3" t="n"/>
    </row>
    <row r="995">
      <c r="A995" s="29" t="n"/>
      <c r="H995" s="3" t="n"/>
    </row>
    <row r="996">
      <c r="A996" s="29" t="n"/>
      <c r="H996" s="3" t="n"/>
    </row>
    <row r="997">
      <c r="A997" s="29" t="n"/>
      <c r="H997" s="3" t="n"/>
    </row>
    <row r="998">
      <c r="A998" s="29" t="n"/>
      <c r="H998" s="3" t="n"/>
    </row>
    <row r="999">
      <c r="A999" s="29" t="n"/>
      <c r="H999" s="3" t="n"/>
    </row>
    <row r="1000">
      <c r="A1000" s="29" t="n"/>
      <c r="H1000" s="3" t="n"/>
    </row>
    <row r="1001">
      <c r="A1001" s="29" t="n"/>
      <c r="H1001" s="3" t="n"/>
    </row>
    <row r="1002">
      <c r="A1002" s="29" t="n"/>
      <c r="H1002" s="3" t="n"/>
    </row>
    <row r="1003">
      <c r="A1003" s="29" t="n"/>
      <c r="H1003" s="3" t="n"/>
    </row>
    <row r="1004">
      <c r="A1004" s="29" t="n"/>
      <c r="H1004" s="3" t="n"/>
    </row>
    <row r="1005">
      <c r="A1005" s="29" t="n"/>
      <c r="H1005" s="3" t="n"/>
    </row>
    <row r="1006">
      <c r="A1006" s="29" t="n"/>
      <c r="H1006" s="3" t="n"/>
    </row>
    <row r="1007">
      <c r="A1007" s="29" t="n"/>
      <c r="H1007" s="3" t="n"/>
    </row>
    <row r="1008">
      <c r="A1008" s="29" t="n"/>
      <c r="H1008" s="3" t="n"/>
    </row>
    <row r="1009">
      <c r="A1009" s="29" t="n"/>
      <c r="H1009" s="3" t="n"/>
    </row>
    <row r="1010">
      <c r="A1010" s="29" t="n"/>
      <c r="H1010" s="3" t="n"/>
    </row>
    <row r="1011">
      <c r="A1011" s="29" t="n"/>
      <c r="H1011" s="3" t="n"/>
    </row>
    <row r="1012">
      <c r="A1012" s="29" t="n"/>
      <c r="H1012" s="3" t="n"/>
    </row>
    <row r="1013">
      <c r="A1013" s="29" t="n"/>
      <c r="H1013" s="3" t="n"/>
    </row>
    <row r="1014">
      <c r="A1014" s="29" t="n"/>
      <c r="H1014" s="3" t="n"/>
    </row>
    <row r="1015">
      <c r="A1015" s="29" t="n"/>
      <c r="H1015" s="3" t="n"/>
    </row>
    <row r="1016">
      <c r="A1016" s="29" t="n"/>
      <c r="H1016" s="3" t="n"/>
    </row>
    <row r="1017">
      <c r="A1017" s="29" t="n"/>
      <c r="H1017" s="3" t="n"/>
    </row>
    <row r="1018">
      <c r="A1018" s="29" t="n"/>
      <c r="H1018" s="3" t="n"/>
    </row>
    <row r="1019">
      <c r="A1019" s="29" t="n"/>
      <c r="H1019" s="3" t="n"/>
    </row>
    <row r="1020">
      <c r="A1020" s="29" t="n"/>
      <c r="H1020" s="3" t="n"/>
    </row>
    <row r="1021">
      <c r="A1021" s="29" t="n"/>
      <c r="H1021" s="3" t="n"/>
    </row>
    <row r="1022">
      <c r="A1022" s="29" t="n"/>
      <c r="H1022" s="3" t="n"/>
    </row>
    <row r="1023">
      <c r="A1023" s="29" t="n"/>
      <c r="H1023" s="3" t="n"/>
    </row>
    <row r="1024">
      <c r="A1024" s="29" t="n"/>
      <c r="H1024" s="3" t="n"/>
    </row>
    <row r="1025">
      <c r="A1025" s="29" t="n"/>
      <c r="H1025" s="3" t="n"/>
    </row>
    <row r="1026">
      <c r="A1026" s="29" t="n"/>
      <c r="H1026" s="3" t="n"/>
    </row>
    <row r="1027">
      <c r="A1027" s="29" t="n"/>
      <c r="H1027" s="3" t="n"/>
    </row>
    <row r="1028">
      <c r="A1028" s="29" t="n"/>
      <c r="H1028" s="3" t="n"/>
    </row>
    <row r="1029">
      <c r="A1029" s="29" t="n"/>
      <c r="H1029" s="3" t="n"/>
    </row>
    <row r="1030">
      <c r="A1030" s="29" t="n"/>
      <c r="H1030" s="3" t="n"/>
    </row>
    <row r="1031">
      <c r="A1031" s="29" t="n"/>
      <c r="H1031" s="3" t="n"/>
    </row>
    <row r="1032">
      <c r="A1032" s="29" t="n"/>
      <c r="H1032" s="3" t="n"/>
    </row>
    <row r="1033">
      <c r="A1033" s="29" t="n"/>
      <c r="H1033" s="3" t="n"/>
    </row>
    <row r="1034">
      <c r="A1034" s="29" t="n"/>
      <c r="H1034" s="3" t="n"/>
    </row>
    <row r="1035">
      <c r="A1035" s="29" t="n"/>
      <c r="H1035" s="3" t="n"/>
    </row>
    <row r="1036">
      <c r="A1036" s="29" t="n"/>
      <c r="H1036" s="3" t="n"/>
    </row>
    <row r="1037">
      <c r="A1037" s="29" t="n"/>
      <c r="H1037" s="3" t="n"/>
    </row>
    <row r="1038">
      <c r="A1038" s="29" t="n"/>
      <c r="H1038" s="3" t="n"/>
    </row>
    <row r="1039">
      <c r="A1039" s="29" t="n"/>
      <c r="H1039" s="3" t="n"/>
    </row>
    <row r="1040">
      <c r="A1040" s="29" t="n"/>
      <c r="H1040" s="3" t="n"/>
    </row>
    <row r="1041">
      <c r="A1041" s="29" t="n"/>
      <c r="H1041" s="3" t="n"/>
    </row>
    <row r="1042">
      <c r="A1042" s="29" t="n"/>
      <c r="H1042" s="3" t="n"/>
    </row>
    <row r="1043">
      <c r="A1043" s="29" t="n"/>
      <c r="H1043" s="3" t="n"/>
    </row>
    <row r="1044">
      <c r="A1044" s="29" t="n"/>
      <c r="H1044" s="3" t="n"/>
    </row>
    <row r="1045">
      <c r="A1045" s="29" t="n"/>
      <c r="H1045" s="3" t="n"/>
    </row>
    <row r="1046">
      <c r="A1046" s="29" t="n"/>
      <c r="H1046" s="3" t="n"/>
    </row>
    <row r="1047">
      <c r="A1047" s="29" t="n"/>
      <c r="H1047" s="3" t="n"/>
    </row>
    <row r="1048">
      <c r="A1048" s="29" t="n"/>
      <c r="H1048" s="3" t="n"/>
    </row>
    <row r="1049">
      <c r="A1049" s="29" t="n"/>
      <c r="H1049" s="3" t="n"/>
    </row>
    <row r="1050">
      <c r="A1050" s="29" t="n"/>
      <c r="H1050" s="3" t="n"/>
    </row>
    <row r="1051">
      <c r="A1051" s="29" t="n"/>
      <c r="H1051" s="3" t="n"/>
    </row>
    <row r="1052">
      <c r="A1052" s="29" t="n"/>
      <c r="H1052" s="3" t="n"/>
    </row>
    <row r="1053">
      <c r="A1053" s="29" t="n"/>
      <c r="H1053" s="3" t="n"/>
    </row>
    <row r="1054">
      <c r="A1054" s="29" t="n"/>
      <c r="H1054" s="3" t="n"/>
    </row>
    <row r="1055">
      <c r="A1055" s="29" t="n"/>
      <c r="H1055" s="3" t="n"/>
    </row>
    <row r="1056">
      <c r="A1056" s="29" t="n"/>
      <c r="H1056" s="3" t="n"/>
    </row>
    <row r="1057">
      <c r="A1057" s="29" t="n"/>
      <c r="H1057" s="3" t="n"/>
    </row>
    <row r="1058">
      <c r="A1058" s="29" t="n"/>
      <c r="H1058" s="3" t="n"/>
    </row>
    <row r="1059">
      <c r="A1059" s="29" t="n"/>
      <c r="H1059" s="3" t="n"/>
    </row>
    <row r="1060">
      <c r="A1060" s="29" t="n"/>
      <c r="H1060" s="3" t="n"/>
    </row>
    <row r="1061">
      <c r="A1061" s="29" t="n"/>
      <c r="H1061" s="3" t="n"/>
    </row>
    <row r="1062">
      <c r="A1062" s="29" t="n"/>
      <c r="H1062" s="3" t="n"/>
    </row>
    <row r="1063">
      <c r="A1063" s="29" t="n"/>
      <c r="H1063" s="3" t="n"/>
    </row>
    <row r="1064">
      <c r="A1064" s="29" t="n"/>
      <c r="H1064" s="3" t="n"/>
    </row>
    <row r="1065">
      <c r="A1065" s="29" t="n"/>
      <c r="H1065" s="3" t="n"/>
    </row>
    <row r="1066">
      <c r="A1066" s="29" t="n"/>
      <c r="H1066" s="3" t="n"/>
    </row>
    <row r="1067">
      <c r="A1067" s="29" t="n"/>
      <c r="H1067" s="3" t="n"/>
    </row>
    <row r="1068">
      <c r="A1068" s="29" t="n"/>
      <c r="H1068" s="3" t="n"/>
    </row>
    <row r="1069">
      <c r="A1069" s="29" t="n"/>
      <c r="H1069" s="3" t="n"/>
    </row>
    <row r="1070">
      <c r="A1070" s="29" t="n"/>
      <c r="H1070" s="3" t="n"/>
    </row>
    <row r="1071">
      <c r="A1071" s="29" t="n"/>
      <c r="H1071" s="3" t="n"/>
    </row>
    <row r="1072">
      <c r="A1072" s="29" t="n"/>
      <c r="H1072" s="3" t="n"/>
    </row>
    <row r="1073">
      <c r="A1073" s="29" t="n"/>
      <c r="H1073" s="3" t="n"/>
    </row>
    <row r="1074">
      <c r="A1074" s="29" t="n"/>
      <c r="H1074" s="3" t="n"/>
    </row>
    <row r="1075">
      <c r="A1075" s="29" t="n"/>
      <c r="H1075" s="3" t="n"/>
    </row>
    <row r="1076">
      <c r="A1076" s="29" t="n"/>
      <c r="H1076" s="3" t="n"/>
    </row>
    <row r="1077">
      <c r="A1077" s="29" t="n"/>
      <c r="H1077" s="3" t="n"/>
    </row>
    <row r="1078">
      <c r="A1078" s="29" t="n"/>
      <c r="H1078" s="3" t="n"/>
    </row>
    <row r="1079">
      <c r="A1079" s="29" t="n"/>
      <c r="H1079" s="3" t="n"/>
    </row>
    <row r="1080">
      <c r="A1080" s="29" t="n"/>
      <c r="H1080" s="3" t="n"/>
    </row>
    <row r="1081">
      <c r="A1081" s="29" t="n"/>
      <c r="H1081" s="3" t="n"/>
    </row>
    <row r="1082">
      <c r="A1082" s="29" t="n"/>
      <c r="H1082" s="3" t="n"/>
    </row>
    <row r="1083">
      <c r="A1083" s="29" t="n"/>
      <c r="H1083" s="3" t="n"/>
    </row>
    <row r="1084">
      <c r="A1084" s="29" t="n"/>
      <c r="H1084" s="3" t="n"/>
    </row>
    <row r="1085">
      <c r="A1085" s="29" t="n"/>
      <c r="H1085" s="3" t="n"/>
    </row>
    <row r="1086">
      <c r="A1086" s="29" t="n"/>
      <c r="H1086" s="3" t="n"/>
    </row>
    <row r="1087">
      <c r="A1087" s="29" t="n"/>
      <c r="H1087" s="3" t="n"/>
    </row>
    <row r="1088">
      <c r="A1088" s="29" t="n"/>
      <c r="H1088" s="3" t="n"/>
    </row>
    <row r="1089">
      <c r="A1089" s="29" t="n"/>
      <c r="H1089" s="3" t="n"/>
    </row>
    <row r="1090">
      <c r="A1090" s="29" t="n"/>
      <c r="H1090" s="3" t="n"/>
    </row>
    <row r="1091">
      <c r="A1091" s="29" t="n"/>
      <c r="H1091" s="3" t="n"/>
    </row>
    <row r="1092">
      <c r="A1092" s="29" t="n"/>
      <c r="H1092" s="3" t="n"/>
    </row>
    <row r="1093">
      <c r="A1093" s="29" t="n"/>
      <c r="H1093" s="3" t="n"/>
    </row>
    <row r="1094">
      <c r="A1094" s="29" t="n"/>
      <c r="H1094" s="3" t="n"/>
    </row>
    <row r="1095">
      <c r="A1095" s="29" t="n"/>
      <c r="H1095" s="3" t="n"/>
    </row>
    <row r="1096">
      <c r="A1096" s="29" t="n"/>
      <c r="H1096" s="3" t="n"/>
    </row>
    <row r="1097">
      <c r="A1097" s="29" t="n"/>
      <c r="H1097" s="3" t="n"/>
    </row>
    <row r="1098">
      <c r="A1098" s="29" t="n"/>
      <c r="H1098" s="3" t="n"/>
    </row>
    <row r="1099">
      <c r="A1099" s="29" t="n"/>
      <c r="H1099" s="3" t="n"/>
    </row>
    <row r="1100">
      <c r="A1100" s="29" t="n"/>
      <c r="H1100" s="3" t="n"/>
    </row>
    <row r="1101">
      <c r="A1101" s="29" t="n"/>
      <c r="H1101" s="3" t="n"/>
    </row>
    <row r="1102">
      <c r="A1102" s="29" t="n"/>
      <c r="H1102" s="3" t="n"/>
    </row>
    <row r="1103">
      <c r="A1103" s="29" t="n"/>
      <c r="H1103" s="3" t="n"/>
    </row>
    <row r="1104">
      <c r="A1104" s="29" t="n"/>
      <c r="H1104" s="3" t="n"/>
    </row>
    <row r="1105">
      <c r="A1105" s="29" t="n"/>
      <c r="H1105" s="3" t="n"/>
    </row>
    <row r="1106">
      <c r="A1106" s="29" t="n"/>
      <c r="H1106" s="3" t="n"/>
    </row>
    <row r="1107">
      <c r="A1107" s="29" t="n"/>
      <c r="H1107" s="3" t="n"/>
    </row>
    <row r="1108">
      <c r="A1108" s="29" t="n"/>
      <c r="H1108" s="3" t="n"/>
    </row>
    <row r="1109">
      <c r="A1109" s="29" t="n"/>
      <c r="H1109" s="3" t="n"/>
    </row>
    <row r="1110">
      <c r="A1110" s="29" t="n"/>
      <c r="H1110" s="3" t="n"/>
    </row>
    <row r="1111">
      <c r="A1111" s="29" t="n"/>
      <c r="H1111" s="3" t="n"/>
    </row>
    <row r="1112">
      <c r="A1112" s="29" t="n"/>
      <c r="H1112" s="3" t="n"/>
    </row>
    <row r="1113">
      <c r="A1113" s="29" t="n"/>
      <c r="H1113" s="3" t="n"/>
    </row>
    <row r="1114">
      <c r="A1114" s="29" t="n"/>
      <c r="H1114" s="3" t="n"/>
    </row>
    <row r="1115">
      <c r="A1115" s="29" t="n"/>
      <c r="H1115" s="3" t="n"/>
    </row>
    <row r="1116">
      <c r="A1116" s="29" t="n"/>
      <c r="H1116" s="3" t="n"/>
    </row>
    <row r="1117">
      <c r="A1117" s="29" t="n"/>
      <c r="H1117" s="3" t="n"/>
    </row>
    <row r="1118">
      <c r="A1118" s="29" t="n"/>
      <c r="H1118" s="3" t="n"/>
    </row>
    <row r="1119">
      <c r="A1119" s="29" t="n"/>
      <c r="H1119" s="3" t="n"/>
    </row>
    <row r="1120">
      <c r="A1120" s="29" t="n"/>
      <c r="H1120" s="3" t="n"/>
    </row>
    <row r="1121">
      <c r="A1121" s="29" t="n"/>
      <c r="H1121" s="3" t="n"/>
    </row>
    <row r="1122">
      <c r="A1122" s="29" t="n"/>
      <c r="H1122" s="3" t="n"/>
    </row>
    <row r="1123">
      <c r="A1123" s="29" t="n"/>
      <c r="H1123" s="3" t="n"/>
    </row>
    <row r="1124">
      <c r="A1124" s="29" t="n"/>
      <c r="H1124" s="3" t="n"/>
    </row>
    <row r="1125">
      <c r="A1125" s="29" t="n"/>
      <c r="H1125" s="3" t="n"/>
    </row>
    <row r="1126">
      <c r="A1126" s="29" t="n"/>
      <c r="H1126" s="3" t="n"/>
    </row>
    <row r="1127">
      <c r="A1127" s="29" t="n"/>
      <c r="H1127" s="3" t="n"/>
    </row>
    <row r="1128">
      <c r="A1128" s="29" t="n"/>
      <c r="H1128" s="3" t="n"/>
    </row>
    <row r="1129">
      <c r="A1129" s="29" t="n"/>
      <c r="H1129" s="3" t="n"/>
    </row>
    <row r="1130">
      <c r="A1130" s="29" t="n"/>
      <c r="H1130" s="3" t="n"/>
    </row>
    <row r="1131">
      <c r="A1131" s="29" t="n"/>
      <c r="H1131" s="3" t="n"/>
    </row>
    <row r="1132">
      <c r="A1132" s="29" t="n"/>
      <c r="H1132" s="3" t="n"/>
    </row>
    <row r="1133">
      <c r="A1133" s="29" t="n"/>
      <c r="H1133" s="3" t="n"/>
    </row>
    <row r="1134">
      <c r="A1134" s="29" t="n"/>
      <c r="H1134" s="3" t="n"/>
    </row>
    <row r="1135">
      <c r="A1135" s="29" t="n"/>
      <c r="H1135" s="3" t="n"/>
    </row>
    <row r="1136">
      <c r="A1136" s="29" t="n"/>
      <c r="H1136" s="3" t="n"/>
    </row>
    <row r="1137">
      <c r="A1137" s="29" t="n"/>
      <c r="H1137" s="3" t="n"/>
    </row>
    <row r="1138">
      <c r="A1138" s="29" t="n"/>
      <c r="H1138" s="3" t="n"/>
    </row>
    <row r="1139">
      <c r="A1139" s="29" t="n"/>
      <c r="H1139" s="3" t="n"/>
    </row>
    <row r="1140">
      <c r="A1140" s="29" t="n"/>
      <c r="H1140" s="3" t="n"/>
    </row>
    <row r="1141">
      <c r="A1141" s="29" t="n"/>
      <c r="H1141" s="3" t="n"/>
    </row>
    <row r="1142">
      <c r="A1142" s="29" t="n"/>
      <c r="H1142" s="3" t="n"/>
    </row>
    <row r="1143">
      <c r="A1143" s="29" t="n"/>
      <c r="H1143" s="3" t="n"/>
    </row>
    <row r="1144">
      <c r="A1144" s="29" t="n"/>
      <c r="H1144" s="3" t="n"/>
    </row>
    <row r="1145">
      <c r="A1145" s="29" t="n"/>
      <c r="H1145" s="3" t="n"/>
    </row>
    <row r="1146">
      <c r="A1146" s="29" t="n"/>
      <c r="H1146" s="3" t="n"/>
    </row>
    <row r="1147">
      <c r="A1147" s="29" t="n"/>
      <c r="H1147" s="3" t="n"/>
    </row>
    <row r="1148">
      <c r="A1148" s="29" t="n"/>
      <c r="H1148" s="3" t="n"/>
    </row>
    <row r="1149">
      <c r="A1149" s="29" t="n"/>
      <c r="H1149" s="3" t="n"/>
    </row>
    <row r="1150">
      <c r="A1150" s="29" t="n"/>
      <c r="H1150" s="3" t="n"/>
    </row>
    <row r="1151">
      <c r="A1151" s="29" t="n"/>
      <c r="H1151" s="3" t="n"/>
    </row>
    <row r="1152">
      <c r="A1152" s="29" t="n"/>
      <c r="H1152" s="3" t="n"/>
    </row>
    <row r="1153">
      <c r="A1153" s="29" t="n"/>
      <c r="H1153" s="3" t="n"/>
    </row>
    <row r="1154">
      <c r="A1154" s="29" t="n"/>
      <c r="H1154" s="3" t="n"/>
    </row>
    <row r="1155">
      <c r="A1155" s="29" t="n"/>
      <c r="H1155" s="3" t="n"/>
    </row>
    <row r="1156">
      <c r="A1156" s="29" t="n"/>
      <c r="H1156" s="3" t="n"/>
    </row>
    <row r="1157">
      <c r="A1157" s="29" t="n"/>
      <c r="H1157" s="3" t="n"/>
    </row>
    <row r="1158">
      <c r="A1158" s="29" t="n"/>
      <c r="H1158" s="3" t="n"/>
    </row>
    <row r="1159">
      <c r="A1159" s="29" t="n"/>
      <c r="H1159" s="3" t="n"/>
    </row>
    <row r="1160">
      <c r="A1160" s="29" t="n"/>
      <c r="H1160" s="3" t="n"/>
    </row>
    <row r="1161">
      <c r="A1161" s="29" t="n"/>
      <c r="H1161" s="3" t="n"/>
    </row>
    <row r="1162">
      <c r="A1162" s="29" t="n"/>
      <c r="H1162" s="3" t="n"/>
    </row>
    <row r="1163">
      <c r="A1163" s="29" t="n"/>
      <c r="H1163" s="3" t="n"/>
    </row>
    <row r="1164">
      <c r="A1164" s="29" t="n"/>
      <c r="H1164" s="3" t="n"/>
    </row>
    <row r="1165">
      <c r="A1165" s="29" t="n"/>
      <c r="H1165" s="3" t="n"/>
    </row>
    <row r="1166">
      <c r="A1166" s="29" t="n"/>
      <c r="H1166" s="3" t="n"/>
    </row>
    <row r="1167">
      <c r="A1167" s="29" t="n"/>
      <c r="H1167" s="3" t="n"/>
    </row>
    <row r="1168">
      <c r="A1168" s="29" t="n"/>
      <c r="H1168" s="3" t="n"/>
    </row>
    <row r="1169">
      <c r="A1169" s="29" t="n"/>
      <c r="H1169" s="3" t="n"/>
    </row>
    <row r="1170">
      <c r="A1170" s="29" t="n"/>
      <c r="H1170" s="3" t="n"/>
    </row>
    <row r="1171">
      <c r="A1171" s="29" t="n"/>
      <c r="H1171" s="3" t="n"/>
    </row>
    <row r="1172">
      <c r="A1172" s="29" t="n"/>
      <c r="H1172" s="3" t="n"/>
    </row>
    <row r="1173">
      <c r="A1173" s="29" t="n"/>
      <c r="H1173" s="3" t="n"/>
    </row>
    <row r="1174">
      <c r="A1174" s="29" t="n"/>
      <c r="H1174" s="3" t="n"/>
    </row>
    <row r="1175">
      <c r="A1175" s="29" t="n"/>
      <c r="H1175" s="3" t="n"/>
    </row>
    <row r="1176">
      <c r="A1176" s="29" t="n"/>
      <c r="H1176" s="3" t="n"/>
    </row>
    <row r="1177">
      <c r="A1177" s="29" t="n"/>
      <c r="H1177" s="3" t="n"/>
    </row>
    <row r="1178">
      <c r="A1178" s="29" t="n"/>
      <c r="H1178" s="3" t="n"/>
    </row>
    <row r="1179">
      <c r="A1179" s="29" t="n"/>
      <c r="H1179" s="3" t="n"/>
    </row>
    <row r="1180">
      <c r="A1180" s="29" t="n"/>
      <c r="H1180" s="3" t="n"/>
    </row>
    <row r="1181">
      <c r="A1181" s="29" t="n"/>
      <c r="H1181" s="3" t="n"/>
    </row>
    <row r="1182">
      <c r="A1182" s="29" t="n"/>
      <c r="H1182" s="3" t="n"/>
    </row>
    <row r="1183">
      <c r="A1183" s="29" t="n"/>
      <c r="H1183" s="3" t="n"/>
    </row>
    <row r="1184">
      <c r="A1184" s="29" t="n"/>
      <c r="H1184" s="3" t="n"/>
    </row>
    <row r="1185">
      <c r="A1185" s="29" t="n"/>
      <c r="H1185" s="3" t="n"/>
    </row>
    <row r="1186">
      <c r="A1186" s="29" t="n"/>
      <c r="H1186" s="3" t="n"/>
    </row>
    <row r="1187">
      <c r="A1187" s="29" t="n"/>
      <c r="H1187" s="3" t="n"/>
    </row>
    <row r="1188">
      <c r="A1188" s="29" t="n"/>
      <c r="H1188" s="3" t="n"/>
    </row>
    <row r="1189">
      <c r="A1189" s="29" t="n"/>
      <c r="H1189" s="3" t="n"/>
    </row>
    <row r="1190">
      <c r="A1190" s="29" t="n"/>
      <c r="H1190" s="3" t="n"/>
    </row>
    <row r="1191">
      <c r="A1191" s="29" t="n"/>
      <c r="H1191" s="3" t="n"/>
    </row>
    <row r="1192">
      <c r="A1192" s="29" t="n"/>
      <c r="H1192" s="3" t="n"/>
    </row>
    <row r="1193">
      <c r="A1193" s="29" t="n"/>
      <c r="H1193" s="3" t="n"/>
    </row>
    <row r="1194">
      <c r="A1194" s="29" t="n"/>
      <c r="H1194" s="3" t="n"/>
    </row>
    <row r="1195">
      <c r="A1195" s="29" t="n"/>
      <c r="H1195" s="3" t="n"/>
    </row>
    <row r="1196">
      <c r="A1196" s="29" t="n"/>
      <c r="H1196" s="3" t="n"/>
    </row>
    <row r="1197">
      <c r="A1197" s="29" t="n"/>
      <c r="H1197" s="3" t="n"/>
    </row>
    <row r="1198">
      <c r="A1198" s="29" t="n"/>
      <c r="H1198" s="3" t="n"/>
    </row>
    <row r="1199">
      <c r="A1199" s="29" t="n"/>
      <c r="H1199" s="3" t="n"/>
    </row>
    <row r="1200">
      <c r="A1200" s="29" t="n"/>
      <c r="H1200" s="3" t="n"/>
    </row>
    <row r="1201">
      <c r="A1201" s="29" t="n"/>
      <c r="H1201" s="3" t="n"/>
    </row>
    <row r="1202">
      <c r="A1202" s="29" t="n"/>
      <c r="H1202" s="3" t="n"/>
    </row>
    <row r="1203">
      <c r="A1203" s="29" t="n"/>
      <c r="H1203" s="3" t="n"/>
    </row>
    <row r="1204">
      <c r="A1204" s="29" t="n"/>
      <c r="H1204" s="3" t="n"/>
    </row>
    <row r="1205">
      <c r="A1205" s="29" t="n"/>
      <c r="H1205" s="3" t="n"/>
    </row>
    <row r="1206">
      <c r="A1206" s="29" t="n"/>
      <c r="H1206" s="3" t="n"/>
    </row>
    <row r="1207">
      <c r="A1207" s="29" t="n"/>
      <c r="H1207" s="3" t="n"/>
    </row>
    <row r="1208">
      <c r="A1208" s="29" t="n"/>
      <c r="H1208" s="3" t="n"/>
    </row>
    <row r="1209">
      <c r="A1209" s="29" t="n"/>
      <c r="H1209" s="3" t="n"/>
    </row>
    <row r="1210">
      <c r="A1210" s="29" t="n"/>
      <c r="H1210" s="3" t="n"/>
    </row>
    <row r="1211">
      <c r="A1211" s="29" t="n"/>
      <c r="H1211" s="3" t="n"/>
    </row>
    <row r="1212">
      <c r="A1212" s="29" t="n"/>
      <c r="H1212" s="3" t="n"/>
    </row>
    <row r="1213">
      <c r="A1213" s="29" t="n"/>
      <c r="H1213" s="3" t="n"/>
    </row>
    <row r="1214">
      <c r="A1214" s="29" t="n"/>
      <c r="H1214" s="3" t="n"/>
    </row>
    <row r="1215">
      <c r="A1215" s="29" t="n"/>
      <c r="H1215" s="3" t="n"/>
    </row>
    <row r="1216">
      <c r="A1216" s="29" t="n"/>
      <c r="H1216" s="3" t="n"/>
    </row>
    <row r="1217">
      <c r="A1217" s="29" t="n"/>
      <c r="H1217" s="3" t="n"/>
    </row>
    <row r="1218">
      <c r="A1218" s="29" t="n"/>
      <c r="H1218" s="3" t="n"/>
    </row>
    <row r="1219">
      <c r="A1219" s="29" t="n"/>
      <c r="H1219" s="3" t="n"/>
    </row>
    <row r="1220">
      <c r="A1220" s="29" t="n"/>
      <c r="H1220" s="3" t="n"/>
    </row>
    <row r="1221">
      <c r="A1221" s="29" t="n"/>
      <c r="H1221" s="3" t="n"/>
    </row>
    <row r="1222">
      <c r="A1222" s="29" t="n"/>
      <c r="H1222" s="3" t="n"/>
    </row>
    <row r="1223">
      <c r="A1223" s="29" t="n"/>
      <c r="H1223" s="3" t="n"/>
    </row>
    <row r="1224">
      <c r="A1224" s="29" t="n"/>
      <c r="H1224" s="3" t="n"/>
    </row>
    <row r="1225">
      <c r="A1225" s="29" t="n"/>
      <c r="H1225" s="3" t="n"/>
    </row>
    <row r="1226">
      <c r="A1226" s="29" t="n"/>
      <c r="H1226" s="3" t="n"/>
    </row>
    <row r="1227">
      <c r="A1227" s="29" t="n"/>
      <c r="H1227" s="3" t="n"/>
    </row>
    <row r="1228">
      <c r="A1228" s="29" t="n"/>
      <c r="H1228" s="3" t="n"/>
    </row>
    <row r="1229">
      <c r="A1229" s="29" t="n"/>
      <c r="H1229" s="3" t="n"/>
    </row>
    <row r="1230">
      <c r="A1230" s="29" t="n"/>
      <c r="H1230" s="3" t="n"/>
    </row>
    <row r="1231">
      <c r="A1231" s="29" t="n"/>
      <c r="H1231" s="3" t="n"/>
    </row>
    <row r="1232">
      <c r="A1232" s="29" t="n"/>
      <c r="H1232" s="3" t="n"/>
    </row>
    <row r="1233">
      <c r="A1233" s="29" t="n"/>
      <c r="H1233" s="3" t="n"/>
    </row>
    <row r="1234">
      <c r="A1234" s="29" t="n"/>
      <c r="H1234" s="3" t="n"/>
    </row>
    <row r="1235">
      <c r="A1235" s="29" t="n"/>
      <c r="H1235" s="3" t="n"/>
    </row>
    <row r="1236">
      <c r="A1236" s="29" t="n"/>
      <c r="H1236" s="3" t="n"/>
    </row>
    <row r="1237">
      <c r="A1237" s="29" t="n"/>
      <c r="H1237" s="3" t="n"/>
    </row>
    <row r="1238">
      <c r="A1238" s="29" t="n"/>
      <c r="H1238" s="3" t="n"/>
    </row>
    <row r="1239">
      <c r="A1239" s="29" t="n"/>
      <c r="H1239" s="3" t="n"/>
    </row>
    <row r="1240">
      <c r="A1240" s="29" t="n"/>
      <c r="H1240" s="3" t="n"/>
    </row>
    <row r="1241">
      <c r="A1241" s="29" t="n"/>
      <c r="H1241" s="3" t="n"/>
    </row>
    <row r="1242">
      <c r="A1242" s="29" t="n"/>
      <c r="H1242" s="3" t="n"/>
    </row>
    <row r="1243">
      <c r="A1243" s="29" t="n"/>
      <c r="H1243" s="3" t="n"/>
    </row>
    <row r="1244">
      <c r="A1244" s="29" t="n"/>
      <c r="H1244" s="3" t="n"/>
    </row>
    <row r="1245">
      <c r="A1245" s="29" t="n"/>
      <c r="H1245" s="3" t="n"/>
    </row>
    <row r="1246">
      <c r="A1246" s="29" t="n"/>
      <c r="H1246" s="3" t="n"/>
    </row>
    <row r="1247">
      <c r="A1247" s="29" t="n"/>
      <c r="H1247" s="3" t="n"/>
    </row>
    <row r="1248">
      <c r="A1248" s="29" t="n"/>
      <c r="H1248" s="3" t="n"/>
    </row>
    <row r="1249">
      <c r="A1249" s="29" t="n"/>
      <c r="H1249" s="3" t="n"/>
    </row>
    <row r="1250">
      <c r="A1250" s="29" t="n"/>
      <c r="H1250" s="3" t="n"/>
    </row>
    <row r="1251">
      <c r="A1251" s="29" t="n"/>
      <c r="H1251" s="3" t="n"/>
    </row>
    <row r="1252">
      <c r="A1252" s="29" t="n"/>
      <c r="H1252" s="3" t="n"/>
    </row>
    <row r="1253">
      <c r="A1253" s="29" t="n"/>
      <c r="H1253" s="3" t="n"/>
    </row>
    <row r="1254">
      <c r="A1254" s="29" t="n"/>
      <c r="H1254" s="3" t="n"/>
    </row>
    <row r="1255">
      <c r="A1255" s="29" t="n"/>
      <c r="H1255" s="3" t="n"/>
    </row>
    <row r="1256">
      <c r="A1256" s="29" t="n"/>
      <c r="H1256" s="3" t="n"/>
    </row>
    <row r="1257">
      <c r="A1257" s="29" t="n"/>
      <c r="H1257" s="3" t="n"/>
    </row>
    <row r="1258">
      <c r="A1258" s="29" t="n"/>
      <c r="H1258" s="3" t="n"/>
    </row>
    <row r="1259">
      <c r="A1259" s="29" t="n"/>
      <c r="H1259" s="3" t="n"/>
    </row>
    <row r="1260">
      <c r="A1260" s="29" t="n"/>
      <c r="H1260" s="3" t="n"/>
    </row>
    <row r="1261">
      <c r="A1261" s="29" t="n"/>
      <c r="H1261" s="3" t="n"/>
    </row>
    <row r="1262">
      <c r="A1262" s="29" t="n"/>
      <c r="H1262" s="3" t="n"/>
    </row>
    <row r="1263">
      <c r="A1263" s="29" t="n"/>
      <c r="H1263" s="3" t="n"/>
    </row>
    <row r="1264">
      <c r="A1264" s="29" t="n"/>
      <c r="H1264" s="3" t="n"/>
    </row>
    <row r="1265">
      <c r="A1265" s="29" t="n"/>
      <c r="H1265" s="3" t="n"/>
    </row>
    <row r="1266">
      <c r="A1266" s="29" t="n"/>
      <c r="H1266" s="3" t="n"/>
    </row>
    <row r="1267">
      <c r="A1267" s="29" t="n"/>
      <c r="H1267" s="3" t="n"/>
    </row>
    <row r="1268">
      <c r="A1268" s="29" t="n"/>
      <c r="H1268" s="3" t="n"/>
    </row>
    <row r="1269">
      <c r="A1269" s="29" t="n"/>
      <c r="H1269" s="3" t="n"/>
    </row>
    <row r="1270">
      <c r="A1270" s="29" t="n"/>
      <c r="H1270" s="3" t="n"/>
    </row>
    <row r="1271">
      <c r="A1271" s="29" t="n"/>
      <c r="H1271" s="3" t="n"/>
    </row>
    <row r="1272">
      <c r="A1272" s="29" t="n"/>
      <c r="H1272" s="3" t="n"/>
    </row>
    <row r="1273">
      <c r="A1273" s="29" t="n"/>
      <c r="H1273" s="3" t="n"/>
    </row>
    <row r="1274">
      <c r="A1274" s="29" t="n"/>
      <c r="H1274" s="3" t="n"/>
    </row>
    <row r="1275">
      <c r="A1275" s="29" t="n"/>
      <c r="H1275" s="3" t="n"/>
    </row>
    <row r="1276">
      <c r="A1276" s="29" t="n"/>
      <c r="H1276" s="3" t="n"/>
    </row>
    <row r="1277">
      <c r="A1277" s="29" t="n"/>
      <c r="H1277" s="3" t="n"/>
    </row>
    <row r="1278">
      <c r="A1278" s="29" t="n"/>
      <c r="H1278" s="3" t="n"/>
    </row>
    <row r="1279">
      <c r="A1279" s="29" t="n"/>
      <c r="H1279" s="3" t="n"/>
    </row>
    <row r="1280">
      <c r="A1280" s="29" t="n"/>
      <c r="H1280" s="3" t="n"/>
    </row>
    <row r="1281">
      <c r="A1281" s="29" t="n"/>
      <c r="H1281" s="3" t="n"/>
    </row>
    <row r="1282">
      <c r="A1282" s="29" t="n"/>
      <c r="H1282" s="3" t="n"/>
    </row>
    <row r="1283">
      <c r="A1283" s="29" t="n"/>
      <c r="H1283" s="3" t="n"/>
    </row>
    <row r="1284">
      <c r="A1284" s="29" t="n"/>
      <c r="H1284" s="3" t="n"/>
    </row>
    <row r="1285">
      <c r="A1285" s="29" t="n"/>
      <c r="H1285" s="3" t="n"/>
    </row>
    <row r="1286">
      <c r="A1286" s="29" t="n"/>
      <c r="H1286" s="3" t="n"/>
    </row>
    <row r="1287">
      <c r="A1287" s="29" t="n"/>
      <c r="H1287" s="3" t="n"/>
    </row>
    <row r="1288">
      <c r="A1288" s="29" t="n"/>
      <c r="H1288" s="3" t="n"/>
    </row>
    <row r="1289">
      <c r="A1289" s="29" t="n"/>
      <c r="H1289" s="3" t="n"/>
    </row>
    <row r="1290">
      <c r="A1290" s="29" t="n"/>
      <c r="H1290" s="3" t="n"/>
    </row>
    <row r="1291">
      <c r="A1291" s="29" t="n"/>
      <c r="H1291" s="3" t="n"/>
    </row>
    <row r="1292">
      <c r="A1292" s="29" t="n"/>
      <c r="H1292" s="3" t="n"/>
    </row>
    <row r="1293">
      <c r="A1293" s="29" t="n"/>
      <c r="H1293" s="3" t="n"/>
    </row>
    <row r="1294">
      <c r="A1294" s="29" t="n"/>
      <c r="H1294" s="3" t="n"/>
    </row>
    <row r="1295">
      <c r="A1295" s="29" t="n"/>
      <c r="H1295" s="3" t="n"/>
    </row>
    <row r="1296">
      <c r="A1296" s="29" t="n"/>
      <c r="H1296" s="3" t="n"/>
    </row>
    <row r="1297">
      <c r="A1297" s="29" t="n"/>
      <c r="H1297" s="3" t="n"/>
    </row>
    <row r="1298">
      <c r="A1298" s="29" t="n"/>
      <c r="H1298" s="3" t="n"/>
    </row>
    <row r="1299">
      <c r="A1299" s="29" t="n"/>
      <c r="H1299" s="3" t="n"/>
    </row>
    <row r="1300">
      <c r="A1300" s="29" t="n"/>
      <c r="H1300" s="3" t="n"/>
    </row>
    <row r="1301">
      <c r="A1301" s="29" t="n"/>
      <c r="H1301" s="3" t="n"/>
    </row>
    <row r="1302">
      <c r="A1302" s="29" t="n"/>
      <c r="H1302" s="3" t="n"/>
    </row>
    <row r="1303">
      <c r="A1303" s="29" t="n"/>
      <c r="H1303" s="3" t="n"/>
    </row>
    <row r="1304">
      <c r="A1304" s="29" t="n"/>
      <c r="H1304" s="3" t="n"/>
    </row>
    <row r="1305">
      <c r="A1305" s="29" t="n"/>
      <c r="H1305" s="3" t="n"/>
    </row>
    <row r="1306">
      <c r="A1306" s="29" t="n"/>
      <c r="H1306" s="3" t="n"/>
    </row>
    <row r="1307">
      <c r="A1307" s="29" t="n"/>
      <c r="H1307" s="3" t="n"/>
    </row>
    <row r="1308">
      <c r="A1308" s="29" t="n"/>
      <c r="H1308" s="3" t="n"/>
    </row>
    <row r="1309">
      <c r="A1309" s="29" t="n"/>
      <c r="H1309" s="3" t="n"/>
    </row>
    <row r="1310">
      <c r="A1310" s="29" t="n"/>
      <c r="H1310" s="3" t="n"/>
    </row>
    <row r="1311">
      <c r="A1311" s="29" t="n"/>
      <c r="H1311" s="3" t="n"/>
    </row>
    <row r="1312">
      <c r="A1312" s="29" t="n"/>
      <c r="H1312" s="3" t="n"/>
    </row>
    <row r="1313">
      <c r="A1313" s="29" t="n"/>
      <c r="H1313" s="3" t="n"/>
    </row>
    <row r="1314">
      <c r="A1314" s="29" t="n"/>
      <c r="H1314" s="3" t="n"/>
    </row>
    <row r="1315">
      <c r="A1315" s="29" t="n"/>
      <c r="H1315" s="3" t="n"/>
    </row>
    <row r="1316">
      <c r="A1316" s="29" t="n"/>
      <c r="H1316" s="3" t="n"/>
    </row>
    <row r="1317">
      <c r="A1317" s="29" t="n"/>
      <c r="H1317" s="3" t="n"/>
    </row>
    <row r="1318">
      <c r="A1318" s="29" t="n"/>
      <c r="H1318" s="3" t="n"/>
    </row>
    <row r="1319">
      <c r="A1319" s="29" t="n"/>
      <c r="H1319" s="3" t="n"/>
    </row>
    <row r="1320">
      <c r="A1320" s="29" t="n"/>
      <c r="H1320" s="3" t="n"/>
    </row>
    <row r="1321">
      <c r="A1321" s="29" t="n"/>
      <c r="H1321" s="3" t="n"/>
    </row>
    <row r="1322">
      <c r="A1322" s="29" t="n"/>
      <c r="H1322" s="3" t="n"/>
    </row>
    <row r="1323">
      <c r="A1323" s="29" t="n"/>
      <c r="H1323" s="3" t="n"/>
    </row>
    <row r="1324">
      <c r="A1324" s="29" t="n"/>
      <c r="H1324" s="3" t="n"/>
    </row>
    <row r="1325">
      <c r="A1325" s="29" t="n"/>
      <c r="H1325" s="3" t="n"/>
    </row>
    <row r="1326">
      <c r="A1326" s="29" t="n"/>
      <c r="H1326" s="3" t="n"/>
    </row>
    <row r="1327">
      <c r="A1327" s="29" t="n"/>
      <c r="H1327" s="3" t="n"/>
    </row>
    <row r="1328">
      <c r="A1328" s="29" t="n"/>
      <c r="H1328" s="3" t="n"/>
    </row>
    <row r="1329">
      <c r="A1329" s="29" t="n"/>
      <c r="H1329" s="3" t="n"/>
    </row>
    <row r="1330">
      <c r="A1330" s="29" t="n"/>
      <c r="H1330" s="3" t="n"/>
    </row>
    <row r="1331">
      <c r="A1331" s="29" t="n"/>
      <c r="H1331" s="3" t="n"/>
    </row>
    <row r="1332">
      <c r="A1332" s="29" t="n"/>
      <c r="H1332" s="3" t="n"/>
    </row>
    <row r="1333">
      <c r="A1333" s="29" t="n"/>
      <c r="H1333" s="3" t="n"/>
    </row>
    <row r="1334">
      <c r="A1334" s="29" t="n"/>
      <c r="H1334" s="3" t="n"/>
    </row>
    <row r="1335">
      <c r="A1335" s="29" t="n"/>
      <c r="H1335" s="3" t="n"/>
    </row>
    <row r="1336">
      <c r="A1336" s="29" t="n"/>
      <c r="H1336" s="3" t="n"/>
    </row>
    <row r="1337">
      <c r="A1337" s="29" t="n"/>
      <c r="H1337" s="3" t="n"/>
    </row>
    <row r="1338">
      <c r="A1338" s="29" t="n"/>
      <c r="H1338" s="3" t="n"/>
    </row>
    <row r="1339">
      <c r="A1339" s="29" t="n"/>
      <c r="H1339" s="3" t="n"/>
    </row>
    <row r="1340">
      <c r="A1340" s="29" t="n"/>
      <c r="H1340" s="3" t="n"/>
    </row>
    <row r="1341">
      <c r="A1341" s="29" t="n"/>
      <c r="H1341" s="3" t="n"/>
    </row>
    <row r="1342">
      <c r="A1342" s="29" t="n"/>
      <c r="H1342" s="3" t="n"/>
    </row>
    <row r="1343">
      <c r="A1343" s="29" t="n"/>
      <c r="H1343" s="3" t="n"/>
    </row>
    <row r="1344">
      <c r="A1344" s="29" t="n"/>
      <c r="H1344" s="3" t="n"/>
    </row>
    <row r="1345">
      <c r="A1345" s="29" t="n"/>
      <c r="H1345" s="3" t="n"/>
    </row>
    <row r="1346">
      <c r="A1346" s="29" t="n"/>
      <c r="H1346" s="3" t="n"/>
    </row>
    <row r="1347">
      <c r="A1347" s="29" t="n"/>
      <c r="H1347" s="3" t="n"/>
    </row>
    <row r="1348">
      <c r="A1348" s="29" t="n"/>
      <c r="H1348" s="3" t="n"/>
    </row>
    <row r="1349">
      <c r="A1349" s="29" t="n"/>
      <c r="H1349" s="3" t="n"/>
    </row>
    <row r="1350">
      <c r="A1350" s="29" t="n"/>
      <c r="H1350" s="3" t="n"/>
    </row>
    <row r="1351">
      <c r="A1351" s="29" t="n"/>
      <c r="H1351" s="3" t="n"/>
    </row>
    <row r="1352">
      <c r="A1352" s="29" t="n"/>
      <c r="H1352" s="3" t="n"/>
    </row>
    <row r="1353">
      <c r="A1353" s="29" t="n"/>
      <c r="H1353" s="3" t="n"/>
    </row>
    <row r="1354">
      <c r="A1354" s="29" t="n"/>
      <c r="H1354" s="3" t="n"/>
    </row>
    <row r="1355">
      <c r="A1355" s="29" t="n"/>
      <c r="H1355" s="3" t="n"/>
    </row>
    <row r="1356">
      <c r="A1356" s="29" t="n"/>
      <c r="H1356" s="3" t="n"/>
    </row>
    <row r="1357">
      <c r="A1357" s="29" t="n"/>
      <c r="H1357" s="3" t="n"/>
    </row>
    <row r="1358">
      <c r="A1358" s="29" t="n"/>
      <c r="H1358" s="3" t="n"/>
    </row>
    <row r="1359">
      <c r="A1359" s="29" t="n"/>
      <c r="H1359" s="3" t="n"/>
    </row>
    <row r="1360">
      <c r="A1360" s="29" t="n"/>
      <c r="H1360" s="3" t="n"/>
    </row>
    <row r="1361">
      <c r="A1361" s="29" t="n"/>
      <c r="H1361" s="3" t="n"/>
    </row>
    <row r="1362">
      <c r="A1362" s="29" t="n"/>
      <c r="H1362" s="3" t="n"/>
    </row>
    <row r="1363">
      <c r="A1363" s="29" t="n"/>
      <c r="H1363" s="3" t="n"/>
    </row>
    <row r="1364">
      <c r="A1364" s="29" t="n"/>
      <c r="H1364" s="3" t="n"/>
    </row>
    <row r="1365">
      <c r="A1365" s="29" t="n"/>
      <c r="H1365" s="3" t="n"/>
    </row>
    <row r="1366">
      <c r="A1366" s="29" t="n"/>
      <c r="H1366" s="3" t="n"/>
    </row>
    <row r="1367">
      <c r="A1367" s="29" t="n"/>
      <c r="H1367" s="3" t="n"/>
    </row>
    <row r="1368">
      <c r="A1368" s="29" t="n"/>
      <c r="H1368" s="3" t="n"/>
    </row>
    <row r="1369">
      <c r="A1369" s="29" t="n"/>
      <c r="H1369" s="3" t="n"/>
    </row>
    <row r="1370">
      <c r="A1370" s="29" t="n"/>
      <c r="H1370" s="3" t="n"/>
    </row>
    <row r="1371">
      <c r="A1371" s="29" t="n"/>
      <c r="H1371" s="3" t="n"/>
    </row>
    <row r="1372">
      <c r="A1372" s="29" t="n"/>
      <c r="H1372" s="3" t="n"/>
    </row>
    <row r="1373">
      <c r="A1373" s="29" t="n"/>
      <c r="H1373" s="3" t="n"/>
    </row>
    <row r="1374">
      <c r="A1374" s="29" t="n"/>
      <c r="H1374" s="3" t="n"/>
    </row>
    <row r="1375">
      <c r="A1375" s="29" t="n"/>
      <c r="H1375" s="3" t="n"/>
    </row>
    <row r="1376">
      <c r="A1376" s="29" t="n"/>
      <c r="H1376" s="3" t="n"/>
    </row>
    <row r="1377">
      <c r="A1377" s="29" t="n"/>
      <c r="H1377" s="3" t="n"/>
    </row>
    <row r="1378">
      <c r="A1378" s="29" t="n"/>
      <c r="H1378" s="3" t="n"/>
    </row>
    <row r="1379">
      <c r="A1379" s="29" t="n"/>
      <c r="H1379" s="3" t="n"/>
    </row>
    <row r="1380">
      <c r="A1380" s="29" t="n"/>
      <c r="H1380" s="3" t="n"/>
    </row>
    <row r="1381">
      <c r="A1381" s="29" t="n"/>
      <c r="H1381" s="3" t="n"/>
    </row>
    <row r="1382">
      <c r="A1382" s="29" t="n"/>
      <c r="H1382" s="3" t="n"/>
    </row>
    <row r="1383">
      <c r="A1383" s="29" t="n"/>
      <c r="H1383" s="3" t="n"/>
    </row>
    <row r="1384">
      <c r="A1384" s="29" t="n"/>
      <c r="H1384" s="3" t="n"/>
    </row>
    <row r="1385">
      <c r="A1385" s="29" t="n"/>
      <c r="H1385" s="3" t="n"/>
    </row>
    <row r="1386">
      <c r="A1386" s="29" t="n"/>
      <c r="H1386" s="3" t="n"/>
    </row>
    <row r="1387">
      <c r="A1387" s="29" t="n"/>
      <c r="H1387" s="3" t="n"/>
    </row>
    <row r="1388">
      <c r="A1388" s="29" t="n"/>
      <c r="H1388" s="3" t="n"/>
    </row>
    <row r="1389">
      <c r="A1389" s="29" t="n"/>
      <c r="H1389" s="3" t="n"/>
    </row>
    <row r="1390">
      <c r="A1390" s="29" t="n"/>
      <c r="H1390" s="3" t="n"/>
    </row>
    <row r="1391">
      <c r="A1391" s="29" t="n"/>
      <c r="H1391" s="3" t="n"/>
    </row>
    <row r="1392">
      <c r="A1392" s="29" t="n"/>
      <c r="H1392" s="3" t="n"/>
    </row>
    <row r="1393">
      <c r="A1393" s="29" t="n"/>
      <c r="H1393" s="3" t="n"/>
    </row>
    <row r="1394">
      <c r="A1394" s="29" t="n"/>
      <c r="H1394" s="3" t="n"/>
    </row>
    <row r="1395">
      <c r="A1395" s="29" t="n"/>
      <c r="H1395" s="3" t="n"/>
    </row>
    <row r="1396">
      <c r="A1396" s="29" t="n"/>
      <c r="H1396" s="3" t="n"/>
    </row>
    <row r="1397">
      <c r="A1397" s="29" t="n"/>
      <c r="H1397" s="3" t="n"/>
    </row>
    <row r="1398">
      <c r="A1398" s="29" t="n"/>
      <c r="H1398" s="3" t="n"/>
    </row>
    <row r="1399">
      <c r="A1399" s="29" t="n"/>
      <c r="H1399" s="3" t="n"/>
    </row>
    <row r="1400">
      <c r="A1400" s="29" t="n"/>
      <c r="H1400" s="3" t="n"/>
    </row>
    <row r="1401">
      <c r="A1401" s="29" t="n"/>
      <c r="H1401" s="3" t="n"/>
    </row>
    <row r="1402">
      <c r="A1402" s="29" t="n"/>
      <c r="H1402" s="3" t="n"/>
    </row>
    <row r="1403">
      <c r="A1403" s="29" t="n"/>
      <c r="H1403" s="3" t="n"/>
    </row>
    <row r="1404">
      <c r="A1404" s="29" t="n"/>
      <c r="H1404" s="3" t="n"/>
    </row>
    <row r="1405">
      <c r="A1405" s="29" t="n"/>
      <c r="H1405" s="3" t="n"/>
    </row>
    <row r="1406">
      <c r="A1406" s="29" t="n"/>
      <c r="H1406" s="3" t="n"/>
    </row>
    <row r="1407">
      <c r="A1407" s="29" t="n"/>
      <c r="H1407" s="3" t="n"/>
    </row>
    <row r="1408">
      <c r="A1408" s="29" t="n"/>
      <c r="H1408" s="3" t="n"/>
    </row>
    <row r="1409">
      <c r="A1409" s="29" t="n"/>
      <c r="H1409" s="3" t="n"/>
    </row>
    <row r="1410">
      <c r="A1410" s="29" t="n"/>
      <c r="H1410" s="3" t="n"/>
    </row>
    <row r="1411">
      <c r="A1411" s="29" t="n"/>
      <c r="H1411" s="3" t="n"/>
    </row>
    <row r="1412">
      <c r="A1412" s="29" t="n"/>
      <c r="H1412" s="3" t="n"/>
    </row>
    <row r="1413">
      <c r="A1413" s="29" t="n"/>
      <c r="H1413" s="3" t="n"/>
    </row>
    <row r="1414">
      <c r="A1414" s="29" t="n"/>
      <c r="H1414" s="3" t="n"/>
    </row>
    <row r="1415">
      <c r="A1415" s="29" t="n"/>
      <c r="H1415" s="3" t="n"/>
    </row>
    <row r="1416">
      <c r="A1416" s="29" t="n"/>
      <c r="H1416" s="3" t="n"/>
    </row>
    <row r="1417">
      <c r="A1417" s="29" t="n"/>
      <c r="H1417" s="3" t="n"/>
    </row>
    <row r="1418">
      <c r="A1418" s="29" t="n"/>
      <c r="H1418" s="3" t="n"/>
    </row>
    <row r="1419">
      <c r="A1419" s="29" t="n"/>
      <c r="H1419" s="3" t="n"/>
    </row>
    <row r="1420">
      <c r="A1420" s="29" t="n"/>
      <c r="H1420" s="3" t="n"/>
    </row>
    <row r="1421">
      <c r="A1421" s="29" t="n"/>
      <c r="H1421" s="3" t="n"/>
    </row>
    <row r="1422">
      <c r="A1422" s="29" t="n"/>
      <c r="H1422" s="3" t="n"/>
    </row>
    <row r="1423">
      <c r="A1423" s="29" t="n"/>
      <c r="H1423" s="3" t="n"/>
    </row>
    <row r="1424">
      <c r="A1424" s="29" t="n"/>
      <c r="H1424" s="3" t="n"/>
    </row>
    <row r="1425">
      <c r="A1425" s="29" t="n"/>
      <c r="H1425" s="3" t="n"/>
    </row>
    <row r="1426">
      <c r="A1426" s="29" t="n"/>
      <c r="H1426" s="3" t="n"/>
    </row>
    <row r="1427">
      <c r="A1427" s="29" t="n"/>
      <c r="H1427" s="3" t="n"/>
    </row>
    <row r="1428">
      <c r="A1428" s="29" t="n"/>
      <c r="H1428" s="3" t="n"/>
    </row>
    <row r="1429">
      <c r="A1429" s="29" t="n"/>
      <c r="H1429" s="3" t="n"/>
    </row>
    <row r="1430">
      <c r="A1430" s="29" t="n"/>
      <c r="H1430" s="3" t="n"/>
    </row>
    <row r="1431">
      <c r="A1431" s="29" t="n"/>
      <c r="H1431" s="3" t="n"/>
    </row>
    <row r="1432">
      <c r="A1432" s="29" t="n"/>
      <c r="H1432" s="3" t="n"/>
    </row>
    <row r="1433">
      <c r="A1433" s="29" t="n"/>
      <c r="H1433" s="3" t="n"/>
    </row>
    <row r="1434">
      <c r="A1434" s="29" t="n"/>
      <c r="H1434" s="3" t="n"/>
    </row>
    <row r="1435">
      <c r="A1435" s="29" t="n"/>
      <c r="H1435" s="3" t="n"/>
    </row>
    <row r="1436">
      <c r="A1436" s="29" t="n"/>
      <c r="H1436" s="3" t="n"/>
    </row>
    <row r="1437">
      <c r="A1437" s="29" t="n"/>
      <c r="H1437" s="3" t="n"/>
    </row>
    <row r="1438">
      <c r="A1438" s="29" t="n"/>
      <c r="H1438" s="3" t="n"/>
    </row>
    <row r="1439">
      <c r="A1439" s="29" t="n"/>
      <c r="H1439" s="3" t="n"/>
    </row>
    <row r="1440">
      <c r="A1440" s="29" t="n"/>
      <c r="H1440" s="3" t="n"/>
    </row>
    <row r="1441">
      <c r="A1441" s="29" t="n"/>
      <c r="H1441" s="3" t="n"/>
    </row>
    <row r="1442">
      <c r="A1442" s="29" t="n"/>
      <c r="H1442" s="3" t="n"/>
    </row>
    <row r="1443">
      <c r="A1443" s="29" t="n"/>
      <c r="H1443" s="3" t="n"/>
    </row>
    <row r="1444">
      <c r="A1444" s="29" t="n"/>
      <c r="H1444" s="3" t="n"/>
    </row>
    <row r="1445">
      <c r="A1445" s="29" t="n"/>
      <c r="H1445" s="3" t="n"/>
    </row>
    <row r="1446">
      <c r="A1446" s="29" t="n"/>
      <c r="H1446" s="3" t="n"/>
    </row>
    <row r="1447">
      <c r="A1447" s="29" t="n"/>
      <c r="H1447" s="3" t="n"/>
    </row>
    <row r="1448">
      <c r="A1448" s="29" t="n"/>
      <c r="H1448" s="3" t="n"/>
    </row>
    <row r="1449">
      <c r="A1449" s="29" t="n"/>
      <c r="H1449" s="3" t="n"/>
    </row>
    <row r="1450">
      <c r="A1450" s="29" t="n"/>
      <c r="H1450" s="3" t="n"/>
    </row>
    <row r="1451">
      <c r="A1451" s="29" t="n"/>
      <c r="H1451" s="3" t="n"/>
    </row>
    <row r="1452">
      <c r="A1452" s="29" t="n"/>
      <c r="H1452" s="3" t="n"/>
    </row>
    <row r="1453">
      <c r="A1453" s="29" t="n"/>
      <c r="H1453" s="3" t="n"/>
    </row>
    <row r="1454">
      <c r="A1454" s="29" t="n"/>
      <c r="H1454" s="3" t="n"/>
    </row>
    <row r="1455">
      <c r="A1455" s="29" t="n"/>
      <c r="H1455" s="3" t="n"/>
    </row>
    <row r="1456">
      <c r="A1456" s="29" t="n"/>
      <c r="H1456" s="3" t="n"/>
    </row>
    <row r="1457">
      <c r="A1457" s="29" t="n"/>
      <c r="H1457" s="3" t="n"/>
    </row>
    <row r="1458">
      <c r="A1458" s="29" t="n"/>
      <c r="H1458" s="3" t="n"/>
    </row>
    <row r="1459">
      <c r="A1459" s="29" t="n"/>
      <c r="H1459" s="3" t="n"/>
    </row>
    <row r="1460">
      <c r="A1460" s="29" t="n"/>
      <c r="H1460" s="3" t="n"/>
    </row>
    <row r="1461">
      <c r="A1461" s="29" t="n"/>
      <c r="H1461" s="3" t="n"/>
    </row>
    <row r="1462">
      <c r="A1462" s="29" t="n"/>
      <c r="H1462" s="3" t="n"/>
    </row>
    <row r="1463">
      <c r="A1463" s="29" t="n"/>
      <c r="H1463" s="3" t="n"/>
    </row>
    <row r="1464">
      <c r="A1464" s="29" t="n"/>
      <c r="H1464" s="3" t="n"/>
    </row>
    <row r="1465">
      <c r="A1465" s="29" t="n"/>
      <c r="H1465" s="3" t="n"/>
    </row>
    <row r="1466">
      <c r="A1466" s="29" t="n"/>
      <c r="H1466" s="3" t="n"/>
    </row>
    <row r="1467">
      <c r="A1467" s="29" t="n"/>
      <c r="H1467" s="3" t="n"/>
    </row>
    <row r="1468">
      <c r="A1468" s="29" t="n"/>
      <c r="H1468" s="3" t="n"/>
    </row>
    <row r="1469">
      <c r="A1469" s="29" t="n"/>
      <c r="H1469" s="3" t="n"/>
    </row>
    <row r="1470">
      <c r="A1470" s="29" t="n"/>
      <c r="H1470" s="3" t="n"/>
    </row>
    <row r="1471">
      <c r="A1471" s="29" t="n"/>
      <c r="H1471" s="3" t="n"/>
    </row>
    <row r="1472">
      <c r="A1472" s="29" t="n"/>
      <c r="H1472" s="3" t="n"/>
    </row>
    <row r="1473">
      <c r="A1473" s="29" t="n"/>
      <c r="H1473" s="3" t="n"/>
    </row>
    <row r="1474">
      <c r="A1474" s="29" t="n"/>
      <c r="H1474" s="3" t="n"/>
    </row>
    <row r="1475">
      <c r="A1475" s="29" t="n"/>
      <c r="H1475" s="3" t="n"/>
    </row>
    <row r="1476">
      <c r="A1476" s="29" t="n"/>
      <c r="H1476" s="3" t="n"/>
    </row>
    <row r="1477">
      <c r="A1477" s="29" t="n"/>
      <c r="H1477" s="3" t="n"/>
    </row>
    <row r="1478">
      <c r="A1478" s="29" t="n"/>
      <c r="H1478" s="3" t="n"/>
    </row>
    <row r="1479">
      <c r="A1479" s="29" t="n"/>
      <c r="H1479" s="3" t="n"/>
    </row>
    <row r="1480">
      <c r="A1480" s="29" t="n"/>
      <c r="H1480" s="3" t="n"/>
    </row>
    <row r="1481">
      <c r="A1481" s="29" t="n"/>
      <c r="H1481" s="3" t="n"/>
    </row>
    <row r="1482">
      <c r="A1482" s="29" t="n"/>
      <c r="H1482" s="3" t="n"/>
    </row>
    <row r="1483">
      <c r="A1483" s="29" t="n"/>
      <c r="H1483" s="3" t="n"/>
    </row>
    <row r="1484">
      <c r="A1484" s="29" t="n"/>
      <c r="H1484" s="3" t="n"/>
    </row>
    <row r="1485">
      <c r="A1485" s="29" t="n"/>
      <c r="H1485" s="3" t="n"/>
    </row>
    <row r="1486">
      <c r="A1486" s="29" t="n"/>
      <c r="H1486" s="3" t="n"/>
    </row>
    <row r="1487">
      <c r="A1487" s="29" t="n"/>
      <c r="H1487" s="3" t="n"/>
    </row>
    <row r="1488">
      <c r="A1488" s="29" t="n"/>
      <c r="H1488" s="3" t="n"/>
    </row>
    <row r="1489">
      <c r="A1489" s="29" t="n"/>
      <c r="H1489" s="3" t="n"/>
    </row>
    <row r="1490">
      <c r="A1490" s="29" t="n"/>
      <c r="H1490" s="3" t="n"/>
    </row>
    <row r="1491">
      <c r="A1491" s="29" t="n"/>
      <c r="H1491" s="3" t="n"/>
    </row>
    <row r="1492">
      <c r="A1492" s="29" t="n"/>
      <c r="H1492" s="3" t="n"/>
    </row>
    <row r="1493">
      <c r="A1493" s="29" t="n"/>
      <c r="H1493" s="3" t="n"/>
    </row>
    <row r="1494">
      <c r="A1494" s="29" t="n"/>
      <c r="H1494" s="3" t="n"/>
    </row>
    <row r="1495">
      <c r="A1495" s="29" t="n"/>
      <c r="H1495" s="3" t="n"/>
    </row>
    <row r="1496">
      <c r="A1496" s="29" t="n"/>
      <c r="H1496" s="3" t="n"/>
    </row>
    <row r="1497">
      <c r="A1497" s="29" t="n"/>
      <c r="H1497" s="3" t="n"/>
    </row>
    <row r="1498">
      <c r="A1498" s="29" t="n"/>
      <c r="H1498" s="3" t="n"/>
    </row>
    <row r="1499">
      <c r="A1499" s="29" t="n"/>
      <c r="H1499" s="3" t="n"/>
    </row>
    <row r="1500">
      <c r="A1500" s="29" t="n"/>
      <c r="H1500" s="3" t="n"/>
    </row>
    <row r="1501">
      <c r="A1501" s="29" t="n"/>
      <c r="H1501" s="3" t="n"/>
    </row>
    <row r="1502">
      <c r="A1502" s="29" t="n"/>
      <c r="H1502" s="3" t="n"/>
    </row>
    <row r="1503">
      <c r="A1503" s="29" t="n"/>
      <c r="H1503" s="3" t="n"/>
    </row>
    <row r="1504">
      <c r="A1504" s="29" t="n"/>
      <c r="H1504" s="3" t="n"/>
    </row>
    <row r="1505">
      <c r="A1505" s="29" t="n"/>
      <c r="H1505" s="3" t="n"/>
    </row>
    <row r="1506">
      <c r="A1506" s="29" t="n"/>
      <c r="H1506" s="3" t="n"/>
    </row>
    <row r="1507">
      <c r="A1507" s="29" t="n"/>
      <c r="H1507" s="3" t="n"/>
    </row>
    <row r="1508">
      <c r="A1508" s="29" t="n"/>
      <c r="H1508" s="3" t="n"/>
    </row>
    <row r="1509">
      <c r="A1509" s="29" t="n"/>
      <c r="H1509" s="3" t="n"/>
    </row>
    <row r="1510">
      <c r="A1510" s="29" t="n"/>
      <c r="H1510" s="3" t="n"/>
    </row>
    <row r="1511">
      <c r="A1511" s="29" t="n"/>
      <c r="H1511" s="3" t="n"/>
    </row>
    <row r="1512">
      <c r="A1512" s="29" t="n"/>
      <c r="H1512" s="3" t="n"/>
    </row>
    <row r="1513">
      <c r="A1513" s="29" t="n"/>
      <c r="H1513" s="3" t="n"/>
    </row>
    <row r="1514">
      <c r="A1514" s="29" t="n"/>
      <c r="H1514" s="3" t="n"/>
    </row>
    <row r="1515">
      <c r="A1515" s="29" t="n"/>
      <c r="H1515" s="3" t="n"/>
    </row>
    <row r="1516">
      <c r="A1516" s="29" t="n"/>
      <c r="H1516" s="3" t="n"/>
    </row>
    <row r="1517">
      <c r="A1517" s="29" t="n"/>
      <c r="H1517" s="3" t="n"/>
    </row>
    <row r="1518">
      <c r="A1518" s="29" t="n"/>
      <c r="H1518" s="3" t="n"/>
    </row>
    <row r="1519">
      <c r="A1519" s="29" t="n"/>
      <c r="H1519" s="3" t="n"/>
    </row>
    <row r="1520">
      <c r="A1520" s="29" t="n"/>
      <c r="H1520" s="3" t="n"/>
    </row>
    <row r="1521">
      <c r="A1521" s="29" t="n"/>
      <c r="H1521" s="3" t="n"/>
    </row>
    <row r="1522">
      <c r="A1522" s="29" t="n"/>
      <c r="H1522" s="3" t="n"/>
    </row>
    <row r="1523">
      <c r="A1523" s="29" t="n"/>
      <c r="H1523" s="3" t="n"/>
    </row>
    <row r="1524">
      <c r="A1524" s="29" t="n"/>
      <c r="H1524" s="3" t="n"/>
    </row>
    <row r="1525">
      <c r="A1525" s="29" t="n"/>
      <c r="H1525" s="3" t="n"/>
    </row>
    <row r="1526">
      <c r="A1526" s="29" t="n"/>
      <c r="H1526" s="3" t="n"/>
    </row>
    <row r="1527">
      <c r="A1527" s="29" t="n"/>
      <c r="H1527" s="3" t="n"/>
    </row>
    <row r="1528">
      <c r="A1528" s="29" t="n"/>
      <c r="H1528" s="3" t="n"/>
    </row>
    <row r="1529">
      <c r="A1529" s="29" t="n"/>
      <c r="H1529" s="3" t="n"/>
    </row>
    <row r="1530">
      <c r="A1530" s="29" t="n"/>
      <c r="H1530" s="3" t="n"/>
    </row>
    <row r="1531">
      <c r="A1531" s="29" t="n"/>
      <c r="H1531" s="3" t="n"/>
    </row>
    <row r="1532">
      <c r="A1532" s="29" t="n"/>
      <c r="H1532" s="3" t="n"/>
    </row>
    <row r="1533">
      <c r="A1533" s="29" t="n"/>
      <c r="H1533" s="3" t="n"/>
    </row>
    <row r="1534">
      <c r="A1534" s="29" t="n"/>
      <c r="H1534" s="3" t="n"/>
    </row>
    <row r="1535">
      <c r="A1535" s="29" t="n"/>
      <c r="H1535" s="3" t="n"/>
    </row>
    <row r="1536">
      <c r="A1536" s="29" t="n"/>
      <c r="H1536" s="3" t="n"/>
    </row>
    <row r="1537">
      <c r="A1537" s="29" t="n"/>
      <c r="H1537" s="3" t="n"/>
    </row>
    <row r="1538">
      <c r="A1538" s="29" t="n"/>
      <c r="H1538" s="3" t="n"/>
    </row>
    <row r="1539">
      <c r="A1539" s="29" t="n"/>
      <c r="H1539" s="3" t="n"/>
    </row>
    <row r="1540">
      <c r="A1540" s="29" t="n"/>
      <c r="H1540" s="3" t="n"/>
    </row>
    <row r="1541">
      <c r="A1541" s="29" t="n"/>
      <c r="H1541" s="3" t="n"/>
    </row>
    <row r="1542">
      <c r="A1542" s="29" t="n"/>
      <c r="H1542" s="3" t="n"/>
    </row>
    <row r="1543">
      <c r="A1543" s="29" t="n"/>
      <c r="H1543" s="3" t="n"/>
    </row>
    <row r="1544">
      <c r="A1544" s="29" t="n"/>
      <c r="H1544" s="3" t="n"/>
    </row>
    <row r="1545">
      <c r="A1545" s="29" t="n"/>
      <c r="H1545" s="3" t="n"/>
    </row>
    <row r="1546">
      <c r="A1546" s="29" t="n"/>
      <c r="H1546" s="3" t="n"/>
    </row>
    <row r="1547">
      <c r="A1547" s="29" t="n"/>
      <c r="H1547" s="3" t="n"/>
    </row>
    <row r="1548">
      <c r="A1548" s="29" t="n"/>
      <c r="H1548" s="3" t="n"/>
    </row>
    <row r="1549">
      <c r="A1549" s="29" t="n"/>
      <c r="H1549" s="3" t="n"/>
    </row>
    <row r="1550">
      <c r="A1550" s="29" t="n"/>
      <c r="H1550" s="3" t="n"/>
    </row>
    <row r="1551">
      <c r="A1551" s="29" t="n"/>
      <c r="H1551" s="3" t="n"/>
    </row>
    <row r="1552">
      <c r="A1552" s="29" t="n"/>
      <c r="H1552" s="3" t="n"/>
    </row>
    <row r="1553">
      <c r="A1553" s="29" t="n"/>
      <c r="H1553" s="3" t="n"/>
    </row>
    <row r="1554">
      <c r="A1554" s="29" t="n"/>
      <c r="H1554" s="3" t="n"/>
    </row>
    <row r="1555">
      <c r="A1555" s="29" t="n"/>
      <c r="H1555" s="3" t="n"/>
    </row>
    <row r="1556">
      <c r="A1556" s="29" t="n"/>
      <c r="H1556" s="3" t="n"/>
    </row>
    <row r="1557">
      <c r="A1557" s="29" t="n"/>
      <c r="H1557" s="3" t="n"/>
    </row>
    <row r="1558">
      <c r="A1558" s="29" t="n"/>
      <c r="H1558" s="3" t="n"/>
    </row>
    <row r="1559">
      <c r="A1559" s="29" t="n"/>
      <c r="H1559" s="3" t="n"/>
    </row>
    <row r="1560">
      <c r="A1560" s="29" t="n"/>
      <c r="H1560" s="3" t="n"/>
    </row>
    <row r="1561">
      <c r="A1561" s="29" t="n"/>
      <c r="H1561" s="3" t="n"/>
    </row>
    <row r="1562">
      <c r="A1562" s="29" t="n"/>
      <c r="H1562" s="3" t="n"/>
    </row>
    <row r="1563">
      <c r="A1563" s="29" t="n"/>
      <c r="H1563" s="3" t="n"/>
    </row>
    <row r="1564">
      <c r="A1564" s="29" t="n"/>
      <c r="H1564" s="3" t="n"/>
    </row>
    <row r="1565">
      <c r="A1565" s="29" t="n"/>
      <c r="H1565" s="3" t="n"/>
    </row>
    <row r="1566">
      <c r="A1566" s="29" t="n"/>
      <c r="H1566" s="3" t="n"/>
    </row>
    <row r="1567">
      <c r="A1567" s="29" t="n"/>
      <c r="H1567" s="3" t="n"/>
    </row>
    <row r="1568">
      <c r="A1568" s="29" t="n"/>
      <c r="H1568" s="3" t="n"/>
    </row>
    <row r="1569">
      <c r="A1569" s="29" t="n"/>
      <c r="H1569" s="3" t="n"/>
    </row>
    <row r="1570">
      <c r="A1570" s="29" t="n"/>
      <c r="H1570" s="3" t="n"/>
    </row>
    <row r="1571">
      <c r="A1571" s="29" t="n"/>
      <c r="H1571" s="3" t="n"/>
    </row>
    <row r="1572">
      <c r="A1572" s="29" t="n"/>
      <c r="H1572" s="3" t="n"/>
    </row>
    <row r="1573">
      <c r="A1573" s="29" t="n"/>
      <c r="H1573" s="3" t="n"/>
    </row>
    <row r="1574">
      <c r="A1574" s="29" t="n"/>
      <c r="H1574" s="3" t="n"/>
    </row>
    <row r="1575">
      <c r="A1575" s="29" t="n"/>
      <c r="H1575" s="3" t="n"/>
    </row>
    <row r="1576">
      <c r="A1576" s="29" t="n"/>
      <c r="H1576" s="3" t="n"/>
    </row>
    <row r="1577">
      <c r="A1577" s="29" t="n"/>
      <c r="H1577" s="3" t="n"/>
    </row>
    <row r="1578">
      <c r="A1578" s="29" t="n"/>
      <c r="H1578" s="3" t="n"/>
    </row>
    <row r="1579">
      <c r="A1579" s="29" t="n"/>
      <c r="H1579" s="3" t="n"/>
    </row>
    <row r="1580">
      <c r="A1580" s="29" t="n"/>
      <c r="H1580" s="3" t="n"/>
    </row>
    <row r="1581">
      <c r="A1581" s="29" t="n"/>
      <c r="H1581" s="3" t="n"/>
    </row>
    <row r="1582">
      <c r="A1582" s="29" t="n"/>
      <c r="H1582" s="3" t="n"/>
    </row>
    <row r="1583">
      <c r="A1583" s="29" t="n"/>
      <c r="H1583" s="3" t="n"/>
    </row>
    <row r="1584">
      <c r="A1584" s="29" t="n"/>
      <c r="H1584" s="3" t="n"/>
    </row>
    <row r="1585">
      <c r="A1585" s="29" t="n"/>
      <c r="H1585" s="3" t="n"/>
    </row>
    <row r="1586">
      <c r="A1586" s="29" t="n"/>
      <c r="H1586" s="3" t="n"/>
    </row>
    <row r="1587">
      <c r="A1587" s="29" t="n"/>
      <c r="H1587" s="3" t="n"/>
    </row>
    <row r="1588">
      <c r="A1588" s="29" t="n"/>
      <c r="H1588" s="3" t="n"/>
    </row>
    <row r="1589">
      <c r="A1589" s="29" t="n"/>
      <c r="H1589" s="3" t="n"/>
    </row>
    <row r="1590">
      <c r="A1590" s="29" t="n"/>
      <c r="H1590" s="3" t="n"/>
    </row>
    <row r="1591">
      <c r="A1591" s="29" t="n"/>
      <c r="H1591" s="3" t="n"/>
    </row>
    <row r="1592">
      <c r="A1592" s="29" t="n"/>
      <c r="H1592" s="3" t="n"/>
    </row>
    <row r="1593">
      <c r="A1593" s="29" t="n"/>
      <c r="H1593" s="3" t="n"/>
    </row>
    <row r="1594">
      <c r="A1594" s="29" t="n"/>
      <c r="H1594" s="3" t="n"/>
    </row>
    <row r="1595">
      <c r="A1595" s="29" t="n"/>
      <c r="H1595" s="3" t="n"/>
    </row>
    <row r="1596">
      <c r="A1596" s="29" t="n"/>
      <c r="H1596" s="3" t="n"/>
    </row>
    <row r="1597">
      <c r="A1597" s="29" t="n"/>
      <c r="H1597" s="3" t="n"/>
    </row>
    <row r="1598">
      <c r="A1598" s="29" t="n"/>
      <c r="H1598" s="3" t="n"/>
    </row>
    <row r="1599">
      <c r="A1599" s="29" t="n"/>
      <c r="H1599" s="3" t="n"/>
    </row>
    <row r="1600">
      <c r="A1600" s="29" t="n"/>
      <c r="H1600" s="3" t="n"/>
    </row>
    <row r="1601">
      <c r="A1601" s="29" t="n"/>
      <c r="H1601" s="3" t="n"/>
    </row>
    <row r="1602">
      <c r="A1602" s="29" t="n"/>
      <c r="H1602" s="3" t="n"/>
    </row>
    <row r="1603">
      <c r="A1603" s="29" t="n"/>
      <c r="H1603" s="3" t="n"/>
    </row>
    <row r="1604">
      <c r="A1604" s="29" t="n"/>
      <c r="H1604" s="3" t="n"/>
    </row>
    <row r="1605">
      <c r="A1605" s="29" t="n"/>
      <c r="H1605" s="3" t="n"/>
    </row>
    <row r="1606">
      <c r="A1606" s="29" t="n"/>
      <c r="H1606" s="3" t="n"/>
    </row>
    <row r="1607">
      <c r="A1607" s="29" t="n"/>
      <c r="H1607" s="3" t="n"/>
    </row>
    <row r="1608">
      <c r="A1608" s="29" t="n"/>
      <c r="H1608" s="3" t="n"/>
    </row>
    <row r="1609">
      <c r="A1609" s="29" t="n"/>
      <c r="H1609" s="3" t="n"/>
    </row>
    <row r="1610">
      <c r="A1610" s="29" t="n"/>
      <c r="H1610" s="3" t="n"/>
    </row>
    <row r="1611">
      <c r="A1611" s="29" t="n"/>
      <c r="H1611" s="3" t="n"/>
    </row>
    <row r="1612">
      <c r="A1612" s="29" t="n"/>
      <c r="H1612" s="3" t="n"/>
    </row>
    <row r="1613">
      <c r="A1613" s="29" t="n"/>
      <c r="H1613" s="3" t="n"/>
    </row>
    <row r="1614">
      <c r="A1614" s="29" t="n"/>
      <c r="H1614" s="3" t="n"/>
    </row>
    <row r="1615">
      <c r="A1615" s="29" t="n"/>
      <c r="H1615" s="3" t="n"/>
    </row>
    <row r="1616">
      <c r="A1616" s="29" t="n"/>
      <c r="H1616" s="3" t="n"/>
    </row>
    <row r="1617">
      <c r="A1617" s="29" t="n"/>
      <c r="H1617" s="3" t="n"/>
    </row>
    <row r="1618">
      <c r="A1618" s="29" t="n"/>
      <c r="H1618" s="3" t="n"/>
    </row>
    <row r="1619">
      <c r="A1619" s="29" t="n"/>
      <c r="H1619" s="3" t="n"/>
    </row>
    <row r="1620">
      <c r="A1620" s="29" t="n"/>
      <c r="H1620" s="3" t="n"/>
    </row>
    <row r="1621">
      <c r="A1621" s="29" t="n"/>
      <c r="H1621" s="3" t="n"/>
    </row>
    <row r="1622">
      <c r="A1622" s="29" t="n"/>
      <c r="H1622" s="3" t="n"/>
    </row>
    <row r="1623">
      <c r="A1623" s="29" t="n"/>
      <c r="H1623" s="3" t="n"/>
    </row>
    <row r="1624">
      <c r="A1624" s="29" t="n"/>
      <c r="H1624" s="3" t="n"/>
    </row>
    <row r="1625">
      <c r="A1625" s="29" t="n"/>
      <c r="H1625" s="3" t="n"/>
    </row>
    <row r="1626">
      <c r="A1626" s="29" t="n"/>
      <c r="H1626" s="3" t="n"/>
    </row>
    <row r="1627">
      <c r="A1627" s="29" t="n"/>
      <c r="H1627" s="3" t="n"/>
    </row>
    <row r="1628">
      <c r="A1628" s="29" t="n"/>
      <c r="H1628" s="3" t="n"/>
    </row>
    <row r="1629">
      <c r="A1629" s="29" t="n"/>
      <c r="H1629" s="3" t="n"/>
    </row>
    <row r="1630">
      <c r="A1630" s="29" t="n"/>
      <c r="H1630" s="3" t="n"/>
    </row>
    <row r="1631">
      <c r="A1631" s="29" t="n"/>
      <c r="H1631" s="3" t="n"/>
    </row>
    <row r="1632">
      <c r="A1632" s="29" t="n"/>
      <c r="H1632" s="3" t="n"/>
    </row>
    <row r="1633">
      <c r="A1633" s="29" t="n"/>
      <c r="H1633" s="3" t="n"/>
    </row>
    <row r="1634">
      <c r="A1634" s="29" t="n"/>
      <c r="H1634" s="3" t="n"/>
    </row>
    <row r="1635">
      <c r="A1635" s="29" t="n"/>
      <c r="H1635" s="3" t="n"/>
    </row>
    <row r="1636">
      <c r="A1636" s="29" t="n"/>
      <c r="H1636" s="3" t="n"/>
    </row>
    <row r="1637">
      <c r="A1637" s="29" t="n"/>
      <c r="H1637" s="3" t="n"/>
    </row>
    <row r="1638">
      <c r="A1638" s="29" t="n"/>
      <c r="H1638" s="3" t="n"/>
    </row>
    <row r="1639">
      <c r="A1639" s="29" t="n"/>
      <c r="H1639" s="3" t="n"/>
    </row>
    <row r="1640">
      <c r="A1640" s="29" t="n"/>
      <c r="H1640" s="3" t="n"/>
    </row>
    <row r="1641">
      <c r="A1641" s="29" t="n"/>
      <c r="H1641" s="3" t="n"/>
    </row>
    <row r="1642">
      <c r="A1642" s="29" t="n"/>
      <c r="H1642" s="3" t="n"/>
    </row>
    <row r="1643">
      <c r="A1643" s="29" t="n"/>
      <c r="H1643" s="3" t="n"/>
    </row>
    <row r="1644">
      <c r="A1644" s="29" t="n"/>
      <c r="H1644" s="3" t="n"/>
    </row>
    <row r="1645">
      <c r="A1645" s="29" t="n"/>
      <c r="H1645" s="3" t="n"/>
    </row>
    <row r="1646">
      <c r="A1646" s="29" t="n"/>
      <c r="H1646" s="3" t="n"/>
    </row>
    <row r="1647">
      <c r="A1647" s="29" t="n"/>
      <c r="H1647" s="3" t="n"/>
    </row>
    <row r="1648">
      <c r="A1648" s="29" t="n"/>
      <c r="H1648" s="3" t="n"/>
    </row>
    <row r="1649">
      <c r="A1649" s="29" t="n"/>
      <c r="H1649" s="3" t="n"/>
    </row>
    <row r="1650">
      <c r="A1650" s="29" t="n"/>
      <c r="H1650" s="3" t="n"/>
    </row>
    <row r="1651">
      <c r="A1651" s="29" t="n"/>
      <c r="H1651" s="3" t="n"/>
    </row>
    <row r="1652">
      <c r="A1652" s="29" t="n"/>
      <c r="H1652" s="3" t="n"/>
    </row>
    <row r="1653">
      <c r="A1653" s="29" t="n"/>
      <c r="H1653" s="3" t="n"/>
    </row>
    <row r="1654">
      <c r="A1654" s="29" t="n"/>
      <c r="H1654" s="3" t="n"/>
    </row>
    <row r="1655">
      <c r="A1655" s="29" t="n"/>
      <c r="H1655" s="3" t="n"/>
    </row>
    <row r="1656">
      <c r="A1656" s="29" t="n"/>
      <c r="H1656" s="3" t="n"/>
    </row>
    <row r="1657">
      <c r="A1657" s="29" t="n"/>
      <c r="H1657" s="3" t="n"/>
    </row>
    <row r="1658">
      <c r="A1658" s="29" t="n"/>
      <c r="H1658" s="3" t="n"/>
    </row>
    <row r="1659">
      <c r="A1659" s="29" t="n"/>
      <c r="H1659" s="3" t="n"/>
    </row>
    <row r="1660">
      <c r="A1660" s="29" t="n"/>
      <c r="H1660" s="3" t="n"/>
    </row>
    <row r="1661">
      <c r="A1661" s="29" t="n"/>
      <c r="H1661" s="3" t="n"/>
    </row>
    <row r="1662">
      <c r="A1662" s="29" t="n"/>
      <c r="H1662" s="3" t="n"/>
    </row>
    <row r="1663">
      <c r="A1663" s="29" t="n"/>
      <c r="H1663" s="3" t="n"/>
    </row>
    <row r="1664">
      <c r="A1664" s="29" t="n"/>
      <c r="H1664" s="3" t="n"/>
    </row>
    <row r="1665">
      <c r="A1665" s="29" t="n"/>
      <c r="H1665" s="3" t="n"/>
    </row>
    <row r="1666">
      <c r="A1666" s="29" t="n"/>
      <c r="H1666" s="3" t="n"/>
    </row>
    <row r="1667">
      <c r="A1667" s="29" t="n"/>
      <c r="H1667" s="3" t="n"/>
    </row>
    <row r="1668">
      <c r="A1668" s="29" t="n"/>
      <c r="H1668" s="3" t="n"/>
    </row>
    <row r="1669">
      <c r="A1669" s="29" t="n"/>
      <c r="H1669" s="3" t="n"/>
    </row>
    <row r="1670">
      <c r="A1670" s="29" t="n"/>
      <c r="H1670" s="3" t="n"/>
    </row>
    <row r="1671">
      <c r="A1671" s="29" t="n"/>
      <c r="H1671" s="3" t="n"/>
    </row>
    <row r="1672">
      <c r="A1672" s="29" t="n"/>
      <c r="H1672" s="3" t="n"/>
    </row>
    <row r="1673">
      <c r="A1673" s="29" t="n"/>
      <c r="H1673" s="3" t="n"/>
    </row>
    <row r="1674">
      <c r="A1674" s="29" t="n"/>
      <c r="H1674" s="3" t="n"/>
    </row>
    <row r="1675">
      <c r="A1675" s="29" t="n"/>
      <c r="H1675" s="3" t="n"/>
    </row>
    <row r="1676">
      <c r="A1676" s="29" t="n"/>
      <c r="H1676" s="3" t="n"/>
    </row>
    <row r="1677">
      <c r="A1677" s="29" t="n"/>
      <c r="H1677" s="3" t="n"/>
    </row>
    <row r="1678">
      <c r="A1678" s="29" t="n"/>
      <c r="H1678" s="3" t="n"/>
    </row>
    <row r="1679">
      <c r="A1679" s="29" t="n"/>
      <c r="H1679" s="3" t="n"/>
    </row>
    <row r="1680">
      <c r="A1680" s="29" t="n"/>
      <c r="H1680" s="3" t="n"/>
    </row>
    <row r="1681">
      <c r="A1681" s="29" t="n"/>
      <c r="H1681" s="3" t="n"/>
    </row>
    <row r="1682">
      <c r="A1682" s="29" t="n"/>
      <c r="H1682" s="3" t="n"/>
    </row>
    <row r="1683">
      <c r="A1683" s="29" t="n"/>
      <c r="H1683" s="3" t="n"/>
    </row>
    <row r="1684">
      <c r="A1684" s="29" t="n"/>
      <c r="H1684" s="3" t="n"/>
    </row>
    <row r="1685">
      <c r="A1685" s="29" t="n"/>
      <c r="H1685" s="3" t="n"/>
    </row>
    <row r="1686">
      <c r="A1686" s="29" t="n"/>
      <c r="H1686" s="3" t="n"/>
    </row>
    <row r="1687">
      <c r="A1687" s="29" t="n"/>
      <c r="H1687" s="3" t="n"/>
    </row>
    <row r="1688">
      <c r="A1688" s="29" t="n"/>
      <c r="H1688" s="3" t="n"/>
    </row>
    <row r="1689">
      <c r="A1689" s="29" t="n"/>
      <c r="H1689" s="3" t="n"/>
    </row>
    <row r="1690">
      <c r="A1690" s="29" t="n"/>
      <c r="H1690" s="3" t="n"/>
    </row>
    <row r="1691">
      <c r="A1691" s="29" t="n"/>
      <c r="H1691" s="3" t="n"/>
    </row>
    <row r="1692">
      <c r="A1692" s="29" t="n"/>
      <c r="H1692" s="3" t="n"/>
    </row>
    <row r="1693">
      <c r="A1693" s="29" t="n"/>
      <c r="H1693" s="3" t="n"/>
    </row>
    <row r="1694">
      <c r="A1694" s="29" t="n"/>
      <c r="H1694" s="3" t="n"/>
    </row>
    <row r="1695">
      <c r="A1695" s="29" t="n"/>
      <c r="H1695" s="3" t="n"/>
    </row>
    <row r="1696">
      <c r="A1696" s="29" t="n"/>
      <c r="H1696" s="3" t="n"/>
    </row>
    <row r="1697">
      <c r="A1697" s="29" t="n"/>
      <c r="H1697" s="3" t="n"/>
    </row>
    <row r="1698">
      <c r="A1698" s="29" t="n"/>
      <c r="H1698" s="3" t="n"/>
    </row>
    <row r="1699">
      <c r="A1699" s="29" t="n"/>
      <c r="H1699" s="3" t="n"/>
    </row>
    <row r="1700">
      <c r="A1700" s="29" t="n"/>
      <c r="H1700" s="3" t="n"/>
    </row>
    <row r="1701">
      <c r="A1701" s="29" t="n"/>
      <c r="H1701" s="3" t="n"/>
    </row>
    <row r="1702">
      <c r="A1702" s="29" t="n"/>
      <c r="H1702" s="3" t="n"/>
    </row>
    <row r="1703">
      <c r="A1703" s="29" t="n"/>
      <c r="H1703" s="3" t="n"/>
    </row>
    <row r="1704">
      <c r="A1704" s="29" t="n"/>
      <c r="H1704" s="3" t="n"/>
    </row>
    <row r="1705">
      <c r="A1705" s="29" t="n"/>
      <c r="H1705" s="3" t="n"/>
    </row>
    <row r="1706">
      <c r="A1706" s="29" t="n"/>
      <c r="H1706" s="3" t="n"/>
    </row>
    <row r="1707">
      <c r="A1707" s="29" t="n"/>
      <c r="H1707" s="3" t="n"/>
    </row>
    <row r="1708">
      <c r="A1708" s="29" t="n"/>
      <c r="H1708" s="3" t="n"/>
    </row>
    <row r="1709">
      <c r="A1709" s="29" t="n"/>
      <c r="H1709" s="3" t="n"/>
    </row>
    <row r="1710">
      <c r="A1710" s="29" t="n"/>
      <c r="H1710" s="3" t="n"/>
    </row>
    <row r="1711">
      <c r="A1711" s="29" t="n"/>
      <c r="H1711" s="3" t="n"/>
    </row>
    <row r="1712">
      <c r="A1712" s="29" t="n"/>
      <c r="H1712" s="3" t="n"/>
    </row>
    <row r="1713">
      <c r="A1713" s="29" t="n"/>
      <c r="H1713" s="3" t="n"/>
    </row>
    <row r="1714">
      <c r="A1714" s="29" t="n"/>
      <c r="H1714" s="3" t="n"/>
    </row>
    <row r="1715">
      <c r="A1715" s="29" t="n"/>
      <c r="H1715" s="3" t="n"/>
    </row>
    <row r="1716">
      <c r="A1716" s="29" t="n"/>
      <c r="H1716" s="3" t="n"/>
    </row>
    <row r="1717">
      <c r="A1717" s="29" t="n"/>
      <c r="H1717" s="3" t="n"/>
    </row>
    <row r="1718">
      <c r="A1718" s="29" t="n"/>
      <c r="H1718" s="3" t="n"/>
    </row>
    <row r="1719">
      <c r="A1719" s="29" t="n"/>
      <c r="H1719" s="3" t="n"/>
    </row>
    <row r="1720">
      <c r="A1720" s="29" t="n"/>
      <c r="H1720" s="3" t="n"/>
    </row>
    <row r="1721">
      <c r="A1721" s="29" t="n"/>
      <c r="H1721" s="3" t="n"/>
    </row>
    <row r="1722">
      <c r="A1722" s="29" t="n"/>
      <c r="H1722" s="3" t="n"/>
    </row>
    <row r="1723">
      <c r="A1723" s="29" t="n"/>
      <c r="H1723" s="3" t="n"/>
    </row>
    <row r="1724">
      <c r="A1724" s="29" t="n"/>
      <c r="H1724" s="3" t="n"/>
    </row>
    <row r="1725">
      <c r="A1725" s="29" t="n"/>
      <c r="H1725" s="3" t="n"/>
    </row>
    <row r="1726">
      <c r="A1726" s="29" t="n"/>
      <c r="H1726" s="3" t="n"/>
    </row>
    <row r="1727">
      <c r="A1727" s="29" t="n"/>
      <c r="H1727" s="3" t="n"/>
    </row>
    <row r="1728">
      <c r="A1728" s="29" t="n"/>
      <c r="H1728" s="3" t="n"/>
    </row>
    <row r="1729">
      <c r="A1729" s="29" t="n"/>
      <c r="H1729" s="3" t="n"/>
    </row>
    <row r="1730">
      <c r="A1730" s="29" t="n"/>
      <c r="H1730" s="3" t="n"/>
    </row>
    <row r="1731">
      <c r="A1731" s="29" t="n"/>
      <c r="H1731" s="3" t="n"/>
    </row>
    <row r="1732">
      <c r="A1732" s="29" t="n"/>
      <c r="H1732" s="3" t="n"/>
    </row>
    <row r="1733">
      <c r="A1733" s="29" t="n"/>
      <c r="H1733" s="3" t="n"/>
    </row>
    <row r="1734">
      <c r="A1734" s="29" t="n"/>
      <c r="H1734" s="3" t="n"/>
    </row>
    <row r="1735">
      <c r="A1735" s="29" t="n"/>
      <c r="H1735" s="3" t="n"/>
    </row>
    <row r="1736">
      <c r="A1736" s="29" t="n"/>
      <c r="H1736" s="3" t="n"/>
    </row>
    <row r="1737">
      <c r="A1737" s="29" t="n"/>
      <c r="H1737" s="3" t="n"/>
    </row>
    <row r="1738">
      <c r="A1738" s="29" t="n"/>
      <c r="H1738" s="3" t="n"/>
    </row>
    <row r="1739">
      <c r="A1739" s="29" t="n"/>
      <c r="H1739" s="3" t="n"/>
    </row>
    <row r="1740">
      <c r="A1740" s="29" t="n"/>
      <c r="H1740" s="3" t="n"/>
    </row>
    <row r="1741">
      <c r="A1741" s="29" t="n"/>
      <c r="H1741" s="3" t="n"/>
    </row>
    <row r="1742">
      <c r="A1742" s="29" t="n"/>
      <c r="H1742" s="3" t="n"/>
    </row>
    <row r="1743">
      <c r="A1743" s="29" t="n"/>
      <c r="H1743" s="3" t="n"/>
    </row>
    <row r="1744">
      <c r="A1744" s="29" t="n"/>
      <c r="H1744" s="3" t="n"/>
    </row>
    <row r="1745">
      <c r="A1745" s="29" t="n"/>
      <c r="H1745" s="3" t="n"/>
    </row>
    <row r="1746">
      <c r="A1746" s="29" t="n"/>
      <c r="H1746" s="3" t="n"/>
    </row>
    <row r="1747">
      <c r="A1747" s="29" t="n"/>
      <c r="H1747" s="3" t="n"/>
    </row>
    <row r="1748">
      <c r="A1748" s="29" t="n"/>
      <c r="H1748" s="3" t="n"/>
    </row>
    <row r="1749">
      <c r="A1749" s="29" t="n"/>
      <c r="H1749" s="3" t="n"/>
    </row>
    <row r="1750">
      <c r="A1750" s="29" t="n"/>
      <c r="H1750" s="3" t="n"/>
    </row>
    <row r="1751">
      <c r="A1751" s="29" t="n"/>
      <c r="H1751" s="3" t="n"/>
    </row>
    <row r="1752">
      <c r="A1752" s="29" t="n"/>
      <c r="H1752" s="3" t="n"/>
    </row>
    <row r="1753">
      <c r="A1753" s="29" t="n"/>
      <c r="H1753" s="3" t="n"/>
    </row>
    <row r="1754">
      <c r="A1754" s="29" t="n"/>
      <c r="H1754" s="3" t="n"/>
    </row>
    <row r="1755">
      <c r="A1755" s="29" t="n"/>
      <c r="H1755" s="3" t="n"/>
    </row>
    <row r="1756">
      <c r="A1756" s="29" t="n"/>
      <c r="H1756" s="3" t="n"/>
    </row>
    <row r="1757">
      <c r="A1757" s="29" t="n"/>
      <c r="H1757" s="3" t="n"/>
    </row>
    <row r="1758">
      <c r="A1758" s="29" t="n"/>
      <c r="H1758" s="3" t="n"/>
    </row>
    <row r="1759">
      <c r="A1759" s="29" t="n"/>
      <c r="H1759" s="3" t="n"/>
    </row>
    <row r="1760">
      <c r="A1760" s="29" t="n"/>
      <c r="H1760" s="3" t="n"/>
    </row>
    <row r="1761">
      <c r="A1761" s="29" t="n"/>
      <c r="H1761" s="3" t="n"/>
    </row>
    <row r="1762">
      <c r="A1762" s="29" t="n"/>
      <c r="H1762" s="3" t="n"/>
    </row>
    <row r="1763">
      <c r="A1763" s="29" t="n"/>
      <c r="H1763" s="3" t="n"/>
    </row>
    <row r="1764">
      <c r="A1764" s="29" t="n"/>
      <c r="H1764" s="3" t="n"/>
    </row>
    <row r="1765">
      <c r="A1765" s="29" t="n"/>
      <c r="H1765" s="3" t="n"/>
    </row>
    <row r="1766">
      <c r="A1766" s="29" t="n"/>
      <c r="H1766" s="3" t="n"/>
    </row>
    <row r="1767">
      <c r="A1767" s="29" t="n"/>
      <c r="H1767" s="3" t="n"/>
    </row>
    <row r="1768">
      <c r="A1768" s="29" t="n"/>
      <c r="H1768" s="3" t="n"/>
    </row>
    <row r="1769">
      <c r="A1769" s="29" t="n"/>
      <c r="H1769" s="3" t="n"/>
    </row>
    <row r="1770">
      <c r="A1770" s="29" t="n"/>
      <c r="H1770" s="3" t="n"/>
    </row>
    <row r="1771">
      <c r="A1771" s="29" t="n"/>
      <c r="H1771" s="3" t="n"/>
    </row>
    <row r="1772">
      <c r="A1772" s="29" t="n"/>
      <c r="H1772" s="3" t="n"/>
    </row>
    <row r="1773">
      <c r="A1773" s="29" t="n"/>
      <c r="H1773" s="3" t="n"/>
    </row>
    <row r="1774">
      <c r="A1774" s="29" t="n"/>
      <c r="H1774" s="3" t="n"/>
    </row>
    <row r="1775">
      <c r="A1775" s="29" t="n"/>
      <c r="H1775" s="3" t="n"/>
    </row>
    <row r="1776">
      <c r="A1776" s="29" t="n"/>
      <c r="H1776" s="3" t="n"/>
    </row>
    <row r="1777">
      <c r="A1777" s="29" t="n"/>
      <c r="H1777" s="3" t="n"/>
    </row>
    <row r="1778">
      <c r="A1778" s="29" t="n"/>
      <c r="H1778" s="3" t="n"/>
    </row>
    <row r="1779">
      <c r="A1779" s="29" t="n"/>
      <c r="H1779" s="3" t="n"/>
    </row>
    <row r="1780">
      <c r="A1780" s="29" t="n"/>
      <c r="H1780" s="3" t="n"/>
    </row>
    <row r="1781">
      <c r="A1781" s="29" t="n"/>
      <c r="H1781" s="3" t="n"/>
    </row>
    <row r="1782">
      <c r="A1782" s="29" t="n"/>
      <c r="H1782" s="3" t="n"/>
    </row>
    <row r="1783">
      <c r="A1783" s="29" t="n"/>
      <c r="H1783" s="3" t="n"/>
    </row>
    <row r="1784">
      <c r="A1784" s="29" t="n"/>
      <c r="H1784" s="3" t="n"/>
    </row>
    <row r="1785">
      <c r="A1785" s="29" t="n"/>
      <c r="H1785" s="3" t="n"/>
    </row>
    <row r="1786">
      <c r="A1786" s="29" t="n"/>
      <c r="H1786" s="3" t="n"/>
    </row>
    <row r="1787">
      <c r="A1787" s="29" t="n"/>
      <c r="H1787" s="3" t="n"/>
    </row>
    <row r="1788">
      <c r="A1788" s="29" t="n"/>
      <c r="H1788" s="3" t="n"/>
    </row>
    <row r="1789">
      <c r="A1789" s="29" t="n"/>
      <c r="H1789" s="3" t="n"/>
    </row>
    <row r="1790">
      <c r="A1790" s="29" t="n"/>
      <c r="H1790" s="3" t="n"/>
    </row>
    <row r="1791">
      <c r="A1791" s="29" t="n"/>
      <c r="H1791" s="3" t="n"/>
    </row>
    <row r="1792">
      <c r="A1792" s="29" t="n"/>
      <c r="H1792" s="3" t="n"/>
    </row>
    <row r="1793">
      <c r="A1793" s="29" t="n"/>
      <c r="H1793" s="3" t="n"/>
    </row>
    <row r="1794">
      <c r="A1794" s="29" t="n"/>
      <c r="H1794" s="3" t="n"/>
    </row>
    <row r="1795">
      <c r="A1795" s="29" t="n"/>
      <c r="H1795" s="3" t="n"/>
    </row>
    <row r="1796">
      <c r="A1796" s="29" t="n"/>
      <c r="H1796" s="3" t="n"/>
    </row>
    <row r="1797">
      <c r="A1797" s="29" t="n"/>
      <c r="H1797" s="3" t="n"/>
    </row>
    <row r="1798">
      <c r="A1798" s="29" t="n"/>
      <c r="H1798" s="3" t="n"/>
    </row>
    <row r="1799">
      <c r="A1799" s="29" t="n"/>
      <c r="H1799" s="3" t="n"/>
    </row>
    <row r="1800">
      <c r="A1800" s="29" t="n"/>
      <c r="H1800" s="3" t="n"/>
    </row>
    <row r="1801">
      <c r="A1801" s="29" t="n"/>
      <c r="H1801" s="3" t="n"/>
    </row>
    <row r="1802">
      <c r="A1802" s="29" t="n"/>
      <c r="H1802" s="3" t="n"/>
    </row>
    <row r="1803">
      <c r="A1803" s="29" t="n"/>
      <c r="H1803" s="3" t="n"/>
    </row>
    <row r="1804">
      <c r="A1804" s="29" t="n"/>
      <c r="H1804" s="3" t="n"/>
    </row>
    <row r="1805">
      <c r="A1805" s="29" t="n"/>
      <c r="H1805" s="3" t="n"/>
    </row>
    <row r="1806">
      <c r="A1806" s="29" t="n"/>
      <c r="H1806" s="3" t="n"/>
    </row>
    <row r="1807">
      <c r="A1807" s="29" t="n"/>
      <c r="H1807" s="3" t="n"/>
    </row>
    <row r="1808">
      <c r="A1808" s="29" t="n"/>
      <c r="H1808" s="3" t="n"/>
    </row>
    <row r="1809">
      <c r="A1809" s="29" t="n"/>
      <c r="H1809" s="3" t="n"/>
    </row>
    <row r="1810">
      <c r="A1810" s="29" t="n"/>
      <c r="H1810" s="3" t="n"/>
    </row>
    <row r="1811">
      <c r="A1811" s="29" t="n"/>
      <c r="H1811" s="3" t="n"/>
    </row>
    <row r="1812">
      <c r="A1812" s="29" t="n"/>
      <c r="H1812" s="3" t="n"/>
    </row>
    <row r="1813">
      <c r="A1813" s="29" t="n"/>
      <c r="H1813" s="3" t="n"/>
    </row>
    <row r="1814">
      <c r="A1814" s="29" t="n"/>
      <c r="H1814" s="3" t="n"/>
    </row>
    <row r="1815">
      <c r="A1815" s="29" t="n"/>
      <c r="H1815" s="3" t="n"/>
    </row>
    <row r="1816">
      <c r="A1816" s="29" t="n"/>
      <c r="H1816" s="3" t="n"/>
    </row>
    <row r="1817">
      <c r="A1817" s="29" t="n"/>
      <c r="H1817" s="3" t="n"/>
    </row>
    <row r="1818">
      <c r="A1818" s="29" t="n"/>
      <c r="H1818" s="3" t="n"/>
    </row>
    <row r="1819">
      <c r="A1819" s="29" t="n"/>
      <c r="H1819" s="3" t="n"/>
    </row>
    <row r="1820">
      <c r="A1820" s="29" t="n"/>
      <c r="H1820" s="3" t="n"/>
    </row>
    <row r="1821">
      <c r="A1821" s="29" t="n"/>
      <c r="H1821" s="3" t="n"/>
    </row>
    <row r="1822">
      <c r="A1822" s="29" t="n"/>
      <c r="H1822" s="3" t="n"/>
    </row>
    <row r="1823">
      <c r="A1823" s="29" t="n"/>
      <c r="H1823" s="3" t="n"/>
    </row>
    <row r="1824">
      <c r="A1824" s="29" t="n"/>
      <c r="H1824" s="3" t="n"/>
    </row>
    <row r="1825">
      <c r="A1825" s="29" t="n"/>
      <c r="H1825" s="3" t="n"/>
    </row>
    <row r="1826">
      <c r="A1826" s="29" t="n"/>
      <c r="H1826" s="3" t="n"/>
    </row>
    <row r="1827">
      <c r="A1827" s="29" t="n"/>
      <c r="H1827" s="3" t="n"/>
    </row>
    <row r="1828">
      <c r="A1828" s="29" t="n"/>
      <c r="H1828" s="3" t="n"/>
    </row>
    <row r="1829">
      <c r="A1829" s="29" t="n"/>
      <c r="H1829" s="3" t="n"/>
    </row>
    <row r="1830">
      <c r="A1830" s="29" t="n"/>
      <c r="H1830" s="3" t="n"/>
    </row>
    <row r="1831">
      <c r="A1831" s="29" t="n"/>
      <c r="H1831" s="3" t="n"/>
    </row>
    <row r="1832">
      <c r="A1832" s="29" t="n"/>
      <c r="H1832" s="3" t="n"/>
    </row>
    <row r="1833">
      <c r="A1833" s="29" t="n"/>
      <c r="H1833" s="3" t="n"/>
    </row>
    <row r="1834">
      <c r="A1834" s="29" t="n"/>
      <c r="H1834" s="3" t="n"/>
    </row>
    <row r="1835">
      <c r="A1835" s="29" t="n"/>
      <c r="H1835" s="3" t="n"/>
    </row>
    <row r="1836">
      <c r="A1836" s="29" t="n"/>
      <c r="H1836" s="3" t="n"/>
    </row>
    <row r="1837">
      <c r="A1837" s="29" t="n"/>
      <c r="H1837" s="3" t="n"/>
    </row>
    <row r="1838">
      <c r="A1838" s="29" t="n"/>
      <c r="H1838" s="3" t="n"/>
    </row>
    <row r="1839">
      <c r="A1839" s="29" t="n"/>
      <c r="H1839" s="3" t="n"/>
    </row>
    <row r="1840">
      <c r="A1840" s="29" t="n"/>
      <c r="H1840" s="3" t="n"/>
    </row>
    <row r="1841">
      <c r="A1841" s="29" t="n"/>
      <c r="H1841" s="3" t="n"/>
    </row>
    <row r="1842">
      <c r="A1842" s="29" t="n"/>
      <c r="H1842" s="3" t="n"/>
    </row>
    <row r="1843">
      <c r="A1843" s="29" t="n"/>
      <c r="H1843" s="3" t="n"/>
    </row>
    <row r="1844">
      <c r="A1844" s="29" t="n"/>
      <c r="H1844" s="3" t="n"/>
    </row>
    <row r="1845">
      <c r="A1845" s="29" t="n"/>
      <c r="H1845" s="3" t="n"/>
    </row>
    <row r="1846">
      <c r="A1846" s="29" t="n"/>
      <c r="H1846" s="3" t="n"/>
    </row>
    <row r="1847">
      <c r="A1847" s="29" t="n"/>
      <c r="H1847" s="3" t="n"/>
    </row>
    <row r="1848">
      <c r="A1848" s="29" t="n"/>
      <c r="H1848" s="3" t="n"/>
    </row>
    <row r="1849">
      <c r="A1849" s="29" t="n"/>
      <c r="H1849" s="3" t="n"/>
    </row>
    <row r="1850">
      <c r="A1850" s="29" t="n"/>
      <c r="H1850" s="3" t="n"/>
    </row>
    <row r="1851">
      <c r="A1851" s="29" t="n"/>
      <c r="H1851" s="3" t="n"/>
    </row>
    <row r="1852">
      <c r="A1852" s="29" t="n"/>
      <c r="H1852" s="3" t="n"/>
    </row>
    <row r="1853">
      <c r="A1853" s="29" t="n"/>
      <c r="H1853" s="3" t="n"/>
    </row>
    <row r="1854">
      <c r="A1854" s="29" t="n"/>
      <c r="H1854" s="3" t="n"/>
    </row>
    <row r="1855">
      <c r="A1855" s="29" t="n"/>
      <c r="H1855" s="3" t="n"/>
    </row>
    <row r="1856">
      <c r="A1856" s="29" t="n"/>
      <c r="H1856" s="3" t="n"/>
    </row>
    <row r="1857">
      <c r="A1857" s="29" t="n"/>
      <c r="H1857" s="3" t="n"/>
    </row>
    <row r="1858">
      <c r="A1858" s="29" t="n"/>
      <c r="H1858" s="3" t="n"/>
    </row>
    <row r="1859">
      <c r="A1859" s="29" t="n"/>
      <c r="H1859" s="3" t="n"/>
    </row>
    <row r="1860">
      <c r="A1860" s="29" t="n"/>
      <c r="H1860" s="3" t="n"/>
    </row>
    <row r="1861">
      <c r="A1861" s="29" t="n"/>
      <c r="H1861" s="3" t="n"/>
    </row>
    <row r="1862">
      <c r="A1862" s="29" t="n"/>
      <c r="H1862" s="3" t="n"/>
    </row>
    <row r="1863">
      <c r="A1863" s="29" t="n"/>
      <c r="H1863" s="3" t="n"/>
    </row>
    <row r="1864">
      <c r="A1864" s="29" t="n"/>
      <c r="H1864" s="3" t="n"/>
    </row>
    <row r="1865">
      <c r="A1865" s="29" t="n"/>
      <c r="H1865" s="3" t="n"/>
    </row>
    <row r="1866">
      <c r="A1866" s="29" t="n"/>
      <c r="H1866" s="3" t="n"/>
    </row>
    <row r="1867">
      <c r="A1867" s="29" t="n"/>
      <c r="H1867" s="3" t="n"/>
    </row>
    <row r="1868">
      <c r="A1868" s="29" t="n"/>
      <c r="H1868" s="3" t="n"/>
    </row>
    <row r="1869">
      <c r="A1869" s="29" t="n"/>
      <c r="H1869" s="3" t="n"/>
    </row>
    <row r="1870">
      <c r="A1870" s="29" t="n"/>
      <c r="H1870" s="3" t="n"/>
    </row>
    <row r="1871">
      <c r="A1871" s="29" t="n"/>
      <c r="H1871" s="3" t="n"/>
    </row>
    <row r="1872">
      <c r="A1872" s="29" t="n"/>
      <c r="H1872" s="3" t="n"/>
    </row>
    <row r="1873">
      <c r="A1873" s="29" t="n"/>
      <c r="H1873" s="3" t="n"/>
    </row>
    <row r="1874">
      <c r="A1874" s="29" t="n"/>
      <c r="H1874" s="3" t="n"/>
    </row>
    <row r="1875">
      <c r="A1875" s="29" t="n"/>
      <c r="H1875" s="3" t="n"/>
    </row>
    <row r="1876">
      <c r="A1876" s="29" t="n"/>
      <c r="H1876" s="3" t="n"/>
    </row>
    <row r="1877">
      <c r="A1877" s="29" t="n"/>
      <c r="H1877" s="3" t="n"/>
    </row>
    <row r="1878">
      <c r="A1878" s="29" t="n"/>
      <c r="H1878" s="3" t="n"/>
    </row>
    <row r="1879">
      <c r="A1879" s="29" t="n"/>
      <c r="H1879" s="3" t="n"/>
    </row>
    <row r="1880">
      <c r="A1880" s="29" t="n"/>
      <c r="H1880" s="3" t="n"/>
    </row>
    <row r="1881">
      <c r="A1881" s="29" t="n"/>
      <c r="H1881" s="3" t="n"/>
    </row>
    <row r="1882">
      <c r="A1882" s="29" t="n"/>
      <c r="H1882" s="3" t="n"/>
    </row>
    <row r="1883">
      <c r="A1883" s="29" t="n"/>
      <c r="H1883" s="3" t="n"/>
    </row>
    <row r="1884">
      <c r="A1884" s="29" t="n"/>
      <c r="H1884" s="3" t="n"/>
    </row>
    <row r="1885">
      <c r="A1885" s="29" t="n"/>
      <c r="H1885" s="3" t="n"/>
    </row>
    <row r="1886">
      <c r="A1886" s="29" t="n"/>
      <c r="H1886" s="3" t="n"/>
    </row>
    <row r="1887">
      <c r="A1887" s="29" t="n"/>
      <c r="H1887" s="3" t="n"/>
    </row>
    <row r="1888">
      <c r="A1888" s="29" t="n"/>
      <c r="H1888" s="3" t="n"/>
    </row>
    <row r="1889">
      <c r="A1889" s="29" t="n"/>
      <c r="H1889" s="3" t="n"/>
    </row>
    <row r="1890">
      <c r="A1890" s="29" t="n"/>
      <c r="H1890" s="3" t="n"/>
    </row>
    <row r="1891">
      <c r="A1891" s="29" t="n"/>
      <c r="H1891" s="3" t="n"/>
    </row>
    <row r="1892">
      <c r="A1892" s="29" t="n"/>
      <c r="H1892" s="3" t="n"/>
    </row>
    <row r="1893">
      <c r="A1893" s="29" t="n"/>
      <c r="H1893" s="3" t="n"/>
    </row>
    <row r="1894">
      <c r="A1894" s="29" t="n"/>
      <c r="H1894" s="3" t="n"/>
    </row>
    <row r="1895">
      <c r="A1895" s="29" t="n"/>
      <c r="H1895" s="3" t="n"/>
    </row>
    <row r="1896">
      <c r="A1896" s="29" t="n"/>
      <c r="H1896" s="3" t="n"/>
    </row>
    <row r="1897">
      <c r="A1897" s="29" t="n"/>
      <c r="H1897" s="3" t="n"/>
    </row>
    <row r="1898">
      <c r="A1898" s="29" t="n"/>
      <c r="H1898" s="3" t="n"/>
    </row>
    <row r="1899">
      <c r="A1899" s="29" t="n"/>
      <c r="H1899" s="3" t="n"/>
    </row>
    <row r="1900">
      <c r="A1900" s="29" t="n"/>
      <c r="H1900" s="3" t="n"/>
    </row>
    <row r="1901">
      <c r="A1901" s="29" t="n"/>
      <c r="H1901" s="3" t="n"/>
    </row>
    <row r="1902">
      <c r="A1902" s="29" t="n"/>
      <c r="H1902" s="3" t="n"/>
    </row>
    <row r="1903">
      <c r="A1903" s="29" t="n"/>
      <c r="H1903" s="3" t="n"/>
    </row>
    <row r="1904">
      <c r="A1904" s="29" t="n"/>
      <c r="H1904" s="3" t="n"/>
    </row>
    <row r="1905">
      <c r="A1905" s="29" t="n"/>
      <c r="H1905" s="3" t="n"/>
    </row>
    <row r="1906">
      <c r="A1906" s="29" t="n"/>
      <c r="H1906" s="3" t="n"/>
    </row>
    <row r="1907">
      <c r="A1907" s="29" t="n"/>
      <c r="H1907" s="3" t="n"/>
    </row>
    <row r="1908">
      <c r="A1908" s="29" t="n"/>
      <c r="H1908" s="3" t="n"/>
    </row>
    <row r="1909">
      <c r="A1909" s="29" t="n"/>
      <c r="H1909" s="3" t="n"/>
    </row>
    <row r="1910">
      <c r="A1910" s="29" t="n"/>
      <c r="H1910" s="3" t="n"/>
    </row>
    <row r="1911">
      <c r="A1911" s="29" t="n"/>
      <c r="H1911" s="3" t="n"/>
    </row>
    <row r="1912">
      <c r="A1912" s="29" t="n"/>
      <c r="H1912" s="3" t="n"/>
    </row>
    <row r="1913">
      <c r="A1913" s="29" t="n"/>
      <c r="H1913" s="3" t="n"/>
    </row>
    <row r="1914">
      <c r="A1914" s="29" t="n"/>
      <c r="H1914" s="3" t="n"/>
    </row>
    <row r="1915">
      <c r="A1915" s="29" t="n"/>
      <c r="H1915" s="3" t="n"/>
    </row>
    <row r="1916">
      <c r="A1916" s="29" t="n"/>
      <c r="H1916" s="3" t="n"/>
    </row>
    <row r="1917">
      <c r="A1917" s="29" t="n"/>
      <c r="H1917" s="3" t="n"/>
    </row>
    <row r="1918">
      <c r="A1918" s="29" t="n"/>
      <c r="H1918" s="3" t="n"/>
    </row>
    <row r="1919">
      <c r="A1919" s="29" t="n"/>
      <c r="H1919" s="3" t="n"/>
    </row>
    <row r="1920">
      <c r="A1920" s="29" t="n"/>
      <c r="H1920" s="3" t="n"/>
    </row>
    <row r="1921">
      <c r="A1921" s="29" t="n"/>
      <c r="H1921" s="3" t="n"/>
    </row>
    <row r="1922">
      <c r="A1922" s="29" t="n"/>
      <c r="H1922" s="3" t="n"/>
    </row>
    <row r="1923">
      <c r="A1923" s="29" t="n"/>
      <c r="H1923" s="3" t="n"/>
    </row>
    <row r="1924">
      <c r="A1924" s="29" t="n"/>
      <c r="H1924" s="3" t="n"/>
    </row>
    <row r="1925">
      <c r="A1925" s="29" t="n"/>
      <c r="H1925" s="3" t="n"/>
    </row>
    <row r="1926">
      <c r="A1926" s="29" t="n"/>
      <c r="H1926" s="3" t="n"/>
    </row>
    <row r="1927">
      <c r="A1927" s="29" t="n"/>
      <c r="H1927" s="3" t="n"/>
    </row>
    <row r="1928">
      <c r="A1928" s="29" t="n"/>
      <c r="H1928" s="3" t="n"/>
    </row>
    <row r="1929">
      <c r="A1929" s="29" t="n"/>
      <c r="H1929" s="3" t="n"/>
    </row>
    <row r="1930">
      <c r="A1930" s="29" t="n"/>
      <c r="H1930" s="3" t="n"/>
    </row>
    <row r="1931">
      <c r="A1931" s="29" t="n"/>
      <c r="H1931" s="3" t="n"/>
    </row>
    <row r="1932">
      <c r="A1932" s="29" t="n"/>
      <c r="H1932" s="3" t="n"/>
    </row>
    <row r="1933">
      <c r="A1933" s="29" t="n"/>
      <c r="H1933" s="3" t="n"/>
    </row>
    <row r="1934">
      <c r="A1934" s="29" t="n"/>
      <c r="H1934" s="3" t="n"/>
    </row>
    <row r="1935">
      <c r="A1935" s="29" t="n"/>
      <c r="H1935" s="3" t="n"/>
    </row>
    <row r="1936">
      <c r="A1936" s="29" t="n"/>
      <c r="H1936" s="3" t="n"/>
    </row>
    <row r="1937">
      <c r="A1937" s="29" t="n"/>
      <c r="H1937" s="3" t="n"/>
    </row>
    <row r="1938">
      <c r="A1938" s="29" t="n"/>
      <c r="H1938" s="3" t="n"/>
    </row>
    <row r="1939">
      <c r="A1939" s="29" t="n"/>
      <c r="H1939" s="3" t="n"/>
    </row>
    <row r="1940">
      <c r="A1940" s="29" t="n"/>
      <c r="H1940" s="3" t="n"/>
    </row>
    <row r="1941">
      <c r="A1941" s="29" t="n"/>
      <c r="H1941" s="3" t="n"/>
    </row>
    <row r="1942">
      <c r="A1942" s="29" t="n"/>
      <c r="H1942" s="3" t="n"/>
    </row>
    <row r="1943">
      <c r="A1943" s="29" t="n"/>
      <c r="H1943" s="3" t="n"/>
    </row>
    <row r="1944">
      <c r="A1944" s="29" t="n"/>
      <c r="H1944" s="3" t="n"/>
    </row>
    <row r="1945">
      <c r="A1945" s="29" t="n"/>
      <c r="H1945" s="3" t="n"/>
    </row>
    <row r="1946">
      <c r="A1946" s="29" t="n"/>
      <c r="H1946" s="3" t="n"/>
    </row>
    <row r="1947">
      <c r="A1947" s="29" t="n"/>
      <c r="H1947" s="3" t="n"/>
    </row>
    <row r="1948">
      <c r="A1948" s="29" t="n"/>
      <c r="H1948" s="3" t="n"/>
    </row>
    <row r="1949">
      <c r="A1949" s="29" t="n"/>
      <c r="H1949" s="3" t="n"/>
    </row>
    <row r="1950">
      <c r="A1950" s="29" t="n"/>
      <c r="H1950" s="3" t="n"/>
    </row>
    <row r="1951">
      <c r="A1951" s="29" t="n"/>
      <c r="H1951" s="3" t="n"/>
    </row>
    <row r="1952">
      <c r="A1952" s="29" t="n"/>
      <c r="H1952" s="3" t="n"/>
    </row>
    <row r="1953">
      <c r="A1953" s="29" t="n"/>
      <c r="H1953" s="3" t="n"/>
    </row>
    <row r="1954">
      <c r="A1954" s="29" t="n"/>
      <c r="H1954" s="3" t="n"/>
    </row>
    <row r="1955">
      <c r="A1955" s="29" t="n"/>
      <c r="H1955" s="3" t="n"/>
    </row>
    <row r="1956">
      <c r="A1956" s="29" t="n"/>
      <c r="H1956" s="3" t="n"/>
    </row>
    <row r="1957">
      <c r="A1957" s="29" t="n"/>
      <c r="H1957" s="3" t="n"/>
    </row>
    <row r="1958">
      <c r="A1958" s="29" t="n"/>
      <c r="H1958" s="3" t="n"/>
    </row>
    <row r="1959">
      <c r="A1959" s="29" t="n"/>
      <c r="H1959" s="3" t="n"/>
    </row>
    <row r="1960">
      <c r="A1960" s="29" t="n"/>
      <c r="H1960" s="3" t="n"/>
    </row>
    <row r="1961">
      <c r="A1961" s="29" t="n"/>
      <c r="H1961" s="3" t="n"/>
    </row>
    <row r="1962">
      <c r="A1962" s="29" t="n"/>
      <c r="H1962" s="3" t="n"/>
    </row>
    <row r="1963">
      <c r="A1963" s="29" t="n"/>
      <c r="H1963" s="3" t="n"/>
    </row>
    <row r="1964">
      <c r="A1964" s="29" t="n"/>
      <c r="H1964" s="3" t="n"/>
    </row>
    <row r="1965">
      <c r="A1965" s="29" t="n"/>
      <c r="H1965" s="3" t="n"/>
    </row>
    <row r="1966">
      <c r="A1966" s="29" t="n"/>
      <c r="H1966" s="3" t="n"/>
    </row>
    <row r="1967">
      <c r="A1967" s="29" t="n"/>
      <c r="H1967" s="3" t="n"/>
    </row>
    <row r="1968">
      <c r="A1968" s="29" t="n"/>
      <c r="H1968" s="3" t="n"/>
    </row>
    <row r="1969">
      <c r="A1969" s="29" t="n"/>
      <c r="H1969" s="3" t="n"/>
    </row>
    <row r="1970">
      <c r="A1970" s="29" t="n"/>
      <c r="H1970" s="3" t="n"/>
    </row>
    <row r="1971">
      <c r="A1971" s="29" t="n"/>
      <c r="H1971" s="3" t="n"/>
    </row>
    <row r="1972">
      <c r="A1972" s="29" t="n"/>
      <c r="H1972" s="3" t="n"/>
    </row>
    <row r="1973">
      <c r="A1973" s="29" t="n"/>
      <c r="H1973" s="3" t="n"/>
    </row>
    <row r="1974">
      <c r="A1974" s="29" t="n"/>
      <c r="H1974" s="3" t="n"/>
    </row>
    <row r="1975">
      <c r="A1975" s="29" t="n"/>
      <c r="H1975" s="3" t="n"/>
    </row>
    <row r="1976">
      <c r="A1976" s="29" t="n"/>
      <c r="H1976" s="3" t="n"/>
    </row>
    <row r="1977">
      <c r="A1977" s="29" t="n"/>
      <c r="H1977" s="3" t="n"/>
    </row>
    <row r="1978">
      <c r="A1978" s="29" t="n"/>
      <c r="H1978" s="3" t="n"/>
    </row>
    <row r="1979">
      <c r="A1979" s="29" t="n"/>
      <c r="H1979" s="3" t="n"/>
    </row>
    <row r="1980">
      <c r="A1980" s="29" t="n"/>
      <c r="H1980" s="3" t="n"/>
    </row>
    <row r="1981">
      <c r="A1981" s="29" t="n"/>
      <c r="H1981" s="3" t="n"/>
    </row>
    <row r="1982">
      <c r="A1982" s="29" t="n"/>
      <c r="H1982" s="3" t="n"/>
    </row>
    <row r="1983">
      <c r="A1983" s="29" t="n"/>
      <c r="H1983" s="3" t="n"/>
    </row>
    <row r="1984">
      <c r="A1984" s="29" t="n"/>
      <c r="H1984" s="3" t="n"/>
    </row>
    <row r="1985">
      <c r="A1985" s="29" t="n"/>
      <c r="H1985" s="3" t="n"/>
    </row>
    <row r="1986">
      <c r="A1986" s="29" t="n"/>
      <c r="H1986" s="3" t="n"/>
    </row>
    <row r="1987">
      <c r="A1987" s="29" t="n"/>
      <c r="H1987" s="3" t="n"/>
    </row>
    <row r="1988">
      <c r="A1988" s="29" t="n"/>
      <c r="H1988" s="3" t="n"/>
    </row>
    <row r="1989">
      <c r="A1989" s="29" t="n"/>
      <c r="H1989" s="3" t="n"/>
    </row>
    <row r="1990">
      <c r="A1990" s="29" t="n"/>
      <c r="H1990" s="3" t="n"/>
    </row>
    <row r="1991">
      <c r="A1991" s="29" t="n"/>
      <c r="H1991" s="3" t="n"/>
    </row>
    <row r="1992">
      <c r="A1992" s="29" t="n"/>
      <c r="H1992" s="3" t="n"/>
    </row>
    <row r="1993">
      <c r="A1993" s="29" t="n"/>
      <c r="H1993" s="3" t="n"/>
    </row>
    <row r="1994">
      <c r="A1994" s="29" t="n"/>
      <c r="H1994" s="3" t="n"/>
    </row>
    <row r="1995">
      <c r="A1995" s="29" t="n"/>
      <c r="H1995" s="3" t="n"/>
    </row>
    <row r="1996">
      <c r="A1996" s="29" t="n"/>
      <c r="H1996" s="3" t="n"/>
    </row>
    <row r="1997">
      <c r="A1997" s="29" t="n"/>
      <c r="H1997" s="3" t="n"/>
    </row>
    <row r="1998">
      <c r="A1998" s="29" t="n"/>
      <c r="H1998" s="3" t="n"/>
    </row>
    <row r="1999">
      <c r="A1999" s="29" t="n"/>
      <c r="H1999" s="3" t="n"/>
    </row>
    <row r="2000">
      <c r="A2000" s="29" t="n"/>
      <c r="H2000" s="3" t="n"/>
    </row>
  </sheetData>
  <autoFilter ref="A1:O7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16" customWidth="1" min="4" max="4"/>
    <col width="42" customWidth="1" min="5" max="5"/>
    <col width="12" customWidth="1" min="6" max="6"/>
    <col width="40" customWidth="1" min="7" max="7"/>
  </cols>
  <sheetData>
    <row r="1">
      <c r="A1" s="7" t="inlineStr">
        <is>
          <t>Mês Projetado</t>
        </is>
      </c>
      <c r="B1" s="7" t="inlineStr">
        <is>
          <t>Categoria</t>
        </is>
      </c>
      <c r="C1" s="7" t="inlineStr">
        <is>
          <t>Conta / Despesa</t>
        </is>
      </c>
      <c r="D1" s="7" t="inlineStr">
        <is>
          <t>Valor Estimado</t>
        </is>
      </c>
      <c r="E1" s="7" t="inlineStr">
        <is>
          <t>Base da Projeção</t>
        </is>
      </c>
      <c r="F1" s="7" t="inlineStr">
        <is>
          <t>Confiança</t>
        </is>
      </c>
      <c r="G1" s="7" t="inlineStr">
        <is>
          <t>Observações</t>
        </is>
      </c>
    </row>
    <row r="2">
      <c r="A2" t="inlineStr">
        <is>
          <t>Julho/2026</t>
        </is>
      </c>
      <c r="B2" t="inlineStr">
        <is>
          <t>Contas Fixas</t>
        </is>
      </c>
      <c r="C2" t="inlineStr">
        <is>
          <t>Assinatura Meli+</t>
        </is>
      </c>
      <c r="D2" s="3" t="n">
        <v>-9.699999999999999</v>
      </c>
      <c r="E2" t="inlineStr">
        <is>
          <t>Média de 5 pagamentos entre 01/2026 e 05/2026</t>
        </is>
      </c>
      <c r="F2" t="inlineStr">
        <is>
          <t>Média</t>
        </is>
      </c>
      <c r="G2" t="inlineStr">
        <is>
          <t>Projeção estimada — não substitui valor real</t>
        </is>
      </c>
    </row>
    <row r="3">
      <c r="A3" t="inlineStr">
        <is>
          <t>Agosto/2026</t>
        </is>
      </c>
      <c r="B3" t="inlineStr">
        <is>
          <t>Contas Fixas</t>
        </is>
      </c>
      <c r="C3" t="inlineStr">
        <is>
          <t>Assinatura Meli+</t>
        </is>
      </c>
      <c r="D3" s="3" t="n">
        <v>-9.699999999999999</v>
      </c>
      <c r="E3" t="inlineStr">
        <is>
          <t>Média de 5 pagamentos entre 01/2026 e 05/2026</t>
        </is>
      </c>
      <c r="F3" t="inlineStr">
        <is>
          <t>Média</t>
        </is>
      </c>
      <c r="G3" t="inlineStr">
        <is>
          <t>Projeção estimada — não substitui valor real</t>
        </is>
      </c>
    </row>
    <row r="4">
      <c r="A4" t="inlineStr">
        <is>
          <t>Setembro/2026</t>
        </is>
      </c>
      <c r="B4" t="inlineStr">
        <is>
          <t>Contas Fixas</t>
        </is>
      </c>
      <c r="C4" t="inlineStr">
        <is>
          <t>Assinatura Meli+</t>
        </is>
      </c>
      <c r="D4" s="3" t="n">
        <v>-9.699999999999999</v>
      </c>
      <c r="E4" t="inlineStr">
        <is>
          <t>Média de 5 pagamentos entre 01/2026 e 05/2026</t>
        </is>
      </c>
      <c r="F4" t="inlineStr">
        <is>
          <t>Média</t>
        </is>
      </c>
      <c r="G4" t="inlineStr">
        <is>
          <t>Projeção estimada — não substitui valor real</t>
        </is>
      </c>
    </row>
    <row r="5">
      <c r="A5" t="inlineStr">
        <is>
          <t>Julho/2026</t>
        </is>
      </c>
      <c r="B5" t="inlineStr">
        <is>
          <t>Transferência - Bruno (própria)</t>
        </is>
      </c>
      <c r="C5" t="inlineStr">
        <is>
          <t>Pix Bruno→Bruno (entre contas próprias)</t>
        </is>
      </c>
      <c r="D5" s="3" t="n">
        <v>-683.4883720930233</v>
      </c>
      <c r="E5" t="inlineStr">
        <is>
          <t>Média de 43 pagamentos entre 01/2026 e 05/2026</t>
        </is>
      </c>
      <c r="F5" t="inlineStr">
        <is>
          <t>Baixa</t>
        </is>
      </c>
      <c r="G5" t="inlineStr">
        <is>
          <t>Projeção estimada — não substitui valor real</t>
        </is>
      </c>
    </row>
    <row r="6">
      <c r="A6" t="inlineStr">
        <is>
          <t>Agosto/2026</t>
        </is>
      </c>
      <c r="B6" t="inlineStr">
        <is>
          <t>Transferência - Bruno (própria)</t>
        </is>
      </c>
      <c r="C6" t="inlineStr">
        <is>
          <t>Pix Bruno→Bruno (entre contas próprias)</t>
        </is>
      </c>
      <c r="D6" s="3" t="n">
        <v>-683.4883720930233</v>
      </c>
      <c r="E6" t="inlineStr">
        <is>
          <t>Média de 43 pagamentos entre 01/2026 e 05/2026</t>
        </is>
      </c>
      <c r="F6" t="inlineStr">
        <is>
          <t>Baixa</t>
        </is>
      </c>
      <c r="G6" t="inlineStr">
        <is>
          <t>Projeção estimada — não substitui valor real</t>
        </is>
      </c>
    </row>
    <row r="7">
      <c r="A7" t="inlineStr">
        <is>
          <t>Setembro/2026</t>
        </is>
      </c>
      <c r="B7" t="inlineStr">
        <is>
          <t>Transferência - Bruno (própria)</t>
        </is>
      </c>
      <c r="C7" t="inlineStr">
        <is>
          <t>Pix Bruno→Bruno (entre contas próprias)</t>
        </is>
      </c>
      <c r="D7" s="3" t="n">
        <v>-683.4883720930233</v>
      </c>
      <c r="E7" t="inlineStr">
        <is>
          <t>Média de 43 pagamentos entre 01/2026 e 05/2026</t>
        </is>
      </c>
      <c r="F7" t="inlineStr">
        <is>
          <t>Baixa</t>
        </is>
      </c>
      <c r="G7" t="inlineStr">
        <is>
          <t>Projeção estimada — não substitui valor real</t>
        </is>
      </c>
    </row>
    <row r="8">
      <c r="A8" t="inlineStr">
        <is>
          <t>Julho/2026</t>
        </is>
      </c>
      <c r="B8" t="inlineStr">
        <is>
          <t>Transferência - Denise</t>
        </is>
      </c>
      <c r="C8" t="inlineStr">
        <is>
          <t>Pix Bruno→Denise</t>
        </is>
      </c>
      <c r="D8" s="3" t="n">
        <v>-653.3333333333334</v>
      </c>
      <c r="E8" t="inlineStr">
        <is>
          <t>Média de 12 pagamentos entre 01/2026 e 05/2026</t>
        </is>
      </c>
      <c r="F8" t="inlineStr">
        <is>
          <t>Baixa</t>
        </is>
      </c>
      <c r="G8" t="inlineStr">
        <is>
          <t>Projeção estimada — não substitui valor real</t>
        </is>
      </c>
    </row>
    <row r="9">
      <c r="A9" t="inlineStr">
        <is>
          <t>Agosto/2026</t>
        </is>
      </c>
      <c r="B9" t="inlineStr">
        <is>
          <t>Transferência - Denise</t>
        </is>
      </c>
      <c r="C9" t="inlineStr">
        <is>
          <t>Pix Bruno→Denise</t>
        </is>
      </c>
      <c r="D9" s="3" t="n">
        <v>-653.3333333333334</v>
      </c>
      <c r="E9" t="inlineStr">
        <is>
          <t>Média de 12 pagamentos entre 01/2026 e 05/2026</t>
        </is>
      </c>
      <c r="F9" t="inlineStr">
        <is>
          <t>Baixa</t>
        </is>
      </c>
      <c r="G9" t="inlineStr">
        <is>
          <t>Projeção estimada — não substitui valor real</t>
        </is>
      </c>
    </row>
    <row r="10">
      <c r="A10" t="inlineStr">
        <is>
          <t>Setembro/2026</t>
        </is>
      </c>
      <c r="B10" t="inlineStr">
        <is>
          <t>Transferência - Denise</t>
        </is>
      </c>
      <c r="C10" t="inlineStr">
        <is>
          <t>Pix Bruno→Denise</t>
        </is>
      </c>
      <c r="D10" s="3" t="n">
        <v>-653.3333333333334</v>
      </c>
      <c r="E10" t="inlineStr">
        <is>
          <t>Média de 12 pagamentos entre 01/2026 e 05/2026</t>
        </is>
      </c>
      <c r="F10" t="inlineStr">
        <is>
          <t>Baixa</t>
        </is>
      </c>
      <c r="G10" t="inlineStr">
        <is>
          <t>Projeção estimada — não substitui valor real</t>
        </is>
      </c>
    </row>
    <row r="11">
      <c r="A11" t="inlineStr">
        <is>
          <t>Julho/2026</t>
        </is>
      </c>
      <c r="B11" t="inlineStr">
        <is>
          <t>Contas Variáveis</t>
        </is>
      </c>
      <c r="C11" t="inlineStr">
        <is>
          <t>Materiais / Construção</t>
        </is>
      </c>
      <c r="D11" s="3" t="n">
        <v>-26.35</v>
      </c>
      <c r="E11" t="inlineStr">
        <is>
          <t>Média de 2 pagamentos entre 01/2026 e 04/2026</t>
        </is>
      </c>
      <c r="F11" t="inlineStr">
        <is>
          <t>Baixa</t>
        </is>
      </c>
      <c r="G11" t="inlineStr">
        <is>
          <t>Projeção estimada — não substitui valor real</t>
        </is>
      </c>
    </row>
    <row r="12">
      <c r="A12" t="inlineStr">
        <is>
          <t>Agosto/2026</t>
        </is>
      </c>
      <c r="B12" t="inlineStr">
        <is>
          <t>Contas Variáveis</t>
        </is>
      </c>
      <c r="C12" t="inlineStr">
        <is>
          <t>Materiais / Construção</t>
        </is>
      </c>
      <c r="D12" s="3" t="n">
        <v>-26.35</v>
      </c>
      <c r="E12" t="inlineStr">
        <is>
          <t>Média de 2 pagamentos entre 01/2026 e 04/2026</t>
        </is>
      </c>
      <c r="F12" t="inlineStr">
        <is>
          <t>Baixa</t>
        </is>
      </c>
      <c r="G12" t="inlineStr">
        <is>
          <t>Projeção estimada — não substitui valor real</t>
        </is>
      </c>
    </row>
    <row r="13">
      <c r="A13" t="inlineStr">
        <is>
          <t>Setembro/2026</t>
        </is>
      </c>
      <c r="B13" t="inlineStr">
        <is>
          <t>Contas Variáveis</t>
        </is>
      </c>
      <c r="C13" t="inlineStr">
        <is>
          <t>Materiais / Construção</t>
        </is>
      </c>
      <c r="D13" s="3" t="n">
        <v>-26.35</v>
      </c>
      <c r="E13" t="inlineStr">
        <is>
          <t>Média de 2 pagamentos entre 01/2026 e 04/2026</t>
        </is>
      </c>
      <c r="F13" t="inlineStr">
        <is>
          <t>Baixa</t>
        </is>
      </c>
      <c r="G13" t="inlineStr">
        <is>
          <t>Projeção estimada — não substitui valor real</t>
        </is>
      </c>
    </row>
    <row r="14">
      <c r="A14" t="inlineStr">
        <is>
          <t>Julho/2026</t>
        </is>
      </c>
      <c r="B14" t="inlineStr">
        <is>
          <t>Contas Variáveis</t>
        </is>
      </c>
      <c r="C14" t="inlineStr">
        <is>
          <t>Mercado</t>
        </is>
      </c>
      <c r="D14" s="3" t="n">
        <v>-86.58842105263159</v>
      </c>
      <c r="E14" t="inlineStr">
        <is>
          <t>Média de 19 pagamentos entre 01/2026 e 06/2026</t>
        </is>
      </c>
      <c r="F14" t="inlineStr">
        <is>
          <t>Baixa</t>
        </is>
      </c>
      <c r="G14" t="inlineStr">
        <is>
          <t>Projeção estimada — não substitui valor real</t>
        </is>
      </c>
    </row>
    <row r="15">
      <c r="A15" t="inlineStr">
        <is>
          <t>Agosto/2026</t>
        </is>
      </c>
      <c r="B15" t="inlineStr">
        <is>
          <t>Contas Variáveis</t>
        </is>
      </c>
      <c r="C15" t="inlineStr">
        <is>
          <t>Mercado</t>
        </is>
      </c>
      <c r="D15" s="3" t="n">
        <v>-86.58842105263159</v>
      </c>
      <c r="E15" t="inlineStr">
        <is>
          <t>Média de 19 pagamentos entre 01/2026 e 06/2026</t>
        </is>
      </c>
      <c r="F15" t="inlineStr">
        <is>
          <t>Baixa</t>
        </is>
      </c>
      <c r="G15" t="inlineStr">
        <is>
          <t>Projeção estimada — não substitui valor real</t>
        </is>
      </c>
    </row>
    <row r="16">
      <c r="A16" t="inlineStr">
        <is>
          <t>Setembro/2026</t>
        </is>
      </c>
      <c r="B16" t="inlineStr">
        <is>
          <t>Contas Variáveis</t>
        </is>
      </c>
      <c r="C16" t="inlineStr">
        <is>
          <t>Mercado</t>
        </is>
      </c>
      <c r="D16" s="3" t="n">
        <v>-86.58842105263159</v>
      </c>
      <c r="E16" t="inlineStr">
        <is>
          <t>Média de 19 pagamentos entre 01/2026 e 06/2026</t>
        </is>
      </c>
      <c r="F16" t="inlineStr">
        <is>
          <t>Baixa</t>
        </is>
      </c>
      <c r="G16" t="inlineStr">
        <is>
          <t>Projeção estimada — não substitui valor real</t>
        </is>
      </c>
    </row>
    <row r="17">
      <c r="A17" t="inlineStr">
        <is>
          <t>Julho/2026</t>
        </is>
      </c>
      <c r="B17" t="inlineStr">
        <is>
          <t>Contas Variáveis</t>
        </is>
      </c>
      <c r="C17" t="inlineStr">
        <is>
          <t>Combustível</t>
        </is>
      </c>
      <c r="D17" s="3" t="n">
        <v>-77.58142857142856</v>
      </c>
      <c r="E17" t="inlineStr">
        <is>
          <t>Média de 21 pagamentos entre 01/2026 e 06/2026</t>
        </is>
      </c>
      <c r="F17" t="inlineStr">
        <is>
          <t>Baixa</t>
        </is>
      </c>
      <c r="G17" t="inlineStr">
        <is>
          <t>Projeção estimada — não substitui valor real</t>
        </is>
      </c>
    </row>
    <row r="18">
      <c r="A18" t="inlineStr">
        <is>
          <t>Agosto/2026</t>
        </is>
      </c>
      <c r="B18" t="inlineStr">
        <is>
          <t>Contas Variáveis</t>
        </is>
      </c>
      <c r="C18" t="inlineStr">
        <is>
          <t>Combustível</t>
        </is>
      </c>
      <c r="D18" s="3" t="n">
        <v>-77.58142857142856</v>
      </c>
      <c r="E18" t="inlineStr">
        <is>
          <t>Média de 21 pagamentos entre 01/2026 e 06/2026</t>
        </is>
      </c>
      <c r="F18" t="inlineStr">
        <is>
          <t>Baixa</t>
        </is>
      </c>
      <c r="G18" t="inlineStr">
        <is>
          <t>Projeção estimada — não substitui valor real</t>
        </is>
      </c>
    </row>
    <row r="19">
      <c r="A19" t="inlineStr">
        <is>
          <t>Setembro/2026</t>
        </is>
      </c>
      <c r="B19" t="inlineStr">
        <is>
          <t>Contas Variáveis</t>
        </is>
      </c>
      <c r="C19" t="inlineStr">
        <is>
          <t>Combustível</t>
        </is>
      </c>
      <c r="D19" s="3" t="n">
        <v>-77.58142857142856</v>
      </c>
      <c r="E19" t="inlineStr">
        <is>
          <t>Média de 21 pagamentos entre 01/2026 e 06/2026</t>
        </is>
      </c>
      <c r="F19" t="inlineStr">
        <is>
          <t>Baixa</t>
        </is>
      </c>
      <c r="G19" t="inlineStr">
        <is>
          <t>Projeção estimada — não substitui valor real</t>
        </is>
      </c>
    </row>
    <row r="20">
      <c r="A20" t="inlineStr">
        <is>
          <t>Julho/2026</t>
        </is>
      </c>
      <c r="B20" t="inlineStr">
        <is>
          <t>Contas Variáveis</t>
        </is>
      </c>
      <c r="C20" t="inlineStr">
        <is>
          <t>Google Ads / Google</t>
        </is>
      </c>
      <c r="D20" s="3" t="n">
        <v>-96.98999999999999</v>
      </c>
      <c r="E20" t="inlineStr">
        <is>
          <t>Média de 4 pagamentos entre 01/2026 e 05/2026</t>
        </is>
      </c>
      <c r="F20" t="inlineStr">
        <is>
          <t>Alta</t>
        </is>
      </c>
      <c r="G20" t="inlineStr">
        <is>
          <t>Projeção estimada — não substitui valor real</t>
        </is>
      </c>
    </row>
    <row r="21">
      <c r="A21" t="inlineStr">
        <is>
          <t>Agosto/2026</t>
        </is>
      </c>
      <c r="B21" t="inlineStr">
        <is>
          <t>Contas Variáveis</t>
        </is>
      </c>
      <c r="C21" t="inlineStr">
        <is>
          <t>Google Ads / Google</t>
        </is>
      </c>
      <c r="D21" s="3" t="n">
        <v>-96.98999999999999</v>
      </c>
      <c r="E21" t="inlineStr">
        <is>
          <t>Média de 4 pagamentos entre 01/2026 e 05/2026</t>
        </is>
      </c>
      <c r="F21" t="inlineStr">
        <is>
          <t>Alta</t>
        </is>
      </c>
      <c r="G21" t="inlineStr">
        <is>
          <t>Projeção estimada — não substitui valor real</t>
        </is>
      </c>
    </row>
    <row r="22">
      <c r="A22" t="inlineStr">
        <is>
          <t>Setembro/2026</t>
        </is>
      </c>
      <c r="B22" t="inlineStr">
        <is>
          <t>Contas Variáveis</t>
        </is>
      </c>
      <c r="C22" t="inlineStr">
        <is>
          <t>Google Ads / Google</t>
        </is>
      </c>
      <c r="D22" s="3" t="n">
        <v>-96.98999999999999</v>
      </c>
      <c r="E22" t="inlineStr">
        <is>
          <t>Média de 4 pagamentos entre 01/2026 e 05/2026</t>
        </is>
      </c>
      <c r="F22" t="inlineStr">
        <is>
          <t>Alta</t>
        </is>
      </c>
      <c r="G22" t="inlineStr">
        <is>
          <t>Projeção estimada — não substitui valor real</t>
        </is>
      </c>
    </row>
    <row r="23">
      <c r="A23" t="inlineStr">
        <is>
          <t>Julho/2026</t>
        </is>
      </c>
      <c r="B23" t="inlineStr">
        <is>
          <t>Contas Fixas</t>
        </is>
      </c>
      <c r="C23" t="inlineStr">
        <is>
          <t>Hospedagem / Site</t>
        </is>
      </c>
      <c r="D23" s="3" t="n">
        <v>-44.61666666666667</v>
      </c>
      <c r="E23" t="inlineStr">
        <is>
          <t>Média de 3 pagamentos entre 01/2026 e 05/2026</t>
        </is>
      </c>
      <c r="F23" t="inlineStr">
        <is>
          <t>Média</t>
        </is>
      </c>
      <c r="G23" t="inlineStr">
        <is>
          <t>Projeção estimada — não substitui valor real</t>
        </is>
      </c>
    </row>
    <row r="24">
      <c r="A24" t="inlineStr">
        <is>
          <t>Agosto/2026</t>
        </is>
      </c>
      <c r="B24" t="inlineStr">
        <is>
          <t>Contas Fixas</t>
        </is>
      </c>
      <c r="C24" t="inlineStr">
        <is>
          <t>Hospedagem / Site</t>
        </is>
      </c>
      <c r="D24" s="3" t="n">
        <v>-44.61666666666667</v>
      </c>
      <c r="E24" t="inlineStr">
        <is>
          <t>Média de 3 pagamentos entre 01/2026 e 05/2026</t>
        </is>
      </c>
      <c r="F24" t="inlineStr">
        <is>
          <t>Média</t>
        </is>
      </c>
      <c r="G24" t="inlineStr">
        <is>
          <t>Projeção estimada — não substitui valor real</t>
        </is>
      </c>
    </row>
    <row r="25">
      <c r="A25" t="inlineStr">
        <is>
          <t>Setembro/2026</t>
        </is>
      </c>
      <c r="B25" t="inlineStr">
        <is>
          <t>Contas Fixas</t>
        </is>
      </c>
      <c r="C25" t="inlineStr">
        <is>
          <t>Hospedagem / Site</t>
        </is>
      </c>
      <c r="D25" s="3" t="n">
        <v>-44.61666666666667</v>
      </c>
      <c r="E25" t="inlineStr">
        <is>
          <t>Média de 3 pagamentos entre 01/2026 e 05/2026</t>
        </is>
      </c>
      <c r="F25" t="inlineStr">
        <is>
          <t>Média</t>
        </is>
      </c>
      <c r="G25" t="inlineStr">
        <is>
          <t>Projeção estimada — não substitui valor real</t>
        </is>
      </c>
    </row>
    <row r="26">
      <c r="A26" t="inlineStr">
        <is>
          <t>Julho/2026</t>
        </is>
      </c>
      <c r="B26" t="inlineStr">
        <is>
          <t>Pessoal</t>
        </is>
      </c>
      <c r="C26" t="inlineStr">
        <is>
          <t>Eliane</t>
        </is>
      </c>
      <c r="D26" s="3" t="n">
        <v>-799.1428571428571</v>
      </c>
      <c r="E26" t="inlineStr">
        <is>
          <t>Média de 7 pagamentos entre 01/2026 e 05/2026</t>
        </is>
      </c>
      <c r="F26" t="inlineStr">
        <is>
          <t>Baixa</t>
        </is>
      </c>
      <c r="G26" t="inlineStr">
        <is>
          <t>Projeção estimada — não substitui valor real</t>
        </is>
      </c>
    </row>
    <row r="27">
      <c r="A27" t="inlineStr">
        <is>
          <t>Agosto/2026</t>
        </is>
      </c>
      <c r="B27" t="inlineStr">
        <is>
          <t>Pessoal</t>
        </is>
      </c>
      <c r="C27" t="inlineStr">
        <is>
          <t>Eliane</t>
        </is>
      </c>
      <c r="D27" s="3" t="n">
        <v>-799.1428571428571</v>
      </c>
      <c r="E27" t="inlineStr">
        <is>
          <t>Média de 7 pagamentos entre 01/2026 e 05/2026</t>
        </is>
      </c>
      <c r="F27" t="inlineStr">
        <is>
          <t>Baixa</t>
        </is>
      </c>
      <c r="G27" t="inlineStr">
        <is>
          <t>Projeção estimada — não substitui valor real</t>
        </is>
      </c>
    </row>
    <row r="28">
      <c r="A28" t="inlineStr">
        <is>
          <t>Setembro/2026</t>
        </is>
      </c>
      <c r="B28" t="inlineStr">
        <is>
          <t>Pessoal</t>
        </is>
      </c>
      <c r="C28" t="inlineStr">
        <is>
          <t>Eliane</t>
        </is>
      </c>
      <c r="D28" s="3" t="n">
        <v>-799.1428571428571</v>
      </c>
      <c r="E28" t="inlineStr">
        <is>
          <t>Média de 7 pagamentos entre 01/2026 e 05/2026</t>
        </is>
      </c>
      <c r="F28" t="inlineStr">
        <is>
          <t>Baixa</t>
        </is>
      </c>
      <c r="G28" t="inlineStr">
        <is>
          <t>Projeção estimada — não substitui valor real</t>
        </is>
      </c>
    </row>
    <row r="29">
      <c r="A29" t="inlineStr">
        <is>
          <t>Julho/2026</t>
        </is>
      </c>
      <c r="B29" t="inlineStr">
        <is>
          <t>Pessoal</t>
        </is>
      </c>
      <c r="C29" t="inlineStr">
        <is>
          <t>Analice</t>
        </is>
      </c>
      <c r="D29" s="3" t="n">
        <v>-925</v>
      </c>
      <c r="E29" t="inlineStr">
        <is>
          <t>Média de 4 pagamentos entre 01/2026 e 02/2026</t>
        </is>
      </c>
      <c r="F29" t="inlineStr">
        <is>
          <t>Baixa</t>
        </is>
      </c>
      <c r="G29" t="inlineStr">
        <is>
          <t>Projeção estimada — não substitui valor real</t>
        </is>
      </c>
    </row>
    <row r="30">
      <c r="A30" t="inlineStr">
        <is>
          <t>Agosto/2026</t>
        </is>
      </c>
      <c r="B30" t="inlineStr">
        <is>
          <t>Pessoal</t>
        </is>
      </c>
      <c r="C30" t="inlineStr">
        <is>
          <t>Analice</t>
        </is>
      </c>
      <c r="D30" s="3" t="n">
        <v>-925</v>
      </c>
      <c r="E30" t="inlineStr">
        <is>
          <t>Média de 4 pagamentos entre 01/2026 e 02/2026</t>
        </is>
      </c>
      <c r="F30" t="inlineStr">
        <is>
          <t>Baixa</t>
        </is>
      </c>
      <c r="G30" t="inlineStr">
        <is>
          <t>Projeção estimada — não substitui valor real</t>
        </is>
      </c>
    </row>
    <row r="31">
      <c r="A31" t="inlineStr">
        <is>
          <t>Setembro/2026</t>
        </is>
      </c>
      <c r="B31" t="inlineStr">
        <is>
          <t>Pessoal</t>
        </is>
      </c>
      <c r="C31" t="inlineStr">
        <is>
          <t>Analice</t>
        </is>
      </c>
      <c r="D31" s="3" t="n">
        <v>-925</v>
      </c>
      <c r="E31" t="inlineStr">
        <is>
          <t>Média de 4 pagamentos entre 01/2026 e 02/2026</t>
        </is>
      </c>
      <c r="F31" t="inlineStr">
        <is>
          <t>Baixa</t>
        </is>
      </c>
      <c r="G31" t="inlineStr">
        <is>
          <t>Projeção estimada — não substitui valor real</t>
        </is>
      </c>
    </row>
    <row r="32">
      <c r="A32" t="inlineStr">
        <is>
          <t>Julho/2026</t>
        </is>
      </c>
      <c r="B32" t="inlineStr">
        <is>
          <t>Contas Variáveis</t>
        </is>
      </c>
      <c r="C32" t="inlineStr">
        <is>
          <t>Restaurante / Alimentação</t>
        </is>
      </c>
      <c r="D32" s="3" t="n">
        <v>-67.11692307692307</v>
      </c>
      <c r="E32" t="inlineStr">
        <is>
          <t>Média de 13 pagamentos entre 01/2026 e 05/2026</t>
        </is>
      </c>
      <c r="F32" t="inlineStr">
        <is>
          <t>Baixa</t>
        </is>
      </c>
      <c r="G32" t="inlineStr">
        <is>
          <t>Projeção estimada — não substitui valor real</t>
        </is>
      </c>
    </row>
    <row r="33">
      <c r="A33" t="inlineStr">
        <is>
          <t>Agosto/2026</t>
        </is>
      </c>
      <c r="B33" t="inlineStr">
        <is>
          <t>Contas Variáveis</t>
        </is>
      </c>
      <c r="C33" t="inlineStr">
        <is>
          <t>Restaurante / Alimentação</t>
        </is>
      </c>
      <c r="D33" s="3" t="n">
        <v>-67.11692307692307</v>
      </c>
      <c r="E33" t="inlineStr">
        <is>
          <t>Média de 13 pagamentos entre 01/2026 e 05/2026</t>
        </is>
      </c>
      <c r="F33" t="inlineStr">
        <is>
          <t>Baixa</t>
        </is>
      </c>
      <c r="G33" t="inlineStr">
        <is>
          <t>Projeção estimada — não substitui valor real</t>
        </is>
      </c>
    </row>
    <row r="34">
      <c r="A34" t="inlineStr">
        <is>
          <t>Setembro/2026</t>
        </is>
      </c>
      <c r="B34" t="inlineStr">
        <is>
          <t>Contas Variáveis</t>
        </is>
      </c>
      <c r="C34" t="inlineStr">
        <is>
          <t>Restaurante / Alimentação</t>
        </is>
      </c>
      <c r="D34" s="3" t="n">
        <v>-67.11692307692307</v>
      </c>
      <c r="E34" t="inlineStr">
        <is>
          <t>Média de 13 pagamentos entre 01/2026 e 05/2026</t>
        </is>
      </c>
      <c r="F34" t="inlineStr">
        <is>
          <t>Baixa</t>
        </is>
      </c>
      <c r="G34" t="inlineStr">
        <is>
          <t>Projeção estimada — não substitui valor real</t>
        </is>
      </c>
    </row>
    <row r="35">
      <c r="A35" t="inlineStr">
        <is>
          <t>Julho/2026</t>
        </is>
      </c>
      <c r="B35" t="inlineStr">
        <is>
          <t>Pessoal</t>
        </is>
      </c>
      <c r="C35" t="inlineStr">
        <is>
          <t>Marco</t>
        </is>
      </c>
      <c r="D35" s="3" t="n">
        <v>-609.6435294117646</v>
      </c>
      <c r="E35" t="inlineStr">
        <is>
          <t>Média de 17 pagamentos entre 01/2026 e 05/2026</t>
        </is>
      </c>
      <c r="F35" t="inlineStr">
        <is>
          <t>Baixa</t>
        </is>
      </c>
      <c r="G35" t="inlineStr">
        <is>
          <t>Projeção estimada — não substitui valor real</t>
        </is>
      </c>
    </row>
    <row r="36">
      <c r="A36" t="inlineStr">
        <is>
          <t>Agosto/2026</t>
        </is>
      </c>
      <c r="B36" t="inlineStr">
        <is>
          <t>Pessoal</t>
        </is>
      </c>
      <c r="C36" t="inlineStr">
        <is>
          <t>Marco</t>
        </is>
      </c>
      <c r="D36" s="3" t="n">
        <v>-609.6435294117646</v>
      </c>
      <c r="E36" t="inlineStr">
        <is>
          <t>Média de 17 pagamentos entre 01/2026 e 05/2026</t>
        </is>
      </c>
      <c r="F36" t="inlineStr">
        <is>
          <t>Baixa</t>
        </is>
      </c>
      <c r="G36" t="inlineStr">
        <is>
          <t>Projeção estimada — não substitui valor real</t>
        </is>
      </c>
    </row>
    <row r="37">
      <c r="A37" t="inlineStr">
        <is>
          <t>Setembro/2026</t>
        </is>
      </c>
      <c r="B37" t="inlineStr">
        <is>
          <t>Pessoal</t>
        </is>
      </c>
      <c r="C37" t="inlineStr">
        <is>
          <t>Marco</t>
        </is>
      </c>
      <c r="D37" s="3" t="n">
        <v>-609.6435294117646</v>
      </c>
      <c r="E37" t="inlineStr">
        <is>
          <t>Média de 17 pagamentos entre 01/2026 e 05/2026</t>
        </is>
      </c>
      <c r="F37" t="inlineStr">
        <is>
          <t>Baixa</t>
        </is>
      </c>
      <c r="G37" t="inlineStr">
        <is>
          <t>Projeção estimada — não substitui valor real</t>
        </is>
      </c>
    </row>
    <row r="38">
      <c r="A38" t="inlineStr">
        <is>
          <t>Julho/2026</t>
        </is>
      </c>
      <c r="B38" t="inlineStr">
        <is>
          <t>Contas Fixas</t>
        </is>
      </c>
      <c r="C38" t="inlineStr">
        <is>
          <t>Internet / Telecom</t>
        </is>
      </c>
      <c r="D38" s="3" t="n">
        <v>-389.2</v>
      </c>
      <c r="E38" t="inlineStr">
        <is>
          <t>Média de 21 pagamentos entre 01/2026 e 06/2026</t>
        </is>
      </c>
      <c r="F38" t="inlineStr">
        <is>
          <t>Baixa</t>
        </is>
      </c>
      <c r="G38" t="inlineStr">
        <is>
          <t>Projeção estimada — não substitui valor real</t>
        </is>
      </c>
    </row>
    <row r="39">
      <c r="A39" t="inlineStr">
        <is>
          <t>Agosto/2026</t>
        </is>
      </c>
      <c r="B39" t="inlineStr">
        <is>
          <t>Contas Fixas</t>
        </is>
      </c>
      <c r="C39" t="inlineStr">
        <is>
          <t>Internet / Telecom</t>
        </is>
      </c>
      <c r="D39" s="3" t="n">
        <v>-389.2</v>
      </c>
      <c r="E39" t="inlineStr">
        <is>
          <t>Média de 21 pagamentos entre 01/2026 e 06/2026</t>
        </is>
      </c>
      <c r="F39" t="inlineStr">
        <is>
          <t>Baixa</t>
        </is>
      </c>
      <c r="G39" t="inlineStr">
        <is>
          <t>Projeção estimada — não substitui valor real</t>
        </is>
      </c>
    </row>
    <row r="40">
      <c r="A40" t="inlineStr">
        <is>
          <t>Setembro/2026</t>
        </is>
      </c>
      <c r="B40" t="inlineStr">
        <is>
          <t>Contas Fixas</t>
        </is>
      </c>
      <c r="C40" t="inlineStr">
        <is>
          <t>Internet / Telecom</t>
        </is>
      </c>
      <c r="D40" s="3" t="n">
        <v>-389.2</v>
      </c>
      <c r="E40" t="inlineStr">
        <is>
          <t>Média de 21 pagamentos entre 01/2026 e 06/2026</t>
        </is>
      </c>
      <c r="F40" t="inlineStr">
        <is>
          <t>Baixa</t>
        </is>
      </c>
      <c r="G40" t="inlineStr">
        <is>
          <t>Projeção estimada — não substitui valor real</t>
        </is>
      </c>
    </row>
    <row r="41">
      <c r="A41" t="inlineStr">
        <is>
          <t>Julho/2026</t>
        </is>
      </c>
      <c r="B41" t="inlineStr">
        <is>
          <t>Contas Variáveis</t>
        </is>
      </c>
      <c r="C41" t="inlineStr">
        <is>
          <t>Lazer / Compras</t>
        </is>
      </c>
      <c r="D41" s="3" t="n">
        <v>-70.245</v>
      </c>
      <c r="E41" t="inlineStr">
        <is>
          <t>Média de 2 pagamentos entre 01/2026 e 04/2026</t>
        </is>
      </c>
      <c r="F41" t="inlineStr">
        <is>
          <t>Baixa</t>
        </is>
      </c>
      <c r="G41" t="inlineStr">
        <is>
          <t>Projeção estimada — não substitui valor real</t>
        </is>
      </c>
    </row>
    <row r="42">
      <c r="A42" t="inlineStr">
        <is>
          <t>Agosto/2026</t>
        </is>
      </c>
      <c r="B42" t="inlineStr">
        <is>
          <t>Contas Variáveis</t>
        </is>
      </c>
      <c r="C42" t="inlineStr">
        <is>
          <t>Lazer / Compras</t>
        </is>
      </c>
      <c r="D42" s="3" t="n">
        <v>-70.245</v>
      </c>
      <c r="E42" t="inlineStr">
        <is>
          <t>Média de 2 pagamentos entre 01/2026 e 04/2026</t>
        </is>
      </c>
      <c r="F42" t="inlineStr">
        <is>
          <t>Baixa</t>
        </is>
      </c>
      <c r="G42" t="inlineStr">
        <is>
          <t>Projeção estimada — não substitui valor real</t>
        </is>
      </c>
    </row>
    <row r="43">
      <c r="A43" t="inlineStr">
        <is>
          <t>Setembro/2026</t>
        </is>
      </c>
      <c r="B43" t="inlineStr">
        <is>
          <t>Contas Variáveis</t>
        </is>
      </c>
      <c r="C43" t="inlineStr">
        <is>
          <t>Lazer / Compras</t>
        </is>
      </c>
      <c r="D43" s="3" t="n">
        <v>-70.245</v>
      </c>
      <c r="E43" t="inlineStr">
        <is>
          <t>Média de 2 pagamentos entre 01/2026 e 04/2026</t>
        </is>
      </c>
      <c r="F43" t="inlineStr">
        <is>
          <t>Baixa</t>
        </is>
      </c>
      <c r="G43" t="inlineStr">
        <is>
          <t>Projeção estimada — não substitui valor real</t>
        </is>
      </c>
    </row>
    <row r="44">
      <c r="A44" t="inlineStr">
        <is>
          <t>Julho/2026</t>
        </is>
      </c>
      <c r="B44" t="inlineStr">
        <is>
          <t>Pessoal</t>
        </is>
      </c>
      <c r="C44" t="inlineStr">
        <is>
          <t>Joseli</t>
        </is>
      </c>
      <c r="D44" s="3" t="n">
        <v>-100</v>
      </c>
      <c r="E44" t="inlineStr">
        <is>
          <t>Média de 2 pagamentos entre 01/2026 e 03/2026</t>
        </is>
      </c>
      <c r="F44" t="inlineStr">
        <is>
          <t>Baixa</t>
        </is>
      </c>
      <c r="G44" t="inlineStr">
        <is>
          <t>Projeção estimada — não substitui valor real</t>
        </is>
      </c>
    </row>
    <row r="45">
      <c r="A45" t="inlineStr">
        <is>
          <t>Agosto/2026</t>
        </is>
      </c>
      <c r="B45" t="inlineStr">
        <is>
          <t>Pessoal</t>
        </is>
      </c>
      <c r="C45" t="inlineStr">
        <is>
          <t>Joseli</t>
        </is>
      </c>
      <c r="D45" s="3" t="n">
        <v>-100</v>
      </c>
      <c r="E45" t="inlineStr">
        <is>
          <t>Média de 2 pagamentos entre 01/2026 e 03/2026</t>
        </is>
      </c>
      <c r="F45" t="inlineStr">
        <is>
          <t>Baixa</t>
        </is>
      </c>
      <c r="G45" t="inlineStr">
        <is>
          <t>Projeção estimada — não substitui valor real</t>
        </is>
      </c>
    </row>
    <row r="46">
      <c r="A46" t="inlineStr">
        <is>
          <t>Setembro/2026</t>
        </is>
      </c>
      <c r="B46" t="inlineStr">
        <is>
          <t>Pessoal</t>
        </is>
      </c>
      <c r="C46" t="inlineStr">
        <is>
          <t>Joseli</t>
        </is>
      </c>
      <c r="D46" s="3" t="n">
        <v>-100</v>
      </c>
      <c r="E46" t="inlineStr">
        <is>
          <t>Média de 2 pagamentos entre 01/2026 e 03/2026</t>
        </is>
      </c>
      <c r="F46" t="inlineStr">
        <is>
          <t>Baixa</t>
        </is>
      </c>
      <c r="G46" t="inlineStr">
        <is>
          <t>Projeção estimada — não substitui valor real</t>
        </is>
      </c>
    </row>
    <row r="47">
      <c r="A47" t="inlineStr">
        <is>
          <t>Julho/2026</t>
        </is>
      </c>
      <c r="B47" t="inlineStr">
        <is>
          <t>Contas Variáveis</t>
        </is>
      </c>
      <c r="C47" t="inlineStr">
        <is>
          <t>Facebook / Meta Ads</t>
        </is>
      </c>
      <c r="D47" s="3" t="n">
        <v>-100</v>
      </c>
      <c r="E47" t="inlineStr">
        <is>
          <t>Média de 2 pagamentos entre 01/2026 e 01/2026</t>
        </is>
      </c>
      <c r="F47" t="inlineStr">
        <is>
          <t>Baixa</t>
        </is>
      </c>
      <c r="G47" t="inlineStr">
        <is>
          <t>Projeção estimada — não substitui valor real</t>
        </is>
      </c>
    </row>
    <row r="48">
      <c r="A48" t="inlineStr">
        <is>
          <t>Agosto/2026</t>
        </is>
      </c>
      <c r="B48" t="inlineStr">
        <is>
          <t>Contas Variáveis</t>
        </is>
      </c>
      <c r="C48" t="inlineStr">
        <is>
          <t>Facebook / Meta Ads</t>
        </is>
      </c>
      <c r="D48" s="3" t="n">
        <v>-100</v>
      </c>
      <c r="E48" t="inlineStr">
        <is>
          <t>Média de 2 pagamentos entre 01/2026 e 01/2026</t>
        </is>
      </c>
      <c r="F48" t="inlineStr">
        <is>
          <t>Baixa</t>
        </is>
      </c>
      <c r="G48" t="inlineStr">
        <is>
          <t>Projeção estimada — não substitui valor real</t>
        </is>
      </c>
    </row>
    <row r="49">
      <c r="A49" t="inlineStr">
        <is>
          <t>Setembro/2026</t>
        </is>
      </c>
      <c r="B49" t="inlineStr">
        <is>
          <t>Contas Variáveis</t>
        </is>
      </c>
      <c r="C49" t="inlineStr">
        <is>
          <t>Facebook / Meta Ads</t>
        </is>
      </c>
      <c r="D49" s="3" t="n">
        <v>-100</v>
      </c>
      <c r="E49" t="inlineStr">
        <is>
          <t>Média de 2 pagamentos entre 01/2026 e 01/2026</t>
        </is>
      </c>
      <c r="F49" t="inlineStr">
        <is>
          <t>Baixa</t>
        </is>
      </c>
      <c r="G49" t="inlineStr">
        <is>
          <t>Projeção estimada — não substitui valor real</t>
        </is>
      </c>
    </row>
    <row r="50">
      <c r="A50" t="inlineStr">
        <is>
          <t>Julho/2026</t>
        </is>
      </c>
      <c r="B50" t="inlineStr">
        <is>
          <t>Contas Variáveis</t>
        </is>
      </c>
      <c r="C50" t="inlineStr">
        <is>
          <t>Compra Mercado Livre</t>
        </is>
      </c>
      <c r="D50" s="3" t="n">
        <v>-33.94</v>
      </c>
      <c r="E50" t="inlineStr">
        <is>
          <t>Média de 3 pagamentos entre 01/2026 e 02/2026</t>
        </is>
      </c>
      <c r="F50" t="inlineStr">
        <is>
          <t>Média</t>
        </is>
      </c>
      <c r="G50" t="inlineStr">
        <is>
          <t>Projeção estimada — não substitui valor real</t>
        </is>
      </c>
    </row>
    <row r="51">
      <c r="A51" t="inlineStr">
        <is>
          <t>Agosto/2026</t>
        </is>
      </c>
      <c r="B51" t="inlineStr">
        <is>
          <t>Contas Variáveis</t>
        </is>
      </c>
      <c r="C51" t="inlineStr">
        <is>
          <t>Compra Mercado Livre</t>
        </is>
      </c>
      <c r="D51" s="3" t="n">
        <v>-33.94</v>
      </c>
      <c r="E51" t="inlineStr">
        <is>
          <t>Média de 3 pagamentos entre 01/2026 e 02/2026</t>
        </is>
      </c>
      <c r="F51" t="inlineStr">
        <is>
          <t>Média</t>
        </is>
      </c>
      <c r="G51" t="inlineStr">
        <is>
          <t>Projeção estimada — não substitui valor real</t>
        </is>
      </c>
    </row>
    <row r="52">
      <c r="A52" t="inlineStr">
        <is>
          <t>Setembro/2026</t>
        </is>
      </c>
      <c r="B52" t="inlineStr">
        <is>
          <t>Contas Variáveis</t>
        </is>
      </c>
      <c r="C52" t="inlineStr">
        <is>
          <t>Compra Mercado Livre</t>
        </is>
      </c>
      <c r="D52" s="3" t="n">
        <v>-33.94</v>
      </c>
      <c r="E52" t="inlineStr">
        <is>
          <t>Média de 3 pagamentos entre 01/2026 e 02/2026</t>
        </is>
      </c>
      <c r="F52" t="inlineStr">
        <is>
          <t>Média</t>
        </is>
      </c>
      <c r="G52" t="inlineStr">
        <is>
          <t>Projeção estimada — não substitui valor real</t>
        </is>
      </c>
    </row>
    <row r="53">
      <c r="A53" t="inlineStr">
        <is>
          <t>Julho/2026</t>
        </is>
      </c>
      <c r="B53" t="inlineStr">
        <is>
          <t>Pessoal</t>
        </is>
      </c>
      <c r="C53" t="inlineStr">
        <is>
          <t>Simone (Casa)</t>
        </is>
      </c>
      <c r="D53" s="3" t="n">
        <v>-183.3333333333333</v>
      </c>
      <c r="E53" t="inlineStr">
        <is>
          <t>Média de 6 pagamentos entre 01/2026 e 05/2026</t>
        </is>
      </c>
      <c r="F53" t="inlineStr">
        <is>
          <t>Baixa</t>
        </is>
      </c>
      <c r="G53" t="inlineStr">
        <is>
          <t>Projeção estimada — não substitui valor real</t>
        </is>
      </c>
    </row>
    <row r="54">
      <c r="A54" t="inlineStr">
        <is>
          <t>Agosto/2026</t>
        </is>
      </c>
      <c r="B54" t="inlineStr">
        <is>
          <t>Pessoal</t>
        </is>
      </c>
      <c r="C54" t="inlineStr">
        <is>
          <t>Simone (Casa)</t>
        </is>
      </c>
      <c r="D54" s="3" t="n">
        <v>-183.3333333333333</v>
      </c>
      <c r="E54" t="inlineStr">
        <is>
          <t>Média de 6 pagamentos entre 01/2026 e 05/2026</t>
        </is>
      </c>
      <c r="F54" t="inlineStr">
        <is>
          <t>Baixa</t>
        </is>
      </c>
      <c r="G54" t="inlineStr">
        <is>
          <t>Projeção estimada — não substitui valor real</t>
        </is>
      </c>
    </row>
    <row r="55">
      <c r="A55" t="inlineStr">
        <is>
          <t>Setembro/2026</t>
        </is>
      </c>
      <c r="B55" t="inlineStr">
        <is>
          <t>Pessoal</t>
        </is>
      </c>
      <c r="C55" t="inlineStr">
        <is>
          <t>Simone (Casa)</t>
        </is>
      </c>
      <c r="D55" s="3" t="n">
        <v>-183.3333333333333</v>
      </c>
      <c r="E55" t="inlineStr">
        <is>
          <t>Média de 6 pagamentos entre 01/2026 e 05/2026</t>
        </is>
      </c>
      <c r="F55" t="inlineStr">
        <is>
          <t>Baixa</t>
        </is>
      </c>
      <c r="G55" t="inlineStr">
        <is>
          <t>Projeção estimada — não substitui valor real</t>
        </is>
      </c>
    </row>
    <row r="56">
      <c r="A56" t="inlineStr">
        <is>
          <t>Julho/2026</t>
        </is>
      </c>
      <c r="B56" t="inlineStr">
        <is>
          <t>Contas Variáveis</t>
        </is>
      </c>
      <c r="C56" t="inlineStr">
        <is>
          <t>iFood</t>
        </is>
      </c>
      <c r="D56" s="3" t="n">
        <v>-71.4759090909091</v>
      </c>
      <c r="E56" t="inlineStr">
        <is>
          <t>Média de 22 pagamentos entre 01/2026 e 05/2026</t>
        </is>
      </c>
      <c r="F56" t="inlineStr">
        <is>
          <t>Baixa</t>
        </is>
      </c>
      <c r="G56" t="inlineStr">
        <is>
          <t>Projeção estimada — não substitui valor real</t>
        </is>
      </c>
    </row>
    <row r="57">
      <c r="A57" t="inlineStr">
        <is>
          <t>Agosto/2026</t>
        </is>
      </c>
      <c r="B57" t="inlineStr">
        <is>
          <t>Contas Variáveis</t>
        </is>
      </c>
      <c r="C57" t="inlineStr">
        <is>
          <t>iFood</t>
        </is>
      </c>
      <c r="D57" s="3" t="n">
        <v>-71.4759090909091</v>
      </c>
      <c r="E57" t="inlineStr">
        <is>
          <t>Média de 22 pagamentos entre 01/2026 e 05/2026</t>
        </is>
      </c>
      <c r="F57" t="inlineStr">
        <is>
          <t>Baixa</t>
        </is>
      </c>
      <c r="G57" t="inlineStr">
        <is>
          <t>Projeção estimada — não substitui valor real</t>
        </is>
      </c>
    </row>
    <row r="58">
      <c r="A58" t="inlineStr">
        <is>
          <t>Setembro/2026</t>
        </is>
      </c>
      <c r="B58" t="inlineStr">
        <is>
          <t>Contas Variáveis</t>
        </is>
      </c>
      <c r="C58" t="inlineStr">
        <is>
          <t>iFood</t>
        </is>
      </c>
      <c r="D58" s="3" t="n">
        <v>-71.4759090909091</v>
      </c>
      <c r="E58" t="inlineStr">
        <is>
          <t>Média de 22 pagamentos entre 01/2026 e 05/2026</t>
        </is>
      </c>
      <c r="F58" t="inlineStr">
        <is>
          <t>Baixa</t>
        </is>
      </c>
      <c r="G58" t="inlineStr">
        <is>
          <t>Projeção estimada — não substitui valor real</t>
        </is>
      </c>
    </row>
    <row r="59">
      <c r="A59" t="inlineStr">
        <is>
          <t>Julho/2026</t>
        </is>
      </c>
      <c r="B59" t="inlineStr">
        <is>
          <t>Pessoal</t>
        </is>
      </c>
      <c r="C59" t="inlineStr">
        <is>
          <t>Neemias</t>
        </is>
      </c>
      <c r="D59" s="3" t="n">
        <v>-377.5</v>
      </c>
      <c r="E59" t="inlineStr">
        <is>
          <t>Média de 4 pagamentos entre 01/2026 e 05/2026</t>
        </is>
      </c>
      <c r="F59" t="inlineStr">
        <is>
          <t>Baixa</t>
        </is>
      </c>
      <c r="G59" t="inlineStr">
        <is>
          <t>Projeção estimada — não substitui valor real</t>
        </is>
      </c>
    </row>
    <row r="60">
      <c r="A60" t="inlineStr">
        <is>
          <t>Agosto/2026</t>
        </is>
      </c>
      <c r="B60" t="inlineStr">
        <is>
          <t>Pessoal</t>
        </is>
      </c>
      <c r="C60" t="inlineStr">
        <is>
          <t>Neemias</t>
        </is>
      </c>
      <c r="D60" s="3" t="n">
        <v>-377.5</v>
      </c>
      <c r="E60" t="inlineStr">
        <is>
          <t>Média de 4 pagamentos entre 01/2026 e 05/2026</t>
        </is>
      </c>
      <c r="F60" t="inlineStr">
        <is>
          <t>Baixa</t>
        </is>
      </c>
      <c r="G60" t="inlineStr">
        <is>
          <t>Projeção estimada — não substitui valor real</t>
        </is>
      </c>
    </row>
    <row r="61">
      <c r="A61" t="inlineStr">
        <is>
          <t>Setembro/2026</t>
        </is>
      </c>
      <c r="B61" t="inlineStr">
        <is>
          <t>Pessoal</t>
        </is>
      </c>
      <c r="C61" t="inlineStr">
        <is>
          <t>Neemias</t>
        </is>
      </c>
      <c r="D61" s="3" t="n">
        <v>-377.5</v>
      </c>
      <c r="E61" t="inlineStr">
        <is>
          <t>Média de 4 pagamentos entre 01/2026 e 05/2026</t>
        </is>
      </c>
      <c r="F61" t="inlineStr">
        <is>
          <t>Baixa</t>
        </is>
      </c>
      <c r="G61" t="inlineStr">
        <is>
          <t>Projeção estimada — não substitui valor real</t>
        </is>
      </c>
    </row>
    <row r="62">
      <c r="A62" t="inlineStr">
        <is>
          <t>Julho/2026</t>
        </is>
      </c>
      <c r="B62" t="inlineStr">
        <is>
          <t>Contas Fixas</t>
        </is>
      </c>
      <c r="C62" t="inlineStr">
        <is>
          <t>Luz (Copel)</t>
        </is>
      </c>
      <c r="D62" s="3" t="n">
        <v>-155.76</v>
      </c>
      <c r="E62" t="inlineStr">
        <is>
          <t>Média de 10 pagamentos entre 02/2026 e 06/2026</t>
        </is>
      </c>
      <c r="F62" t="inlineStr">
        <is>
          <t>Baixa</t>
        </is>
      </c>
      <c r="G62" t="inlineStr">
        <is>
          <t>Projeção estimada — não substitui valor real</t>
        </is>
      </c>
    </row>
    <row r="63">
      <c r="A63" t="inlineStr">
        <is>
          <t>Agosto/2026</t>
        </is>
      </c>
      <c r="B63" t="inlineStr">
        <is>
          <t>Contas Fixas</t>
        </is>
      </c>
      <c r="C63" t="inlineStr">
        <is>
          <t>Luz (Copel)</t>
        </is>
      </c>
      <c r="D63" s="3" t="n">
        <v>-155.76</v>
      </c>
      <c r="E63" t="inlineStr">
        <is>
          <t>Média de 10 pagamentos entre 02/2026 e 06/2026</t>
        </is>
      </c>
      <c r="F63" t="inlineStr">
        <is>
          <t>Baixa</t>
        </is>
      </c>
      <c r="G63" t="inlineStr">
        <is>
          <t>Projeção estimada — não substitui valor real</t>
        </is>
      </c>
    </row>
    <row r="64">
      <c r="A64" t="inlineStr">
        <is>
          <t>Setembro/2026</t>
        </is>
      </c>
      <c r="B64" t="inlineStr">
        <is>
          <t>Contas Fixas</t>
        </is>
      </c>
      <c r="C64" t="inlineStr">
        <is>
          <t>Luz (Copel)</t>
        </is>
      </c>
      <c r="D64" s="3" t="n">
        <v>-155.76</v>
      </c>
      <c r="E64" t="inlineStr">
        <is>
          <t>Média de 10 pagamentos entre 02/2026 e 06/2026</t>
        </is>
      </c>
      <c r="F64" t="inlineStr">
        <is>
          <t>Baixa</t>
        </is>
      </c>
      <c r="G64" t="inlineStr">
        <is>
          <t>Projeção estimada — não substitui valor real</t>
        </is>
      </c>
    </row>
    <row r="65">
      <c r="A65" t="inlineStr">
        <is>
          <t>Julho/2026</t>
        </is>
      </c>
      <c r="B65" t="inlineStr">
        <is>
          <t>Contas Fixas</t>
        </is>
      </c>
      <c r="C65" t="inlineStr">
        <is>
          <t>Água (Sanepar)</t>
        </is>
      </c>
      <c r="D65" s="3" t="n">
        <v>-216.6</v>
      </c>
      <c r="E65" t="inlineStr">
        <is>
          <t>Média de 6 pagamentos entre 02/2026 e 03/2026</t>
        </is>
      </c>
      <c r="F65" t="inlineStr">
        <is>
          <t>Baixa</t>
        </is>
      </c>
      <c r="G65" t="inlineStr">
        <is>
          <t>Projeção estimada — não substitui valor real</t>
        </is>
      </c>
    </row>
    <row r="66">
      <c r="A66" t="inlineStr">
        <is>
          <t>Agosto/2026</t>
        </is>
      </c>
      <c r="B66" t="inlineStr">
        <is>
          <t>Contas Fixas</t>
        </is>
      </c>
      <c r="C66" t="inlineStr">
        <is>
          <t>Água (Sanepar)</t>
        </is>
      </c>
      <c r="D66" s="3" t="n">
        <v>-216.6</v>
      </c>
      <c r="E66" t="inlineStr">
        <is>
          <t>Média de 6 pagamentos entre 02/2026 e 03/2026</t>
        </is>
      </c>
      <c r="F66" t="inlineStr">
        <is>
          <t>Baixa</t>
        </is>
      </c>
      <c r="G66" t="inlineStr">
        <is>
          <t>Projeção estimada — não substitui valor real</t>
        </is>
      </c>
    </row>
    <row r="67">
      <c r="A67" t="inlineStr">
        <is>
          <t>Setembro/2026</t>
        </is>
      </c>
      <c r="B67" t="inlineStr">
        <is>
          <t>Contas Fixas</t>
        </is>
      </c>
      <c r="C67" t="inlineStr">
        <is>
          <t>Água (Sanepar)</t>
        </is>
      </c>
      <c r="D67" s="3" t="n">
        <v>-216.6</v>
      </c>
      <c r="E67" t="inlineStr">
        <is>
          <t>Média de 6 pagamentos entre 02/2026 e 03/2026</t>
        </is>
      </c>
      <c r="F67" t="inlineStr">
        <is>
          <t>Baixa</t>
        </is>
      </c>
      <c r="G67" t="inlineStr">
        <is>
          <t>Projeção estimada — não substitui valor real</t>
        </is>
      </c>
    </row>
    <row r="68">
      <c r="A68" t="inlineStr">
        <is>
          <t>Julho/2026</t>
        </is>
      </c>
      <c r="B68" t="inlineStr">
        <is>
          <t>Contas Variáveis</t>
        </is>
      </c>
      <c r="C68" t="inlineStr">
        <is>
          <t>Compra no débito</t>
        </is>
      </c>
      <c r="D68" s="3" t="n">
        <v>-28.62135593220339</v>
      </c>
      <c r="E68" t="inlineStr">
        <is>
          <t>Média de 59 pagamentos entre 03/2026 e 06/2026</t>
        </is>
      </c>
      <c r="F68" t="inlineStr">
        <is>
          <t>Baixa</t>
        </is>
      </c>
      <c r="G68" t="inlineStr">
        <is>
          <t>Projeção estimada — não substitui valor real</t>
        </is>
      </c>
    </row>
    <row r="69">
      <c r="A69" t="inlineStr">
        <is>
          <t>Agosto/2026</t>
        </is>
      </c>
      <c r="B69" t="inlineStr">
        <is>
          <t>Contas Variáveis</t>
        </is>
      </c>
      <c r="C69" t="inlineStr">
        <is>
          <t>Compra no débito</t>
        </is>
      </c>
      <c r="D69" s="3" t="n">
        <v>-28.62135593220339</v>
      </c>
      <c r="E69" t="inlineStr">
        <is>
          <t>Média de 59 pagamentos entre 03/2026 e 06/2026</t>
        </is>
      </c>
      <c r="F69" t="inlineStr">
        <is>
          <t>Baixa</t>
        </is>
      </c>
      <c r="G69" t="inlineStr">
        <is>
          <t>Projeção estimada — não substitui valor real</t>
        </is>
      </c>
    </row>
    <row r="70">
      <c r="A70" t="inlineStr">
        <is>
          <t>Setembro/2026</t>
        </is>
      </c>
      <c r="B70" t="inlineStr">
        <is>
          <t>Contas Variáveis</t>
        </is>
      </c>
      <c r="C70" t="inlineStr">
        <is>
          <t>Compra no débito</t>
        </is>
      </c>
      <c r="D70" s="3" t="n">
        <v>-28.62135593220339</v>
      </c>
      <c r="E70" t="inlineStr">
        <is>
          <t>Média de 59 pagamentos entre 03/2026 e 06/2026</t>
        </is>
      </c>
      <c r="F70" t="inlineStr">
        <is>
          <t>Baixa</t>
        </is>
      </c>
      <c r="G70" t="inlineStr">
        <is>
          <t>Projeção estimada — não substitui valor real</t>
        </is>
      </c>
    </row>
    <row r="71">
      <c r="A71" t="inlineStr">
        <is>
          <t>Julho/2026</t>
        </is>
      </c>
      <c r="B71" t="inlineStr">
        <is>
          <t>Impostos</t>
        </is>
      </c>
      <c r="C71" t="inlineStr">
        <is>
          <t>Tributo / Guia</t>
        </is>
      </c>
      <c r="D71" s="3" t="n">
        <v>-563.015</v>
      </c>
      <c r="E71" t="inlineStr">
        <is>
          <t>Média de 2 pagamentos entre 03/2026 e 03/2026</t>
        </is>
      </c>
      <c r="F71" t="inlineStr">
        <is>
          <t>Média</t>
        </is>
      </c>
      <c r="G71" t="inlineStr">
        <is>
          <t>Projeção estimada — não substitui valor real</t>
        </is>
      </c>
    </row>
    <row r="72">
      <c r="A72" t="inlineStr">
        <is>
          <t>Agosto/2026</t>
        </is>
      </c>
      <c r="B72" t="inlineStr">
        <is>
          <t>Impostos</t>
        </is>
      </c>
      <c r="C72" t="inlineStr">
        <is>
          <t>Tributo / Guia</t>
        </is>
      </c>
      <c r="D72" s="3" t="n">
        <v>-563.015</v>
      </c>
      <c r="E72" t="inlineStr">
        <is>
          <t>Média de 2 pagamentos entre 03/2026 e 03/2026</t>
        </is>
      </c>
      <c r="F72" t="inlineStr">
        <is>
          <t>Média</t>
        </is>
      </c>
      <c r="G72" t="inlineStr">
        <is>
          <t>Projeção estimada — não substitui valor real</t>
        </is>
      </c>
    </row>
    <row r="73">
      <c r="A73" t="inlineStr">
        <is>
          <t>Setembro/2026</t>
        </is>
      </c>
      <c r="B73" t="inlineStr">
        <is>
          <t>Impostos</t>
        </is>
      </c>
      <c r="C73" t="inlineStr">
        <is>
          <t>Tributo / Guia</t>
        </is>
      </c>
      <c r="D73" s="3" t="n">
        <v>-563.015</v>
      </c>
      <c r="E73" t="inlineStr">
        <is>
          <t>Média de 2 pagamentos entre 03/2026 e 03/2026</t>
        </is>
      </c>
      <c r="F73" t="inlineStr">
        <is>
          <t>Média</t>
        </is>
      </c>
      <c r="G73" t="inlineStr">
        <is>
          <t>Projeção estimada — não substitui valor real</t>
        </is>
      </c>
    </row>
    <row r="74">
      <c r="A74" t="inlineStr">
        <is>
          <t>Julho/2026</t>
        </is>
      </c>
      <c r="B74" t="inlineStr">
        <is>
          <t>Contas Fixas</t>
        </is>
      </c>
      <c r="C74" t="inlineStr">
        <is>
          <t>Assinatura Spotify</t>
        </is>
      </c>
      <c r="D74" s="3" t="n">
        <v>-40.9</v>
      </c>
      <c r="E74" t="inlineStr">
        <is>
          <t>Média de 4 pagamentos entre 03/2026 e 06/2026</t>
        </is>
      </c>
      <c r="F74" t="inlineStr">
        <is>
          <t>Alta</t>
        </is>
      </c>
      <c r="G74" t="inlineStr">
        <is>
          <t>Projeção estimada — não substitui valor real</t>
        </is>
      </c>
    </row>
    <row r="75">
      <c r="A75" t="inlineStr">
        <is>
          <t>Agosto/2026</t>
        </is>
      </c>
      <c r="B75" t="inlineStr">
        <is>
          <t>Contas Fixas</t>
        </is>
      </c>
      <c r="C75" t="inlineStr">
        <is>
          <t>Assinatura Spotify</t>
        </is>
      </c>
      <c r="D75" s="3" t="n">
        <v>-40.9</v>
      </c>
      <c r="E75" t="inlineStr">
        <is>
          <t>Média de 4 pagamentos entre 03/2026 e 06/2026</t>
        </is>
      </c>
      <c r="F75" t="inlineStr">
        <is>
          <t>Alta</t>
        </is>
      </c>
      <c r="G75" t="inlineStr">
        <is>
          <t>Projeção estimada — não substitui valor real</t>
        </is>
      </c>
    </row>
    <row r="76">
      <c r="A76" t="inlineStr">
        <is>
          <t>Setembro/2026</t>
        </is>
      </c>
      <c r="B76" t="inlineStr">
        <is>
          <t>Contas Fixas</t>
        </is>
      </c>
      <c r="C76" t="inlineStr">
        <is>
          <t>Assinatura Spotify</t>
        </is>
      </c>
      <c r="D76" s="3" t="n">
        <v>-40.9</v>
      </c>
      <c r="E76" t="inlineStr">
        <is>
          <t>Média de 4 pagamentos entre 03/2026 e 06/2026</t>
        </is>
      </c>
      <c r="F76" t="inlineStr">
        <is>
          <t>Alta</t>
        </is>
      </c>
      <c r="G76" t="inlineStr">
        <is>
          <t>Projeção estimada — não substitui valor real</t>
        </is>
      </c>
    </row>
    <row r="77">
      <c r="A77" t="inlineStr">
        <is>
          <t>Julho/2026</t>
        </is>
      </c>
      <c r="B77" t="inlineStr">
        <is>
          <t>Pessoal</t>
        </is>
      </c>
      <c r="C77" t="inlineStr">
        <is>
          <t>Bruno Luiz (familiar)</t>
        </is>
      </c>
      <c r="D77" s="3" t="n">
        <v>-201.5384615384615</v>
      </c>
      <c r="E77" t="inlineStr">
        <is>
          <t>Média de 13 pagamentos entre 03/2026 e 05/2026</t>
        </is>
      </c>
      <c r="F77" t="inlineStr">
        <is>
          <t>Baixa</t>
        </is>
      </c>
      <c r="G77" t="inlineStr">
        <is>
          <t>Projeção estimada — não substitui valor real</t>
        </is>
      </c>
    </row>
    <row r="78">
      <c r="A78" t="inlineStr">
        <is>
          <t>Agosto/2026</t>
        </is>
      </c>
      <c r="B78" t="inlineStr">
        <is>
          <t>Pessoal</t>
        </is>
      </c>
      <c r="C78" t="inlineStr">
        <is>
          <t>Bruno Luiz (familiar)</t>
        </is>
      </c>
      <c r="D78" s="3" t="n">
        <v>-201.5384615384615</v>
      </c>
      <c r="E78" t="inlineStr">
        <is>
          <t>Média de 13 pagamentos entre 03/2026 e 05/2026</t>
        </is>
      </c>
      <c r="F78" t="inlineStr">
        <is>
          <t>Baixa</t>
        </is>
      </c>
      <c r="G78" t="inlineStr">
        <is>
          <t>Projeção estimada — não substitui valor real</t>
        </is>
      </c>
    </row>
    <row r="79">
      <c r="A79" t="inlineStr">
        <is>
          <t>Setembro/2026</t>
        </is>
      </c>
      <c r="B79" t="inlineStr">
        <is>
          <t>Pessoal</t>
        </is>
      </c>
      <c r="C79" t="inlineStr">
        <is>
          <t>Bruno Luiz (familiar)</t>
        </is>
      </c>
      <c r="D79" s="3" t="n">
        <v>-201.5384615384615</v>
      </c>
      <c r="E79" t="inlineStr">
        <is>
          <t>Média de 13 pagamentos entre 03/2026 e 05/2026</t>
        </is>
      </c>
      <c r="F79" t="inlineStr">
        <is>
          <t>Baixa</t>
        </is>
      </c>
      <c r="G79" t="inlineStr">
        <is>
          <t>Projeção estimada — não substitui valor real</t>
        </is>
      </c>
    </row>
    <row r="80">
      <c r="A80" t="inlineStr">
        <is>
          <t>Julho/2026</t>
        </is>
      </c>
      <c r="B80" t="inlineStr">
        <is>
          <t>Contas Variáveis</t>
        </is>
      </c>
      <c r="C80" t="inlineStr">
        <is>
          <t>Compras Diversas</t>
        </is>
      </c>
      <c r="D80" s="3" t="n">
        <v>-39.26111111111111</v>
      </c>
      <c r="E80" t="inlineStr">
        <is>
          <t>Média de 9 pagamentos entre 03/2026 e 06/2026</t>
        </is>
      </c>
      <c r="F80" t="inlineStr">
        <is>
          <t>Baixa</t>
        </is>
      </c>
      <c r="G80" t="inlineStr">
        <is>
          <t>Projeção estimada — não substitui valor real</t>
        </is>
      </c>
    </row>
    <row r="81">
      <c r="A81" t="inlineStr">
        <is>
          <t>Agosto/2026</t>
        </is>
      </c>
      <c r="B81" t="inlineStr">
        <is>
          <t>Contas Variáveis</t>
        </is>
      </c>
      <c r="C81" t="inlineStr">
        <is>
          <t>Compras Diversas</t>
        </is>
      </c>
      <c r="D81" s="3" t="n">
        <v>-39.26111111111111</v>
      </c>
      <c r="E81" t="inlineStr">
        <is>
          <t>Média de 9 pagamentos entre 03/2026 e 06/2026</t>
        </is>
      </c>
      <c r="F81" t="inlineStr">
        <is>
          <t>Baixa</t>
        </is>
      </c>
      <c r="G81" t="inlineStr">
        <is>
          <t>Projeção estimada — não substitui valor real</t>
        </is>
      </c>
    </row>
    <row r="82">
      <c r="A82" t="inlineStr">
        <is>
          <t>Setembro/2026</t>
        </is>
      </c>
      <c r="B82" t="inlineStr">
        <is>
          <t>Contas Variáveis</t>
        </is>
      </c>
      <c r="C82" t="inlineStr">
        <is>
          <t>Compras Diversas</t>
        </is>
      </c>
      <c r="D82" s="3" t="n">
        <v>-39.26111111111111</v>
      </c>
      <c r="E82" t="inlineStr">
        <is>
          <t>Média de 9 pagamentos entre 03/2026 e 06/2026</t>
        </is>
      </c>
      <c r="F82" t="inlineStr">
        <is>
          <t>Baixa</t>
        </is>
      </c>
      <c r="G82" t="inlineStr">
        <is>
          <t>Projeção estimada — não substitui valor real</t>
        </is>
      </c>
    </row>
    <row r="83">
      <c r="A83" t="inlineStr">
        <is>
          <t>Julho/2026</t>
        </is>
      </c>
      <c r="B83" t="inlineStr">
        <is>
          <t>Contas Variáveis</t>
        </is>
      </c>
      <c r="C83" t="inlineStr">
        <is>
          <t>Farmácia</t>
        </is>
      </c>
      <c r="D83" s="3" t="n">
        <v>-38.105</v>
      </c>
      <c r="E83" t="inlineStr">
        <is>
          <t>Média de 6 pagamentos entre 03/2026 e 05/2026</t>
        </is>
      </c>
      <c r="F83" t="inlineStr">
        <is>
          <t>Baixa</t>
        </is>
      </c>
      <c r="G83" t="inlineStr">
        <is>
          <t>Projeção estimada — não substitui valor real</t>
        </is>
      </c>
    </row>
    <row r="84">
      <c r="A84" t="inlineStr">
        <is>
          <t>Agosto/2026</t>
        </is>
      </c>
      <c r="B84" t="inlineStr">
        <is>
          <t>Contas Variáveis</t>
        </is>
      </c>
      <c r="C84" t="inlineStr">
        <is>
          <t>Farmácia</t>
        </is>
      </c>
      <c r="D84" s="3" t="n">
        <v>-38.105</v>
      </c>
      <c r="E84" t="inlineStr">
        <is>
          <t>Média de 6 pagamentos entre 03/2026 e 05/2026</t>
        </is>
      </c>
      <c r="F84" t="inlineStr">
        <is>
          <t>Baixa</t>
        </is>
      </c>
      <c r="G84" t="inlineStr">
        <is>
          <t>Projeção estimada — não substitui valor real</t>
        </is>
      </c>
    </row>
    <row r="85">
      <c r="A85" t="inlineStr">
        <is>
          <t>Setembro/2026</t>
        </is>
      </c>
      <c r="B85" t="inlineStr">
        <is>
          <t>Contas Variáveis</t>
        </is>
      </c>
      <c r="C85" t="inlineStr">
        <is>
          <t>Farmácia</t>
        </is>
      </c>
      <c r="D85" s="3" t="n">
        <v>-38.105</v>
      </c>
      <c r="E85" t="inlineStr">
        <is>
          <t>Média de 6 pagamentos entre 03/2026 e 05/2026</t>
        </is>
      </c>
      <c r="F85" t="inlineStr">
        <is>
          <t>Baixa</t>
        </is>
      </c>
      <c r="G85" t="inlineStr">
        <is>
          <t>Projeção estimada — não substitui valor real</t>
        </is>
      </c>
    </row>
    <row r="86">
      <c r="A86" t="inlineStr">
        <is>
          <t>Julho/2026</t>
        </is>
      </c>
      <c r="B86" t="inlineStr">
        <is>
          <t>Contas Fixas</t>
        </is>
      </c>
      <c r="C86" t="inlineStr">
        <is>
          <t>Estacionamento Studio</t>
        </is>
      </c>
      <c r="D86" s="3" t="n">
        <v>-54</v>
      </c>
      <c r="E86" t="inlineStr">
        <is>
          <t>Média de 4 pagamentos entre 03/2026 e 06/2026</t>
        </is>
      </c>
      <c r="F86" t="inlineStr">
        <is>
          <t>Baixa</t>
        </is>
      </c>
      <c r="G86" t="inlineStr">
        <is>
          <t>Projeção estimada — não substitui valor real</t>
        </is>
      </c>
    </row>
    <row r="87">
      <c r="A87" t="inlineStr">
        <is>
          <t>Agosto/2026</t>
        </is>
      </c>
      <c r="B87" t="inlineStr">
        <is>
          <t>Contas Fixas</t>
        </is>
      </c>
      <c r="C87" t="inlineStr">
        <is>
          <t>Estacionamento Studio</t>
        </is>
      </c>
      <c r="D87" s="3" t="n">
        <v>-54</v>
      </c>
      <c r="E87" t="inlineStr">
        <is>
          <t>Média de 4 pagamentos entre 03/2026 e 06/2026</t>
        </is>
      </c>
      <c r="F87" t="inlineStr">
        <is>
          <t>Baixa</t>
        </is>
      </c>
      <c r="G87" t="inlineStr">
        <is>
          <t>Projeção estimada — não substitui valor real</t>
        </is>
      </c>
    </row>
    <row r="88">
      <c r="A88" t="inlineStr">
        <is>
          <t>Setembro/2026</t>
        </is>
      </c>
      <c r="B88" t="inlineStr">
        <is>
          <t>Contas Fixas</t>
        </is>
      </c>
      <c r="C88" t="inlineStr">
        <is>
          <t>Estacionamento Studio</t>
        </is>
      </c>
      <c r="D88" s="3" t="n">
        <v>-54</v>
      </c>
      <c r="E88" t="inlineStr">
        <is>
          <t>Média de 4 pagamentos entre 03/2026 e 06/2026</t>
        </is>
      </c>
      <c r="F88" t="inlineStr">
        <is>
          <t>Baixa</t>
        </is>
      </c>
      <c r="G88" t="inlineStr">
        <is>
          <t>Projeção estimada — não substitui valor real</t>
        </is>
      </c>
    </row>
    <row r="89">
      <c r="A89" t="inlineStr">
        <is>
          <t>Julho/2026</t>
        </is>
      </c>
      <c r="B89" t="inlineStr">
        <is>
          <t>Impostos</t>
        </is>
      </c>
      <c r="C89" t="inlineStr">
        <is>
          <t>Tributo Municipal</t>
        </is>
      </c>
      <c r="D89" s="3" t="n">
        <v>-3206.07</v>
      </c>
      <c r="E89" t="inlineStr">
        <is>
          <t>Média de 3 pagamentos entre 03/2026 e 03/2026</t>
        </is>
      </c>
      <c r="F89" t="inlineStr">
        <is>
          <t>Baixa</t>
        </is>
      </c>
      <c r="G89" t="inlineStr">
        <is>
          <t>Projeção estimada — não substitui valor real</t>
        </is>
      </c>
    </row>
    <row r="90">
      <c r="A90" t="inlineStr">
        <is>
          <t>Agosto/2026</t>
        </is>
      </c>
      <c r="B90" t="inlineStr">
        <is>
          <t>Impostos</t>
        </is>
      </c>
      <c r="C90" t="inlineStr">
        <is>
          <t>Tributo Municipal</t>
        </is>
      </c>
      <c r="D90" s="3" t="n">
        <v>-3206.07</v>
      </c>
      <c r="E90" t="inlineStr">
        <is>
          <t>Média de 3 pagamentos entre 03/2026 e 03/2026</t>
        </is>
      </c>
      <c r="F90" t="inlineStr">
        <is>
          <t>Baixa</t>
        </is>
      </c>
      <c r="G90" t="inlineStr">
        <is>
          <t>Projeção estimada — não substitui valor real</t>
        </is>
      </c>
    </row>
    <row r="91">
      <c r="A91" t="inlineStr">
        <is>
          <t>Setembro/2026</t>
        </is>
      </c>
      <c r="B91" t="inlineStr">
        <is>
          <t>Impostos</t>
        </is>
      </c>
      <c r="C91" t="inlineStr">
        <is>
          <t>Tributo Municipal</t>
        </is>
      </c>
      <c r="D91" s="3" t="n">
        <v>-3206.07</v>
      </c>
      <c r="E91" t="inlineStr">
        <is>
          <t>Média de 3 pagamentos entre 03/2026 e 03/2026</t>
        </is>
      </c>
      <c r="F91" t="inlineStr">
        <is>
          <t>Baixa</t>
        </is>
      </c>
      <c r="G91" t="inlineStr">
        <is>
          <t>Projeção estimada — não substitui valor real</t>
        </is>
      </c>
    </row>
    <row r="92">
      <c r="A92" t="inlineStr">
        <is>
          <t>Julho/2026</t>
        </is>
      </c>
      <c r="B92" t="inlineStr">
        <is>
          <t>Contas Variáveis</t>
        </is>
      </c>
      <c r="C92" t="inlineStr">
        <is>
          <t>Bar / Cerveja</t>
        </is>
      </c>
      <c r="D92" s="3" t="n">
        <v>-53</v>
      </c>
      <c r="E92" t="inlineStr">
        <is>
          <t>Média de 3 pagamentos entre 03/2026 e 04/2026</t>
        </is>
      </c>
      <c r="F92" t="inlineStr">
        <is>
          <t>Baixa</t>
        </is>
      </c>
      <c r="G92" t="inlineStr">
        <is>
          <t>Projeção estimada — não substitui valor real</t>
        </is>
      </c>
    </row>
    <row r="93">
      <c r="A93" t="inlineStr">
        <is>
          <t>Agosto/2026</t>
        </is>
      </c>
      <c r="B93" t="inlineStr">
        <is>
          <t>Contas Variáveis</t>
        </is>
      </c>
      <c r="C93" t="inlineStr">
        <is>
          <t>Bar / Cerveja</t>
        </is>
      </c>
      <c r="D93" s="3" t="n">
        <v>-53</v>
      </c>
      <c r="E93" t="inlineStr">
        <is>
          <t>Média de 3 pagamentos entre 03/2026 e 04/2026</t>
        </is>
      </c>
      <c r="F93" t="inlineStr">
        <is>
          <t>Baixa</t>
        </is>
      </c>
      <c r="G93" t="inlineStr">
        <is>
          <t>Projeção estimada — não substitui valor real</t>
        </is>
      </c>
    </row>
    <row r="94">
      <c r="A94" t="inlineStr">
        <is>
          <t>Setembro/2026</t>
        </is>
      </c>
      <c r="B94" t="inlineStr">
        <is>
          <t>Contas Variáveis</t>
        </is>
      </c>
      <c r="C94" t="inlineStr">
        <is>
          <t>Bar / Cerveja</t>
        </is>
      </c>
      <c r="D94" s="3" t="n">
        <v>-53</v>
      </c>
      <c r="E94" t="inlineStr">
        <is>
          <t>Média de 3 pagamentos entre 03/2026 e 04/2026</t>
        </is>
      </c>
      <c r="F94" t="inlineStr">
        <is>
          <t>Baixa</t>
        </is>
      </c>
      <c r="G94" t="inlineStr">
        <is>
          <t>Projeção estimada — não substitui valor real</t>
        </is>
      </c>
    </row>
    <row r="95">
      <c r="A95" t="inlineStr">
        <is>
          <t>Julho/2026</t>
        </is>
      </c>
      <c r="B95" t="inlineStr">
        <is>
          <t>Contas Variáveis</t>
        </is>
      </c>
      <c r="C95" t="inlineStr">
        <is>
          <t>Restaurante / Lazer</t>
        </is>
      </c>
      <c r="D95" s="3" t="n">
        <v>-36.812</v>
      </c>
      <c r="E95" t="inlineStr">
        <is>
          <t>Média de 5 pagamentos entre 04/2026 e 05/2026</t>
        </is>
      </c>
      <c r="F95" t="inlineStr">
        <is>
          <t>Baixa</t>
        </is>
      </c>
      <c r="G95" t="inlineStr">
        <is>
          <t>Projeção estimada — não substitui valor real</t>
        </is>
      </c>
    </row>
    <row r="96">
      <c r="A96" t="inlineStr">
        <is>
          <t>Agosto/2026</t>
        </is>
      </c>
      <c r="B96" t="inlineStr">
        <is>
          <t>Contas Variáveis</t>
        </is>
      </c>
      <c r="C96" t="inlineStr">
        <is>
          <t>Restaurante / Lazer</t>
        </is>
      </c>
      <c r="D96" s="3" t="n">
        <v>-36.812</v>
      </c>
      <c r="E96" t="inlineStr">
        <is>
          <t>Média de 5 pagamentos entre 04/2026 e 05/2026</t>
        </is>
      </c>
      <c r="F96" t="inlineStr">
        <is>
          <t>Baixa</t>
        </is>
      </c>
      <c r="G96" t="inlineStr">
        <is>
          <t>Projeção estimada — não substitui valor real</t>
        </is>
      </c>
    </row>
    <row r="97">
      <c r="A97" t="inlineStr">
        <is>
          <t>Setembro/2026</t>
        </is>
      </c>
      <c r="B97" t="inlineStr">
        <is>
          <t>Contas Variáveis</t>
        </is>
      </c>
      <c r="C97" t="inlineStr">
        <is>
          <t>Restaurante / Lazer</t>
        </is>
      </c>
      <c r="D97" s="3" t="n">
        <v>-36.812</v>
      </c>
      <c r="E97" t="inlineStr">
        <is>
          <t>Média de 5 pagamentos entre 04/2026 e 05/2026</t>
        </is>
      </c>
      <c r="F97" t="inlineStr">
        <is>
          <t>Baixa</t>
        </is>
      </c>
      <c r="G97" t="inlineStr">
        <is>
          <t>Projeção estimada — não substitui valor real</t>
        </is>
      </c>
    </row>
    <row r="98">
      <c r="A98" t="inlineStr">
        <is>
          <t>Julho/2026</t>
        </is>
      </c>
      <c r="B98" t="inlineStr">
        <is>
          <t>Contas Fixas</t>
        </is>
      </c>
      <c r="C98" t="inlineStr">
        <is>
          <t>Assinatura Canva</t>
        </is>
      </c>
      <c r="D98" s="3" t="n">
        <v>-35</v>
      </c>
      <c r="E98" t="inlineStr">
        <is>
          <t>Média de 2 pagamentos entre 04/2026 e 05/2026</t>
        </is>
      </c>
      <c r="F98" t="inlineStr">
        <is>
          <t>Alta</t>
        </is>
      </c>
      <c r="G98" t="inlineStr">
        <is>
          <t>Projeção estimada — não substitui valor real</t>
        </is>
      </c>
    </row>
    <row r="99">
      <c r="A99" t="inlineStr">
        <is>
          <t>Agosto/2026</t>
        </is>
      </c>
      <c r="B99" t="inlineStr">
        <is>
          <t>Contas Fixas</t>
        </is>
      </c>
      <c r="C99" t="inlineStr">
        <is>
          <t>Assinatura Canva</t>
        </is>
      </c>
      <c r="D99" s="3" t="n">
        <v>-35</v>
      </c>
      <c r="E99" t="inlineStr">
        <is>
          <t>Média de 2 pagamentos entre 04/2026 e 05/2026</t>
        </is>
      </c>
      <c r="F99" t="inlineStr">
        <is>
          <t>Alta</t>
        </is>
      </c>
      <c r="G99" t="inlineStr">
        <is>
          <t>Projeção estimada — não substitui valor real</t>
        </is>
      </c>
    </row>
    <row r="100">
      <c r="A100" t="inlineStr">
        <is>
          <t>Setembro/2026</t>
        </is>
      </c>
      <c r="B100" t="inlineStr">
        <is>
          <t>Contas Fixas</t>
        </is>
      </c>
      <c r="C100" t="inlineStr">
        <is>
          <t>Assinatura Canva</t>
        </is>
      </c>
      <c r="D100" s="3" t="n">
        <v>-35</v>
      </c>
      <c r="E100" t="inlineStr">
        <is>
          <t>Média de 2 pagamentos entre 04/2026 e 05/2026</t>
        </is>
      </c>
      <c r="F100" t="inlineStr">
        <is>
          <t>Alta</t>
        </is>
      </c>
      <c r="G100" t="inlineStr">
        <is>
          <t>Projeção estimada — não substitui valor real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" customWidth="1" min="3" max="3"/>
    <col width="10" customWidth="1" min="4" max="4"/>
    <col width="22" customWidth="1" min="5" max="5"/>
    <col width="30" customWidth="1" min="6" max="6"/>
    <col width="10" customWidth="1" min="7" max="7"/>
    <col width="14" customWidth="1" min="8" max="8"/>
    <col width="14" customWidth="1" min="9" max="9"/>
    <col width="12" customWidth="1" min="10" max="10"/>
    <col width="12" customWidth="1" min="11" max="11"/>
    <col width="30" customWidth="1" min="12" max="12"/>
    <col width="14" customWidth="1" min="13" max="13"/>
    <col width="40" customWidth="1" min="14" max="14"/>
  </cols>
  <sheetData>
    <row r="1">
      <c r="A1" s="7" t="inlineStr">
        <is>
          <t>Data</t>
        </is>
      </c>
      <c r="B1" s="7" t="inlineStr">
        <is>
          <t>Mês</t>
        </is>
      </c>
      <c r="C1" s="7" t="inlineStr">
        <is>
          <t>Ano</t>
        </is>
      </c>
      <c r="D1" s="7" t="inlineStr">
        <is>
          <t>Esfera</t>
        </is>
      </c>
      <c r="E1" s="7" t="inlineStr">
        <is>
          <t>Categoria</t>
        </is>
      </c>
      <c r="F1" s="7" t="inlineStr">
        <is>
          <t>Conta / Despesa</t>
        </is>
      </c>
      <c r="G1" s="7" t="inlineStr">
        <is>
          <t>Tipo</t>
        </is>
      </c>
      <c r="H1" s="7" t="inlineStr">
        <is>
          <t>Valor</t>
        </is>
      </c>
      <c r="I1" s="7" t="inlineStr">
        <is>
          <t>Forma de Pagamento</t>
        </is>
      </c>
      <c r="J1" s="7" t="inlineStr">
        <is>
          <t>Recorrente?</t>
        </is>
      </c>
      <c r="K1" s="7" t="inlineStr">
        <is>
          <t>Frequência</t>
        </is>
      </c>
      <c r="L1" s="7" t="inlineStr">
        <is>
          <t>Recibo / Comprovante</t>
        </is>
      </c>
      <c r="M1" s="7" t="inlineStr">
        <is>
          <t>Status</t>
        </is>
      </c>
      <c r="N1" s="7" t="inlineStr">
        <is>
          <t>Observações</t>
        </is>
      </c>
    </row>
    <row r="2">
      <c r="A2" s="30" t="inlineStr">
        <is>
          <t>↓ Adicione novos lançamentos abaixo. Depois copie para a aba "Lançamentos" para que entrem nos totais.</t>
        </is>
      </c>
    </row>
    <row r="3">
      <c r="A3" s="29" t="n"/>
      <c r="H3" s="3" t="n"/>
    </row>
    <row r="4">
      <c r="A4" s="29" t="n"/>
      <c r="H4" s="3" t="n"/>
    </row>
    <row r="5">
      <c r="A5" s="29" t="n"/>
      <c r="H5" s="3" t="n"/>
    </row>
    <row r="6">
      <c r="A6" s="29" t="n"/>
      <c r="H6" s="3" t="n"/>
    </row>
    <row r="7">
      <c r="A7" s="29" t="n"/>
      <c r="H7" s="3" t="n"/>
    </row>
    <row r="8">
      <c r="A8" s="29" t="n"/>
      <c r="H8" s="3" t="n"/>
    </row>
    <row r="9">
      <c r="A9" s="29" t="n"/>
      <c r="H9" s="3" t="n"/>
    </row>
    <row r="10">
      <c r="A10" s="29" t="n"/>
      <c r="H10" s="3" t="n"/>
    </row>
    <row r="11">
      <c r="A11" s="29" t="n"/>
      <c r="H11" s="3" t="n"/>
    </row>
    <row r="12">
      <c r="A12" s="29" t="n"/>
      <c r="H12" s="3" t="n"/>
    </row>
    <row r="13">
      <c r="A13" s="29" t="n"/>
      <c r="H13" s="3" t="n"/>
    </row>
    <row r="14">
      <c r="A14" s="29" t="n"/>
      <c r="H14" s="3" t="n"/>
    </row>
    <row r="15">
      <c r="A15" s="29" t="n"/>
      <c r="H15" s="3" t="n"/>
    </row>
    <row r="16">
      <c r="A16" s="29" t="n"/>
      <c r="H16" s="3" t="n"/>
    </row>
    <row r="17">
      <c r="A17" s="29" t="n"/>
      <c r="H17" s="3" t="n"/>
    </row>
    <row r="18">
      <c r="A18" s="29" t="n"/>
      <c r="H18" s="3" t="n"/>
    </row>
    <row r="19">
      <c r="A19" s="29" t="n"/>
      <c r="H19" s="3" t="n"/>
    </row>
    <row r="20">
      <c r="A20" s="29" t="n"/>
      <c r="H20" s="3" t="n"/>
    </row>
    <row r="21">
      <c r="A21" s="29" t="n"/>
      <c r="H21" s="3" t="n"/>
    </row>
    <row r="22">
      <c r="A22" s="29" t="n"/>
      <c r="H22" s="3" t="n"/>
    </row>
    <row r="23">
      <c r="A23" s="29" t="n"/>
      <c r="H23" s="3" t="n"/>
    </row>
    <row r="24">
      <c r="A24" s="29" t="n"/>
      <c r="H24" s="3" t="n"/>
    </row>
    <row r="25">
      <c r="A25" s="29" t="n"/>
      <c r="H25" s="3" t="n"/>
    </row>
    <row r="26">
      <c r="A26" s="29" t="n"/>
      <c r="H26" s="3" t="n"/>
    </row>
    <row r="27">
      <c r="A27" s="29" t="n"/>
      <c r="H27" s="3" t="n"/>
    </row>
    <row r="28">
      <c r="A28" s="29" t="n"/>
      <c r="H28" s="3" t="n"/>
    </row>
    <row r="29">
      <c r="A29" s="29" t="n"/>
      <c r="H29" s="3" t="n"/>
    </row>
    <row r="30">
      <c r="A30" s="29" t="n"/>
      <c r="H30" s="3" t="n"/>
    </row>
    <row r="31">
      <c r="A31" s="29" t="n"/>
      <c r="H31" s="3" t="n"/>
    </row>
    <row r="32">
      <c r="A32" s="29" t="n"/>
      <c r="H32" s="3" t="n"/>
    </row>
    <row r="33">
      <c r="A33" s="29" t="n"/>
      <c r="H33" s="3" t="n"/>
    </row>
    <row r="34">
      <c r="A34" s="29" t="n"/>
      <c r="H34" s="3" t="n"/>
    </row>
    <row r="35">
      <c r="A35" s="29" t="n"/>
      <c r="H35" s="3" t="n"/>
    </row>
    <row r="36">
      <c r="A36" s="29" t="n"/>
      <c r="H36" s="3" t="n"/>
    </row>
    <row r="37">
      <c r="A37" s="29" t="n"/>
      <c r="H37" s="3" t="n"/>
    </row>
    <row r="38">
      <c r="A38" s="29" t="n"/>
      <c r="H38" s="3" t="n"/>
    </row>
    <row r="39">
      <c r="A39" s="29" t="n"/>
      <c r="H39" s="3" t="n"/>
    </row>
    <row r="40">
      <c r="A40" s="29" t="n"/>
      <c r="H40" s="3" t="n"/>
    </row>
    <row r="41">
      <c r="A41" s="29" t="n"/>
      <c r="H41" s="3" t="n"/>
    </row>
    <row r="42">
      <c r="A42" s="29" t="n"/>
      <c r="H42" s="3" t="n"/>
    </row>
    <row r="43">
      <c r="A43" s="29" t="n"/>
      <c r="H43" s="3" t="n"/>
    </row>
    <row r="44">
      <c r="A44" s="29" t="n"/>
      <c r="H44" s="3" t="n"/>
    </row>
    <row r="45">
      <c r="A45" s="29" t="n"/>
      <c r="H45" s="3" t="n"/>
    </row>
    <row r="46">
      <c r="A46" s="29" t="n"/>
      <c r="H46" s="3" t="n"/>
    </row>
    <row r="47">
      <c r="A47" s="29" t="n"/>
      <c r="H47" s="3" t="n"/>
    </row>
    <row r="48">
      <c r="A48" s="29" t="n"/>
      <c r="H48" s="3" t="n"/>
    </row>
    <row r="49">
      <c r="A49" s="29" t="n"/>
      <c r="H49" s="3" t="n"/>
    </row>
    <row r="50">
      <c r="A50" s="29" t="n"/>
      <c r="H50" s="3" t="n"/>
    </row>
    <row r="51">
      <c r="A51" s="29" t="n"/>
      <c r="H51" s="3" t="n"/>
    </row>
    <row r="52">
      <c r="A52" s="29" t="n"/>
      <c r="H52" s="3" t="n"/>
    </row>
    <row r="53">
      <c r="A53" s="29" t="n"/>
      <c r="H53" s="3" t="n"/>
    </row>
    <row r="54">
      <c r="A54" s="29" t="n"/>
      <c r="H54" s="3" t="n"/>
    </row>
    <row r="55">
      <c r="A55" s="29" t="n"/>
      <c r="H55" s="3" t="n"/>
    </row>
    <row r="56">
      <c r="A56" s="29" t="n"/>
      <c r="H56" s="3" t="n"/>
    </row>
    <row r="57">
      <c r="A57" s="29" t="n"/>
      <c r="H57" s="3" t="n"/>
    </row>
    <row r="58">
      <c r="A58" s="29" t="n"/>
      <c r="H58" s="3" t="n"/>
    </row>
    <row r="59">
      <c r="A59" s="29" t="n"/>
      <c r="H59" s="3" t="n"/>
    </row>
    <row r="60">
      <c r="A60" s="29" t="n"/>
      <c r="H60" s="3" t="n"/>
    </row>
    <row r="61">
      <c r="A61" s="29" t="n"/>
      <c r="H61" s="3" t="n"/>
    </row>
    <row r="62">
      <c r="A62" s="29" t="n"/>
      <c r="H62" s="3" t="n"/>
    </row>
    <row r="63">
      <c r="A63" s="29" t="n"/>
      <c r="H63" s="3" t="n"/>
    </row>
    <row r="64">
      <c r="A64" s="29" t="n"/>
      <c r="H64" s="3" t="n"/>
    </row>
    <row r="65">
      <c r="A65" s="29" t="n"/>
      <c r="H65" s="3" t="n"/>
    </row>
    <row r="66">
      <c r="A66" s="29" t="n"/>
      <c r="H66" s="3" t="n"/>
    </row>
    <row r="67">
      <c r="A67" s="29" t="n"/>
      <c r="H67" s="3" t="n"/>
    </row>
    <row r="68">
      <c r="A68" s="29" t="n"/>
      <c r="H68" s="3" t="n"/>
    </row>
    <row r="69">
      <c r="A69" s="29" t="n"/>
      <c r="H69" s="3" t="n"/>
    </row>
    <row r="70">
      <c r="A70" s="29" t="n"/>
      <c r="H70" s="3" t="n"/>
    </row>
    <row r="71">
      <c r="A71" s="29" t="n"/>
      <c r="H71" s="3" t="n"/>
    </row>
    <row r="72">
      <c r="A72" s="29" t="n"/>
      <c r="H72" s="3" t="n"/>
    </row>
    <row r="73">
      <c r="A73" s="29" t="n"/>
      <c r="H73" s="3" t="n"/>
    </row>
    <row r="74">
      <c r="A74" s="29" t="n"/>
      <c r="H74" s="3" t="n"/>
    </row>
    <row r="75">
      <c r="A75" s="29" t="n"/>
      <c r="H75" s="3" t="n"/>
    </row>
    <row r="76">
      <c r="A76" s="29" t="n"/>
      <c r="H76" s="3" t="n"/>
    </row>
    <row r="77">
      <c r="A77" s="29" t="n"/>
      <c r="H77" s="3" t="n"/>
    </row>
    <row r="78">
      <c r="A78" s="29" t="n"/>
      <c r="H78" s="3" t="n"/>
    </row>
    <row r="79">
      <c r="A79" s="29" t="n"/>
      <c r="H79" s="3" t="n"/>
    </row>
    <row r="80">
      <c r="A80" s="29" t="n"/>
      <c r="H80" s="3" t="n"/>
    </row>
    <row r="81">
      <c r="A81" s="29" t="n"/>
      <c r="H81" s="3" t="n"/>
    </row>
    <row r="82">
      <c r="A82" s="29" t="n"/>
      <c r="H82" s="3" t="n"/>
    </row>
    <row r="83">
      <c r="A83" s="29" t="n"/>
      <c r="H83" s="3" t="n"/>
    </row>
    <row r="84">
      <c r="A84" s="29" t="n"/>
      <c r="H84" s="3" t="n"/>
    </row>
    <row r="85">
      <c r="A85" s="29" t="n"/>
      <c r="H85" s="3" t="n"/>
    </row>
    <row r="86">
      <c r="A86" s="29" t="n"/>
      <c r="H86" s="3" t="n"/>
    </row>
    <row r="87">
      <c r="A87" s="29" t="n"/>
      <c r="H87" s="3" t="n"/>
    </row>
    <row r="88">
      <c r="A88" s="29" t="n"/>
      <c r="H88" s="3" t="n"/>
    </row>
    <row r="89">
      <c r="A89" s="29" t="n"/>
      <c r="H89" s="3" t="n"/>
    </row>
    <row r="90">
      <c r="A90" s="29" t="n"/>
      <c r="H90" s="3" t="n"/>
    </row>
    <row r="91">
      <c r="A91" s="29" t="n"/>
      <c r="H91" s="3" t="n"/>
    </row>
    <row r="92">
      <c r="A92" s="29" t="n"/>
      <c r="H92" s="3" t="n"/>
    </row>
    <row r="93">
      <c r="A93" s="29" t="n"/>
      <c r="H93" s="3" t="n"/>
    </row>
    <row r="94">
      <c r="A94" s="29" t="n"/>
      <c r="H94" s="3" t="n"/>
    </row>
    <row r="95">
      <c r="A95" s="29" t="n"/>
      <c r="H95" s="3" t="n"/>
    </row>
    <row r="96">
      <c r="A96" s="29" t="n"/>
      <c r="H96" s="3" t="n"/>
    </row>
    <row r="97">
      <c r="A97" s="29" t="n"/>
      <c r="H97" s="3" t="n"/>
    </row>
    <row r="98">
      <c r="A98" s="29" t="n"/>
      <c r="H98" s="3" t="n"/>
    </row>
    <row r="99">
      <c r="A99" s="29" t="n"/>
      <c r="H99" s="3" t="n"/>
    </row>
    <row r="100">
      <c r="A100" s="29" t="n"/>
      <c r="H100" s="3" t="n"/>
    </row>
    <row r="101">
      <c r="A101" s="29" t="n"/>
      <c r="H101" s="3" t="n"/>
    </row>
    <row r="102">
      <c r="A102" s="29" t="n"/>
      <c r="H102" s="3" t="n"/>
    </row>
    <row r="103">
      <c r="A103" s="29" t="n"/>
      <c r="H103" s="3" t="n"/>
    </row>
    <row r="104">
      <c r="A104" s="29" t="n"/>
      <c r="H104" s="3" t="n"/>
    </row>
    <row r="105">
      <c r="A105" s="29" t="n"/>
      <c r="H105" s="3" t="n"/>
    </row>
    <row r="106">
      <c r="A106" s="29" t="n"/>
      <c r="H106" s="3" t="n"/>
    </row>
    <row r="107">
      <c r="A107" s="29" t="n"/>
      <c r="H107" s="3" t="n"/>
    </row>
    <row r="108">
      <c r="A108" s="29" t="n"/>
      <c r="H108" s="3" t="n"/>
    </row>
    <row r="109">
      <c r="A109" s="29" t="n"/>
      <c r="H109" s="3" t="n"/>
    </row>
    <row r="110">
      <c r="A110" s="29" t="n"/>
      <c r="H110" s="3" t="n"/>
    </row>
    <row r="111">
      <c r="A111" s="29" t="n"/>
      <c r="H111" s="3" t="n"/>
    </row>
    <row r="112">
      <c r="A112" s="29" t="n"/>
      <c r="H112" s="3" t="n"/>
    </row>
    <row r="113">
      <c r="A113" s="29" t="n"/>
      <c r="H113" s="3" t="n"/>
    </row>
    <row r="114">
      <c r="A114" s="29" t="n"/>
      <c r="H114" s="3" t="n"/>
    </row>
    <row r="115">
      <c r="A115" s="29" t="n"/>
      <c r="H115" s="3" t="n"/>
    </row>
    <row r="116">
      <c r="A116" s="29" t="n"/>
      <c r="H116" s="3" t="n"/>
    </row>
    <row r="117">
      <c r="A117" s="29" t="n"/>
      <c r="H117" s="3" t="n"/>
    </row>
    <row r="118">
      <c r="A118" s="29" t="n"/>
      <c r="H118" s="3" t="n"/>
    </row>
    <row r="119">
      <c r="A119" s="29" t="n"/>
      <c r="H119" s="3" t="n"/>
    </row>
    <row r="120">
      <c r="A120" s="29" t="n"/>
      <c r="H120" s="3" t="n"/>
    </row>
    <row r="121">
      <c r="A121" s="29" t="n"/>
      <c r="H121" s="3" t="n"/>
    </row>
    <row r="122">
      <c r="A122" s="29" t="n"/>
      <c r="H122" s="3" t="n"/>
    </row>
    <row r="123">
      <c r="A123" s="29" t="n"/>
      <c r="H123" s="3" t="n"/>
    </row>
    <row r="124">
      <c r="A124" s="29" t="n"/>
      <c r="H124" s="3" t="n"/>
    </row>
    <row r="125">
      <c r="A125" s="29" t="n"/>
      <c r="H125" s="3" t="n"/>
    </row>
    <row r="126">
      <c r="A126" s="29" t="n"/>
      <c r="H126" s="3" t="n"/>
    </row>
    <row r="127">
      <c r="A127" s="29" t="n"/>
      <c r="H127" s="3" t="n"/>
    </row>
    <row r="128">
      <c r="A128" s="29" t="n"/>
      <c r="H128" s="3" t="n"/>
    </row>
    <row r="129">
      <c r="A129" s="29" t="n"/>
      <c r="H129" s="3" t="n"/>
    </row>
    <row r="130">
      <c r="A130" s="29" t="n"/>
      <c r="H130" s="3" t="n"/>
    </row>
    <row r="131">
      <c r="A131" s="29" t="n"/>
      <c r="H131" s="3" t="n"/>
    </row>
    <row r="132">
      <c r="A132" s="29" t="n"/>
      <c r="H132" s="3" t="n"/>
    </row>
    <row r="133">
      <c r="A133" s="29" t="n"/>
      <c r="H133" s="3" t="n"/>
    </row>
    <row r="134">
      <c r="A134" s="29" t="n"/>
      <c r="H134" s="3" t="n"/>
    </row>
    <row r="135">
      <c r="A135" s="29" t="n"/>
      <c r="H135" s="3" t="n"/>
    </row>
    <row r="136">
      <c r="A136" s="29" t="n"/>
      <c r="H136" s="3" t="n"/>
    </row>
    <row r="137">
      <c r="A137" s="29" t="n"/>
      <c r="H137" s="3" t="n"/>
    </row>
    <row r="138">
      <c r="A138" s="29" t="n"/>
      <c r="H138" s="3" t="n"/>
    </row>
    <row r="139">
      <c r="A139" s="29" t="n"/>
      <c r="H139" s="3" t="n"/>
    </row>
    <row r="140">
      <c r="A140" s="29" t="n"/>
      <c r="H140" s="3" t="n"/>
    </row>
    <row r="141">
      <c r="A141" s="29" t="n"/>
      <c r="H141" s="3" t="n"/>
    </row>
    <row r="142">
      <c r="A142" s="29" t="n"/>
      <c r="H142" s="3" t="n"/>
    </row>
    <row r="143">
      <c r="A143" s="29" t="n"/>
      <c r="H143" s="3" t="n"/>
    </row>
    <row r="144">
      <c r="A144" s="29" t="n"/>
      <c r="H144" s="3" t="n"/>
    </row>
    <row r="145">
      <c r="A145" s="29" t="n"/>
      <c r="H145" s="3" t="n"/>
    </row>
    <row r="146">
      <c r="A146" s="29" t="n"/>
      <c r="H146" s="3" t="n"/>
    </row>
    <row r="147">
      <c r="A147" s="29" t="n"/>
      <c r="H147" s="3" t="n"/>
    </row>
    <row r="148">
      <c r="A148" s="29" t="n"/>
      <c r="H148" s="3" t="n"/>
    </row>
    <row r="149">
      <c r="A149" s="29" t="n"/>
      <c r="H149" s="3" t="n"/>
    </row>
    <row r="150">
      <c r="A150" s="29" t="n"/>
      <c r="H150" s="3" t="n"/>
    </row>
    <row r="151">
      <c r="A151" s="29" t="n"/>
      <c r="H151" s="3" t="n"/>
    </row>
    <row r="152">
      <c r="A152" s="29" t="n"/>
      <c r="H152" s="3" t="n"/>
    </row>
    <row r="153">
      <c r="A153" s="29" t="n"/>
      <c r="H153" s="3" t="n"/>
    </row>
    <row r="154">
      <c r="A154" s="29" t="n"/>
      <c r="H154" s="3" t="n"/>
    </row>
    <row r="155">
      <c r="A155" s="29" t="n"/>
      <c r="H155" s="3" t="n"/>
    </row>
    <row r="156">
      <c r="A156" s="29" t="n"/>
      <c r="H156" s="3" t="n"/>
    </row>
    <row r="157">
      <c r="A157" s="29" t="n"/>
      <c r="H157" s="3" t="n"/>
    </row>
    <row r="158">
      <c r="A158" s="29" t="n"/>
      <c r="H158" s="3" t="n"/>
    </row>
    <row r="159">
      <c r="A159" s="29" t="n"/>
      <c r="H159" s="3" t="n"/>
    </row>
    <row r="160">
      <c r="A160" s="29" t="n"/>
      <c r="H160" s="3" t="n"/>
    </row>
    <row r="161">
      <c r="A161" s="29" t="n"/>
      <c r="H161" s="3" t="n"/>
    </row>
    <row r="162">
      <c r="A162" s="29" t="n"/>
      <c r="H162" s="3" t="n"/>
    </row>
    <row r="163">
      <c r="A163" s="29" t="n"/>
      <c r="H163" s="3" t="n"/>
    </row>
    <row r="164">
      <c r="A164" s="29" t="n"/>
      <c r="H164" s="3" t="n"/>
    </row>
    <row r="165">
      <c r="A165" s="29" t="n"/>
      <c r="H165" s="3" t="n"/>
    </row>
    <row r="166">
      <c r="A166" s="29" t="n"/>
      <c r="H166" s="3" t="n"/>
    </row>
    <row r="167">
      <c r="A167" s="29" t="n"/>
      <c r="H167" s="3" t="n"/>
    </row>
    <row r="168">
      <c r="A168" s="29" t="n"/>
      <c r="H168" s="3" t="n"/>
    </row>
    <row r="169">
      <c r="A169" s="29" t="n"/>
      <c r="H169" s="3" t="n"/>
    </row>
    <row r="170">
      <c r="A170" s="29" t="n"/>
      <c r="H170" s="3" t="n"/>
    </row>
    <row r="171">
      <c r="A171" s="29" t="n"/>
      <c r="H171" s="3" t="n"/>
    </row>
    <row r="172">
      <c r="A172" s="29" t="n"/>
      <c r="H172" s="3" t="n"/>
    </row>
    <row r="173">
      <c r="A173" s="29" t="n"/>
      <c r="H173" s="3" t="n"/>
    </row>
    <row r="174">
      <c r="A174" s="29" t="n"/>
      <c r="H174" s="3" t="n"/>
    </row>
    <row r="175">
      <c r="A175" s="29" t="n"/>
      <c r="H175" s="3" t="n"/>
    </row>
    <row r="176">
      <c r="A176" s="29" t="n"/>
      <c r="H176" s="3" t="n"/>
    </row>
    <row r="177">
      <c r="A177" s="29" t="n"/>
      <c r="H177" s="3" t="n"/>
    </row>
    <row r="178">
      <c r="A178" s="29" t="n"/>
      <c r="H178" s="3" t="n"/>
    </row>
    <row r="179">
      <c r="A179" s="29" t="n"/>
      <c r="H179" s="3" t="n"/>
    </row>
    <row r="180">
      <c r="A180" s="29" t="n"/>
      <c r="H180" s="3" t="n"/>
    </row>
    <row r="181">
      <c r="A181" s="29" t="n"/>
      <c r="H181" s="3" t="n"/>
    </row>
    <row r="182">
      <c r="A182" s="29" t="n"/>
      <c r="H182" s="3" t="n"/>
    </row>
    <row r="183">
      <c r="A183" s="29" t="n"/>
      <c r="H183" s="3" t="n"/>
    </row>
    <row r="184">
      <c r="A184" s="29" t="n"/>
      <c r="H184" s="3" t="n"/>
    </row>
    <row r="185">
      <c r="A185" s="29" t="n"/>
      <c r="H185" s="3" t="n"/>
    </row>
    <row r="186">
      <c r="A186" s="29" t="n"/>
      <c r="H186" s="3" t="n"/>
    </row>
    <row r="187">
      <c r="A187" s="29" t="n"/>
      <c r="H187" s="3" t="n"/>
    </row>
    <row r="188">
      <c r="A188" s="29" t="n"/>
      <c r="H188" s="3" t="n"/>
    </row>
    <row r="189">
      <c r="A189" s="29" t="n"/>
      <c r="H189" s="3" t="n"/>
    </row>
    <row r="190">
      <c r="A190" s="29" t="n"/>
      <c r="H190" s="3" t="n"/>
    </row>
    <row r="191">
      <c r="A191" s="29" t="n"/>
      <c r="H191" s="3" t="n"/>
    </row>
    <row r="192">
      <c r="A192" s="29" t="n"/>
      <c r="H192" s="3" t="n"/>
    </row>
    <row r="193">
      <c r="A193" s="29" t="n"/>
      <c r="H193" s="3" t="n"/>
    </row>
    <row r="194">
      <c r="A194" s="29" t="n"/>
      <c r="H194" s="3" t="n"/>
    </row>
    <row r="195">
      <c r="A195" s="29" t="n"/>
      <c r="H195" s="3" t="n"/>
    </row>
    <row r="196">
      <c r="A196" s="29" t="n"/>
      <c r="H196" s="3" t="n"/>
    </row>
    <row r="197">
      <c r="A197" s="29" t="n"/>
      <c r="H197" s="3" t="n"/>
    </row>
    <row r="198">
      <c r="A198" s="29" t="n"/>
      <c r="H198" s="3" t="n"/>
    </row>
    <row r="199">
      <c r="A199" s="29" t="n"/>
      <c r="H199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2026-06-06T01:55:07Z</dcterms:created>
  <dcterms:modified xsi:type="dcterms:W3CDTF">2026-06-06T01:55:07Z</dcterms:modified>
</cp:coreProperties>
</file>